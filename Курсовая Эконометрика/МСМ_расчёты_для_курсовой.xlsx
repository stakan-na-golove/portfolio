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9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0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1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2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3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Ex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4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Ex5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Ex6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harts/chartEx7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Ex8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charts/chartEx9.xml" ContentType="application/vnd.ms-office.chartex+xml"/>
  <Override PartName="/xl/charts/style19.xml" ContentType="application/vnd.ms-office.chartstyle+xml"/>
  <Override PartName="/xl/charts/colors19.xml" ContentType="application/vnd.ms-office.chartcolorstyle+xml"/>
  <Override PartName="/xl/charts/chartEx10.xml" ContentType="application/vnd.ms-office.chartex+xml"/>
  <Override PartName="/xl/charts/style20.xml" ContentType="application/vnd.ms-office.chartstyle+xml"/>
  <Override PartName="/xl/charts/colors20.xml" ContentType="application/vnd.ms-office.chartcolorsty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Учёба\Материалы\"/>
    </mc:Choice>
  </mc:AlternateContent>
  <xr:revisionPtr revIDLastSave="0" documentId="13_ncr:1_{556F947C-A0E9-43D9-92A1-F0CF7FB16984}" xr6:coauthVersionLast="47" xr6:coauthVersionMax="47" xr10:uidLastSave="{00000000-0000-0000-0000-000000000000}"/>
  <bookViews>
    <workbookView xWindow="-108" yWindow="-108" windowWidth="23256" windowHeight="12456" firstSheet="11" activeTab="17" xr2:uid="{5D4A57E9-6C4D-44E5-9EE2-BA4AEEEEF132}"/>
  </bookViews>
  <sheets>
    <sheet name="театры, музеи" sheetId="1" r:id="rId1"/>
    <sheet name="спортивные сооружния" sheetId="2" r:id="rId2"/>
    <sheet name="библиотеки" sheetId="3" r:id="rId3"/>
    <sheet name="Газеты" sheetId="4" r:id="rId4"/>
    <sheet name="Лагеря" sheetId="6" r:id="rId5"/>
    <sheet name="Культурные факторы (копия)" sheetId="5" r:id="rId6"/>
    <sheet name="Лист2" sheetId="7" r:id="rId7"/>
    <sheet name="занятые" sheetId="8" r:id="rId8"/>
    <sheet name="Доход" sheetId="9" r:id="rId9"/>
    <sheet name="Темп роста" sheetId="10" r:id="rId10"/>
    <sheet name="Основные" sheetId="12" r:id="rId11"/>
    <sheet name="Культурные факторы" sheetId="11" r:id="rId12"/>
    <sheet name="Экономические факторы" sheetId="13" r:id="rId13"/>
    <sheet name="Данные" sheetId="15" r:id="rId14"/>
    <sheet name="X" sheetId="17" r:id="rId15"/>
    <sheet name="Динамика" sheetId="18" r:id="rId16"/>
    <sheet name="расчёт 1 глава" sheetId="16" r:id="rId17"/>
    <sheet name="Корр анализ" sheetId="19" r:id="rId18"/>
  </sheets>
  <definedNames>
    <definedName name="_xlchart.v1.0" hidden="1">'расчёт 1 глава'!$I$1</definedName>
    <definedName name="_xlchart.v1.1" hidden="1">'расчёт 1 глава'!$I$2:$I$83</definedName>
    <definedName name="_xlchart.v1.10" hidden="1">'расчёт 1 глава'!$H$1</definedName>
    <definedName name="_xlchart.v1.11" hidden="1">'расчёт 1 глава'!$H$2:$H$83</definedName>
    <definedName name="_xlchart.v1.12" hidden="1">'расчёт 1 глава'!$B$1</definedName>
    <definedName name="_xlchart.v1.13" hidden="1">'расчёт 1 глава'!$B$2:$B$83</definedName>
    <definedName name="_xlchart.v1.14" hidden="1">'расчёт 1 глава'!$C$1</definedName>
    <definedName name="_xlchart.v1.15" hidden="1">'расчёт 1 глава'!$C$2:$C$83</definedName>
    <definedName name="_xlchart.v1.16" hidden="1">'расчёт 1 глава'!$E$1</definedName>
    <definedName name="_xlchart.v1.17" hidden="1">'расчёт 1 глава'!$E$2:$E$83</definedName>
    <definedName name="_xlchart.v1.18" hidden="1">'расчёт 1 глава'!$D$1</definedName>
    <definedName name="_xlchart.v1.19" hidden="1">'расчёт 1 глава'!$D$2:$D$83</definedName>
    <definedName name="_xlchart.v1.2" hidden="1">'расчёт 1 глава'!$J$1</definedName>
    <definedName name="_xlchart.v1.3" hidden="1">'расчёт 1 глава'!$J$2:$J$83</definedName>
    <definedName name="_xlchart.v1.4" hidden="1">'расчёт 1 глава'!$F$1</definedName>
    <definedName name="_xlchart.v1.5" hidden="1">'расчёт 1 глава'!$F$2:$F$83</definedName>
    <definedName name="_xlchart.v1.6" hidden="1">'расчёт 1 глава'!$K$1</definedName>
    <definedName name="_xlchart.v1.7" hidden="1">'расчёт 1 глава'!$K$2:$K$83</definedName>
    <definedName name="_xlchart.v1.8" hidden="1">'расчёт 1 глава'!$G$1</definedName>
    <definedName name="_xlchart.v1.9" hidden="1">'расчёт 1 глава'!$G$2:$G$83</definedName>
    <definedName name="OLE_LINK1" localSheetId="10">Основные!$A$97</definedName>
    <definedName name="OLE_LINK2" localSheetId="10">Основные!$A$97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5" l="1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68" i="15"/>
  <c r="C69" i="15"/>
  <c r="C70" i="15"/>
  <c r="C71" i="15"/>
  <c r="C72" i="15"/>
  <c r="C73" i="15"/>
  <c r="C74" i="15"/>
  <c r="C75" i="15"/>
  <c r="C76" i="15"/>
  <c r="C77" i="15"/>
  <c r="C78" i="15"/>
  <c r="C79" i="15"/>
  <c r="C80" i="15"/>
  <c r="C81" i="15"/>
  <c r="C82" i="15"/>
  <c r="C83" i="15"/>
  <c r="C2" i="15"/>
  <c r="A108" i="16"/>
  <c r="A109" i="16"/>
  <c r="A110" i="16"/>
  <c r="A111" i="16"/>
  <c r="A112" i="16"/>
  <c r="A113" i="16"/>
  <c r="A114" i="16"/>
  <c r="A115" i="16"/>
  <c r="A116" i="16"/>
  <c r="A107" i="16"/>
  <c r="J96" i="16" a="1"/>
  <c r="J96" i="16" s="1"/>
  <c r="H93" i="16"/>
  <c r="I93" i="16"/>
  <c r="K93" i="16"/>
  <c r="B93" i="16"/>
  <c r="H92" i="16"/>
  <c r="I92" i="16"/>
  <c r="K92" i="16"/>
  <c r="B92" i="16"/>
  <c r="I14" i="12"/>
  <c r="H87" i="16"/>
  <c r="I87" i="16"/>
  <c r="K87" i="16"/>
  <c r="B87" i="16"/>
  <c r="H84" i="16"/>
  <c r="I84" i="16"/>
  <c r="K84" i="16"/>
  <c r="H85" i="16"/>
  <c r="I85" i="16"/>
  <c r="K85" i="16"/>
  <c r="H86" i="16"/>
  <c r="I86" i="16"/>
  <c r="K86" i="16"/>
  <c r="H88" i="16"/>
  <c r="I88" i="16"/>
  <c r="K88" i="16"/>
  <c r="H90" i="16"/>
  <c r="I90" i="16"/>
  <c r="K90" i="16"/>
  <c r="H91" i="16"/>
  <c r="H89" i="16" s="1"/>
  <c r="I91" i="16"/>
  <c r="I89" i="16" s="1"/>
  <c r="K91" i="16"/>
  <c r="K89" i="16" s="1"/>
  <c r="G83" i="15"/>
  <c r="G82" i="15"/>
  <c r="G81" i="15"/>
  <c r="G80" i="15"/>
  <c r="G79" i="15"/>
  <c r="G78" i="15"/>
  <c r="G77" i="15"/>
  <c r="G76" i="15"/>
  <c r="G75" i="15"/>
  <c r="G74" i="15"/>
  <c r="G73" i="15"/>
  <c r="G72" i="15"/>
  <c r="G71" i="15"/>
  <c r="G70" i="15"/>
  <c r="G69" i="15"/>
  <c r="G68" i="15"/>
  <c r="G67" i="15"/>
  <c r="G66" i="15"/>
  <c r="G65" i="15"/>
  <c r="G64" i="15"/>
  <c r="G63" i="15"/>
  <c r="G62" i="15"/>
  <c r="G61" i="15"/>
  <c r="G60" i="15"/>
  <c r="G59" i="15"/>
  <c r="G58" i="15"/>
  <c r="G57" i="15"/>
  <c r="G56" i="15"/>
  <c r="G55" i="15"/>
  <c r="G54" i="15"/>
  <c r="G53" i="15"/>
  <c r="G52" i="15"/>
  <c r="G51" i="15"/>
  <c r="G50" i="15"/>
  <c r="G49" i="15"/>
  <c r="G48" i="15"/>
  <c r="G47" i="15"/>
  <c r="G46" i="15"/>
  <c r="G45" i="15"/>
  <c r="G44" i="15"/>
  <c r="G43" i="15"/>
  <c r="G42" i="15"/>
  <c r="G41" i="15"/>
  <c r="G40" i="15"/>
  <c r="G39" i="15"/>
  <c r="G38" i="15"/>
  <c r="G37" i="15"/>
  <c r="G36" i="15"/>
  <c r="G35" i="15"/>
  <c r="G34" i="15"/>
  <c r="G33" i="15"/>
  <c r="G32" i="15"/>
  <c r="G31" i="15"/>
  <c r="G30" i="15"/>
  <c r="G29" i="15"/>
  <c r="G28" i="15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5" i="15"/>
  <c r="G4" i="15"/>
  <c r="G3" i="15"/>
  <c r="G2" i="15"/>
  <c r="J83" i="15"/>
  <c r="J82" i="15"/>
  <c r="J81" i="15"/>
  <c r="J80" i="15"/>
  <c r="J79" i="15"/>
  <c r="J78" i="15"/>
  <c r="J77" i="15"/>
  <c r="J76" i="15"/>
  <c r="J75" i="15"/>
  <c r="J74" i="15"/>
  <c r="J73" i="15"/>
  <c r="J72" i="15"/>
  <c r="J71" i="15"/>
  <c r="J70" i="15"/>
  <c r="J69" i="15"/>
  <c r="J68" i="15"/>
  <c r="J67" i="15"/>
  <c r="J66" i="15"/>
  <c r="J65" i="15"/>
  <c r="J64" i="15"/>
  <c r="J63" i="15"/>
  <c r="J62" i="15"/>
  <c r="J61" i="15"/>
  <c r="J60" i="15"/>
  <c r="J59" i="15"/>
  <c r="J58" i="15"/>
  <c r="J57" i="15"/>
  <c r="J56" i="15"/>
  <c r="J55" i="15"/>
  <c r="J54" i="15"/>
  <c r="J53" i="15"/>
  <c r="J52" i="15"/>
  <c r="J51" i="15"/>
  <c r="J50" i="15"/>
  <c r="J49" i="15"/>
  <c r="J48" i="15"/>
  <c r="J47" i="15"/>
  <c r="J46" i="15"/>
  <c r="J45" i="15"/>
  <c r="J44" i="15"/>
  <c r="J43" i="15"/>
  <c r="J42" i="15"/>
  <c r="J41" i="15"/>
  <c r="J40" i="15"/>
  <c r="J39" i="15"/>
  <c r="J38" i="15"/>
  <c r="J37" i="15"/>
  <c r="J36" i="15"/>
  <c r="J35" i="15"/>
  <c r="J34" i="15"/>
  <c r="J33" i="15"/>
  <c r="J32" i="15"/>
  <c r="J31" i="15"/>
  <c r="J30" i="15"/>
  <c r="J29" i="15"/>
  <c r="J28" i="15"/>
  <c r="J27" i="15"/>
  <c r="J26" i="15"/>
  <c r="J25" i="15"/>
  <c r="J24" i="15"/>
  <c r="J23" i="15"/>
  <c r="J22" i="15"/>
  <c r="J21" i="15"/>
  <c r="J20" i="15"/>
  <c r="J19" i="15"/>
  <c r="J18" i="15"/>
  <c r="J17" i="15"/>
  <c r="J16" i="15"/>
  <c r="J15" i="15"/>
  <c r="J14" i="15"/>
  <c r="J13" i="15"/>
  <c r="J12" i="15"/>
  <c r="J11" i="15"/>
  <c r="J10" i="15"/>
  <c r="J9" i="15"/>
  <c r="J8" i="15"/>
  <c r="J7" i="15"/>
  <c r="J6" i="15"/>
  <c r="J5" i="15"/>
  <c r="J4" i="15"/>
  <c r="J3" i="15"/>
  <c r="J2" i="15"/>
  <c r="G3" i="16"/>
  <c r="G4" i="16"/>
  <c r="G5" i="16"/>
  <c r="G6" i="16"/>
  <c r="G7" i="16"/>
  <c r="G86" i="16" s="1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2" i="16"/>
  <c r="G88" i="16" s="1"/>
  <c r="J3" i="16"/>
  <c r="J4" i="16"/>
  <c r="J5" i="16"/>
  <c r="J6" i="16"/>
  <c r="J7" i="16"/>
  <c r="J8" i="16"/>
  <c r="J9" i="16"/>
  <c r="J10" i="16"/>
  <c r="J11" i="16"/>
  <c r="J12" i="16"/>
  <c r="J13" i="16"/>
  <c r="J14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29" i="16"/>
  <c r="J30" i="16"/>
  <c r="J31" i="16"/>
  <c r="J32" i="16"/>
  <c r="J33" i="16"/>
  <c r="J34" i="16"/>
  <c r="J35" i="16"/>
  <c r="J36" i="16"/>
  <c r="J37" i="16"/>
  <c r="J38" i="16"/>
  <c r="J39" i="16"/>
  <c r="J40" i="16"/>
  <c r="J41" i="16"/>
  <c r="J42" i="16"/>
  <c r="J43" i="16"/>
  <c r="J44" i="16"/>
  <c r="J45" i="16"/>
  <c r="J46" i="16"/>
  <c r="J47" i="16"/>
  <c r="J48" i="16"/>
  <c r="J49" i="16"/>
  <c r="J50" i="16"/>
  <c r="J51" i="16"/>
  <c r="J52" i="16"/>
  <c r="J53" i="16"/>
  <c r="J54" i="16"/>
  <c r="J55" i="16"/>
  <c r="J56" i="16"/>
  <c r="J57" i="16"/>
  <c r="J58" i="16"/>
  <c r="J59" i="16"/>
  <c r="J60" i="16"/>
  <c r="J61" i="16"/>
  <c r="J62" i="16"/>
  <c r="J63" i="16"/>
  <c r="J64" i="16"/>
  <c r="J65" i="16"/>
  <c r="J66" i="16"/>
  <c r="J67" i="16"/>
  <c r="J68" i="16"/>
  <c r="J69" i="16"/>
  <c r="J70" i="16"/>
  <c r="J71" i="16"/>
  <c r="J72" i="16"/>
  <c r="J73" i="16"/>
  <c r="J74" i="16"/>
  <c r="J75" i="16"/>
  <c r="J76" i="16"/>
  <c r="J77" i="16"/>
  <c r="J78" i="16"/>
  <c r="J79" i="16"/>
  <c r="J80" i="16"/>
  <c r="J81" i="16"/>
  <c r="J82" i="16"/>
  <c r="J83" i="16"/>
  <c r="J2" i="16"/>
  <c r="J93" i="16" s="1"/>
  <c r="D3" i="15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2" i="15"/>
  <c r="F3" i="15"/>
  <c r="F4" i="15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81" i="15"/>
  <c r="F82" i="15"/>
  <c r="F83" i="15"/>
  <c r="F2" i="15"/>
  <c r="D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2" i="16"/>
  <c r="D93" i="16" s="1"/>
  <c r="B88" i="16"/>
  <c r="B86" i="16"/>
  <c r="D91" i="16" l="1"/>
  <c r="D89" i="16" s="1"/>
  <c r="J91" i="16"/>
  <c r="D90" i="16"/>
  <c r="G85" i="16"/>
  <c r="D87" i="16"/>
  <c r="G92" i="16"/>
  <c r="J90" i="16"/>
  <c r="D88" i="16"/>
  <c r="G84" i="16"/>
  <c r="J87" i="16"/>
  <c r="J88" i="16"/>
  <c r="D86" i="16"/>
  <c r="G93" i="16"/>
  <c r="J86" i="16"/>
  <c r="D85" i="16"/>
  <c r="D92" i="16"/>
  <c r="G91" i="16"/>
  <c r="J85" i="16"/>
  <c r="D84" i="16"/>
  <c r="J92" i="16"/>
  <c r="G90" i="16"/>
  <c r="J84" i="16"/>
  <c r="G87" i="16"/>
  <c r="B85" i="16"/>
  <c r="B84" i="16"/>
  <c r="B91" i="16"/>
  <c r="B89" i="16" s="1"/>
  <c r="B90" i="16"/>
  <c r="J89" i="16" l="1"/>
  <c r="G89" i="16"/>
  <c r="E3" i="13" l="1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2" i="13"/>
  <c r="N35" i="16" a="1"/>
  <c r="N35" i="16" s="1"/>
  <c r="F83" i="16" l="1"/>
  <c r="E83" i="16"/>
  <c r="F82" i="16"/>
  <c r="E82" i="16"/>
  <c r="C82" i="16"/>
  <c r="F81" i="16"/>
  <c r="E81" i="16"/>
  <c r="C81" i="16"/>
  <c r="F80" i="16"/>
  <c r="E80" i="16"/>
  <c r="C80" i="16"/>
  <c r="F79" i="16"/>
  <c r="E79" i="16"/>
  <c r="C79" i="16"/>
  <c r="F78" i="16"/>
  <c r="E78" i="16"/>
  <c r="C78" i="16"/>
  <c r="F77" i="16"/>
  <c r="E77" i="16"/>
  <c r="C77" i="16"/>
  <c r="F76" i="16"/>
  <c r="E76" i="16"/>
  <c r="C76" i="16"/>
  <c r="F75" i="16"/>
  <c r="E75" i="16"/>
  <c r="C75" i="16"/>
  <c r="F74" i="16"/>
  <c r="E74" i="16"/>
  <c r="C74" i="16"/>
  <c r="F73" i="16"/>
  <c r="E73" i="16"/>
  <c r="C73" i="16"/>
  <c r="F72" i="16"/>
  <c r="E72" i="16"/>
  <c r="C72" i="16"/>
  <c r="F71" i="16"/>
  <c r="E71" i="16"/>
  <c r="C71" i="16"/>
  <c r="F70" i="16"/>
  <c r="E70" i="16"/>
  <c r="C70" i="16"/>
  <c r="F69" i="16"/>
  <c r="E69" i="16"/>
  <c r="C69" i="16"/>
  <c r="F68" i="16"/>
  <c r="E68" i="16"/>
  <c r="C68" i="16"/>
  <c r="F67" i="16"/>
  <c r="E67" i="16"/>
  <c r="C67" i="16"/>
  <c r="F66" i="16"/>
  <c r="E66" i="16"/>
  <c r="C66" i="16"/>
  <c r="F65" i="16"/>
  <c r="E65" i="16"/>
  <c r="C65" i="16"/>
  <c r="F64" i="16"/>
  <c r="E64" i="16"/>
  <c r="C64" i="16"/>
  <c r="F63" i="16"/>
  <c r="E63" i="16"/>
  <c r="C63" i="16"/>
  <c r="F62" i="16"/>
  <c r="E62" i="16"/>
  <c r="C62" i="16"/>
  <c r="F61" i="16"/>
  <c r="E61" i="16"/>
  <c r="C61" i="16"/>
  <c r="F60" i="16"/>
  <c r="E60" i="16"/>
  <c r="C60" i="16"/>
  <c r="F59" i="16"/>
  <c r="E59" i="16"/>
  <c r="C59" i="16"/>
  <c r="F58" i="16"/>
  <c r="E58" i="16"/>
  <c r="C58" i="16"/>
  <c r="F57" i="16"/>
  <c r="E57" i="16"/>
  <c r="C57" i="16"/>
  <c r="F56" i="16"/>
  <c r="E56" i="16"/>
  <c r="C56" i="16"/>
  <c r="F55" i="16"/>
  <c r="E55" i="16"/>
  <c r="C55" i="16"/>
  <c r="F54" i="16"/>
  <c r="E54" i="16"/>
  <c r="C54" i="16"/>
  <c r="F53" i="16"/>
  <c r="E53" i="16"/>
  <c r="C53" i="16"/>
  <c r="F52" i="16"/>
  <c r="E52" i="16"/>
  <c r="C52" i="16"/>
  <c r="F51" i="16"/>
  <c r="E51" i="16"/>
  <c r="C51" i="16"/>
  <c r="F50" i="16"/>
  <c r="E50" i="16"/>
  <c r="C50" i="16"/>
  <c r="F49" i="16"/>
  <c r="E49" i="16"/>
  <c r="C49" i="16"/>
  <c r="F48" i="16"/>
  <c r="E48" i="16"/>
  <c r="C48" i="16"/>
  <c r="F47" i="16"/>
  <c r="E47" i="16"/>
  <c r="C47" i="16"/>
  <c r="F46" i="16"/>
  <c r="E46" i="16"/>
  <c r="C46" i="16"/>
  <c r="F45" i="16"/>
  <c r="E45" i="16"/>
  <c r="C45" i="16"/>
  <c r="F44" i="16"/>
  <c r="E44" i="16"/>
  <c r="C44" i="16"/>
  <c r="F43" i="16"/>
  <c r="E43" i="16"/>
  <c r="C43" i="16"/>
  <c r="F42" i="16"/>
  <c r="E42" i="16"/>
  <c r="C42" i="16"/>
  <c r="F41" i="16"/>
  <c r="E41" i="16"/>
  <c r="C41" i="16"/>
  <c r="F40" i="16"/>
  <c r="E40" i="16"/>
  <c r="C40" i="16"/>
  <c r="F39" i="16"/>
  <c r="E39" i="16"/>
  <c r="C39" i="16"/>
  <c r="F38" i="16"/>
  <c r="E38" i="16"/>
  <c r="C38" i="16"/>
  <c r="F37" i="16"/>
  <c r="E37" i="16"/>
  <c r="C37" i="16"/>
  <c r="F36" i="16"/>
  <c r="E36" i="16"/>
  <c r="C36" i="16"/>
  <c r="F35" i="16"/>
  <c r="E35" i="16"/>
  <c r="C35" i="16"/>
  <c r="F34" i="16"/>
  <c r="E34" i="16"/>
  <c r="C34" i="16"/>
  <c r="F33" i="16"/>
  <c r="E33" i="16"/>
  <c r="C33" i="16"/>
  <c r="F32" i="16"/>
  <c r="E32" i="16"/>
  <c r="C32" i="16"/>
  <c r="F31" i="16"/>
  <c r="E31" i="16"/>
  <c r="C31" i="16"/>
  <c r="F30" i="16"/>
  <c r="E30" i="16"/>
  <c r="C30" i="16"/>
  <c r="F29" i="16"/>
  <c r="E29" i="16"/>
  <c r="C29" i="16"/>
  <c r="F28" i="16"/>
  <c r="E28" i="16"/>
  <c r="C28" i="16"/>
  <c r="F27" i="16"/>
  <c r="E27" i="16"/>
  <c r="C27" i="16"/>
  <c r="F26" i="16"/>
  <c r="E26" i="16"/>
  <c r="C26" i="16"/>
  <c r="F25" i="16"/>
  <c r="E25" i="16"/>
  <c r="C25" i="16"/>
  <c r="F24" i="16"/>
  <c r="E24" i="16"/>
  <c r="C24" i="16"/>
  <c r="F23" i="16"/>
  <c r="E23" i="16"/>
  <c r="C23" i="16"/>
  <c r="F22" i="16"/>
  <c r="E22" i="16"/>
  <c r="C22" i="16"/>
  <c r="F21" i="16"/>
  <c r="E21" i="16"/>
  <c r="C21" i="16"/>
  <c r="F20" i="16"/>
  <c r="E20" i="16"/>
  <c r="C20" i="16"/>
  <c r="F19" i="16"/>
  <c r="E19" i="16"/>
  <c r="C19" i="16"/>
  <c r="F18" i="16"/>
  <c r="E18" i="16"/>
  <c r="C18" i="16"/>
  <c r="F17" i="16"/>
  <c r="E17" i="16"/>
  <c r="C17" i="16"/>
  <c r="F16" i="16"/>
  <c r="E16" i="16"/>
  <c r="C16" i="16"/>
  <c r="F15" i="16"/>
  <c r="E15" i="16"/>
  <c r="C15" i="16"/>
  <c r="F14" i="16"/>
  <c r="E14" i="16"/>
  <c r="C14" i="16"/>
  <c r="F13" i="16"/>
  <c r="E13" i="16"/>
  <c r="C13" i="16"/>
  <c r="F12" i="16"/>
  <c r="E12" i="16"/>
  <c r="C12" i="16"/>
  <c r="F11" i="16"/>
  <c r="E11" i="16"/>
  <c r="C11" i="16"/>
  <c r="F10" i="16"/>
  <c r="E10" i="16"/>
  <c r="C10" i="16"/>
  <c r="F9" i="16"/>
  <c r="E9" i="16"/>
  <c r="C9" i="16"/>
  <c r="F8" i="16"/>
  <c r="E8" i="16"/>
  <c r="C8" i="16"/>
  <c r="F7" i="16"/>
  <c r="E7" i="16"/>
  <c r="C7" i="16"/>
  <c r="F6" i="16"/>
  <c r="E6" i="16"/>
  <c r="C6" i="16"/>
  <c r="F5" i="16"/>
  <c r="E5" i="16"/>
  <c r="C5" i="16"/>
  <c r="F4" i="16"/>
  <c r="E4" i="16"/>
  <c r="C4" i="16"/>
  <c r="F3" i="16"/>
  <c r="E3" i="16"/>
  <c r="C3" i="16"/>
  <c r="F2" i="16"/>
  <c r="E2" i="16"/>
  <c r="C2" i="16"/>
  <c r="E2" i="15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T2" i="15" a="1"/>
  <c r="T2" i="15" s="1"/>
  <c r="U2" i="15" a="1"/>
  <c r="U2" i="15" s="1"/>
  <c r="V2" i="15" a="1"/>
  <c r="V2" i="15" s="1"/>
  <c r="T3" i="15" a="1"/>
  <c r="T3" i="15" s="1"/>
  <c r="U3" i="15" a="1"/>
  <c r="U3" i="15" s="1"/>
  <c r="V3" i="15" a="1"/>
  <c r="V3" i="15" s="1"/>
  <c r="T4" i="15" a="1"/>
  <c r="T4" i="15" s="1"/>
  <c r="U4" i="15" a="1"/>
  <c r="U4" i="15" s="1"/>
  <c r="V4" i="15" a="1"/>
  <c r="V4" i="15" s="1"/>
  <c r="N3" i="15" a="1"/>
  <c r="N3" i="15" s="1"/>
  <c r="N4" i="15" a="1"/>
  <c r="N4" i="15" s="1"/>
  <c r="N2" i="15" a="1"/>
  <c r="N2" i="15" s="1"/>
  <c r="B2" i="13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E83" i="15"/>
  <c r="E82" i="15"/>
  <c r="E81" i="15"/>
  <c r="E80" i="15"/>
  <c r="E79" i="15"/>
  <c r="E78" i="15"/>
  <c r="E77" i="15"/>
  <c r="E76" i="15"/>
  <c r="E75" i="15"/>
  <c r="E74" i="15"/>
  <c r="E73" i="15"/>
  <c r="E72" i="15"/>
  <c r="E71" i="15"/>
  <c r="E70" i="15"/>
  <c r="E69" i="15"/>
  <c r="E68" i="15"/>
  <c r="E67" i="15"/>
  <c r="E66" i="15"/>
  <c r="E65" i="15"/>
  <c r="E64" i="15"/>
  <c r="E63" i="15"/>
  <c r="E62" i="15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40" i="15"/>
  <c r="E39" i="15"/>
  <c r="E38" i="15"/>
  <c r="E37" i="15"/>
  <c r="E36" i="15"/>
  <c r="E35" i="15"/>
  <c r="E34" i="15"/>
  <c r="E33" i="15"/>
  <c r="E32" i="15"/>
  <c r="E31" i="15"/>
  <c r="E30" i="15"/>
  <c r="E29" i="15"/>
  <c r="E28" i="15"/>
  <c r="E27" i="15"/>
  <c r="E26" i="15"/>
  <c r="E25" i="15"/>
  <c r="E24" i="15"/>
  <c r="E23" i="15"/>
  <c r="E22" i="15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E6" i="15"/>
  <c r="E5" i="15"/>
  <c r="E4" i="15"/>
  <c r="E3" i="15"/>
  <c r="Q4" i="15" s="1" a="1"/>
  <c r="Q4" i="15" s="1"/>
  <c r="D83" i="11"/>
  <c r="E83" i="11"/>
  <c r="F83" i="11"/>
  <c r="F3" i="13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2" i="13"/>
  <c r="C2" i="13"/>
  <c r="D2" i="13"/>
  <c r="C3" i="13"/>
  <c r="D3" i="13"/>
  <c r="C4" i="13"/>
  <c r="D4" i="13"/>
  <c r="C5" i="13"/>
  <c r="D5" i="13"/>
  <c r="C6" i="13"/>
  <c r="D6" i="13"/>
  <c r="C7" i="13"/>
  <c r="D7" i="13"/>
  <c r="C8" i="13"/>
  <c r="D8" i="13"/>
  <c r="C9" i="13"/>
  <c r="D9" i="13"/>
  <c r="C10" i="13"/>
  <c r="D10" i="13"/>
  <c r="C11" i="13"/>
  <c r="D11" i="13"/>
  <c r="C12" i="13"/>
  <c r="D12" i="13"/>
  <c r="C13" i="13"/>
  <c r="D13" i="13"/>
  <c r="C14" i="13"/>
  <c r="D14" i="13"/>
  <c r="C15" i="13"/>
  <c r="D15" i="13"/>
  <c r="C16" i="13"/>
  <c r="D16" i="13"/>
  <c r="C17" i="13"/>
  <c r="D17" i="13"/>
  <c r="C18" i="13"/>
  <c r="D18" i="13"/>
  <c r="C19" i="13"/>
  <c r="D19" i="13"/>
  <c r="C20" i="13"/>
  <c r="D20" i="13"/>
  <c r="C21" i="13"/>
  <c r="D21" i="13"/>
  <c r="C22" i="13"/>
  <c r="D22" i="13"/>
  <c r="C23" i="13"/>
  <c r="D23" i="13"/>
  <c r="C24" i="13"/>
  <c r="D24" i="13"/>
  <c r="C25" i="13"/>
  <c r="D25" i="13"/>
  <c r="C26" i="13"/>
  <c r="D26" i="13"/>
  <c r="C27" i="13"/>
  <c r="D27" i="13"/>
  <c r="C28" i="13"/>
  <c r="D28" i="13"/>
  <c r="C29" i="13"/>
  <c r="D29" i="13"/>
  <c r="C30" i="13"/>
  <c r="D30" i="13"/>
  <c r="C31" i="13"/>
  <c r="D31" i="13"/>
  <c r="C32" i="13"/>
  <c r="D32" i="13"/>
  <c r="C33" i="13"/>
  <c r="D33" i="13"/>
  <c r="C34" i="13"/>
  <c r="D34" i="13"/>
  <c r="C35" i="13"/>
  <c r="D35" i="13"/>
  <c r="C36" i="13"/>
  <c r="D36" i="13"/>
  <c r="C37" i="13"/>
  <c r="D37" i="13"/>
  <c r="C38" i="13"/>
  <c r="D38" i="13"/>
  <c r="C39" i="13"/>
  <c r="D39" i="13"/>
  <c r="C40" i="13"/>
  <c r="D40" i="13"/>
  <c r="C41" i="13"/>
  <c r="D41" i="13"/>
  <c r="C42" i="13"/>
  <c r="D42" i="13"/>
  <c r="C43" i="13"/>
  <c r="D43" i="13"/>
  <c r="C44" i="13"/>
  <c r="D44" i="13"/>
  <c r="C45" i="13"/>
  <c r="D45" i="13"/>
  <c r="C46" i="13"/>
  <c r="D46" i="13"/>
  <c r="C47" i="13"/>
  <c r="D47" i="13"/>
  <c r="C48" i="13"/>
  <c r="D48" i="13"/>
  <c r="C49" i="13"/>
  <c r="D49" i="13"/>
  <c r="C50" i="13"/>
  <c r="D50" i="13"/>
  <c r="C51" i="13"/>
  <c r="D51" i="13"/>
  <c r="C52" i="13"/>
  <c r="D52" i="13"/>
  <c r="C53" i="13"/>
  <c r="D53" i="13"/>
  <c r="C54" i="13"/>
  <c r="D54" i="13"/>
  <c r="C55" i="13"/>
  <c r="D55" i="13"/>
  <c r="C56" i="13"/>
  <c r="D56" i="13"/>
  <c r="C57" i="13"/>
  <c r="D57" i="13"/>
  <c r="C58" i="13"/>
  <c r="D58" i="13"/>
  <c r="C59" i="13"/>
  <c r="D59" i="13"/>
  <c r="C60" i="13"/>
  <c r="D60" i="13"/>
  <c r="C61" i="13"/>
  <c r="D61" i="13"/>
  <c r="C62" i="13"/>
  <c r="D62" i="13"/>
  <c r="C63" i="13"/>
  <c r="D63" i="13"/>
  <c r="C64" i="13"/>
  <c r="D64" i="13"/>
  <c r="C65" i="13"/>
  <c r="D65" i="13"/>
  <c r="C66" i="13"/>
  <c r="D66" i="13"/>
  <c r="C67" i="13"/>
  <c r="D67" i="13"/>
  <c r="C68" i="13"/>
  <c r="D68" i="13"/>
  <c r="C69" i="13"/>
  <c r="D69" i="13"/>
  <c r="C70" i="13"/>
  <c r="D70" i="13"/>
  <c r="C71" i="13"/>
  <c r="D71" i="13"/>
  <c r="C72" i="13"/>
  <c r="D72" i="13"/>
  <c r="C73" i="13"/>
  <c r="D73" i="13"/>
  <c r="C74" i="13"/>
  <c r="D74" i="13"/>
  <c r="C75" i="13"/>
  <c r="D75" i="13"/>
  <c r="C76" i="13"/>
  <c r="D76" i="13"/>
  <c r="C77" i="13"/>
  <c r="D77" i="13"/>
  <c r="C78" i="13"/>
  <c r="D78" i="13"/>
  <c r="C79" i="13"/>
  <c r="D79" i="13"/>
  <c r="C80" i="13"/>
  <c r="D80" i="13"/>
  <c r="C81" i="13"/>
  <c r="D81" i="13"/>
  <c r="C82" i="13"/>
  <c r="D82" i="13"/>
  <c r="C83" i="13"/>
  <c r="D83" i="13"/>
  <c r="I12" i="12"/>
  <c r="I13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1" i="12"/>
  <c r="B2" i="11"/>
  <c r="F82" i="11"/>
  <c r="E82" i="11"/>
  <c r="D82" i="11"/>
  <c r="C82" i="11"/>
  <c r="B82" i="11"/>
  <c r="F81" i="11"/>
  <c r="E81" i="11"/>
  <c r="D81" i="11"/>
  <c r="C81" i="11"/>
  <c r="B81" i="11"/>
  <c r="F80" i="11"/>
  <c r="E80" i="11"/>
  <c r="D80" i="11"/>
  <c r="C80" i="11"/>
  <c r="B80" i="11"/>
  <c r="F79" i="11"/>
  <c r="E79" i="11"/>
  <c r="D79" i="11"/>
  <c r="C79" i="11"/>
  <c r="B79" i="11"/>
  <c r="F78" i="11"/>
  <c r="E78" i="11"/>
  <c r="D78" i="11"/>
  <c r="C78" i="11"/>
  <c r="B78" i="11"/>
  <c r="F77" i="11"/>
  <c r="E77" i="11"/>
  <c r="D77" i="11"/>
  <c r="C77" i="11"/>
  <c r="B77" i="11"/>
  <c r="F76" i="11"/>
  <c r="E76" i="11"/>
  <c r="D76" i="11"/>
  <c r="C76" i="11"/>
  <c r="B76" i="11"/>
  <c r="F75" i="11"/>
  <c r="E75" i="11"/>
  <c r="D75" i="11"/>
  <c r="C75" i="11"/>
  <c r="B75" i="11"/>
  <c r="F74" i="11"/>
  <c r="E74" i="11"/>
  <c r="D74" i="11"/>
  <c r="C74" i="11"/>
  <c r="B74" i="11"/>
  <c r="F73" i="11"/>
  <c r="E73" i="11"/>
  <c r="D73" i="11"/>
  <c r="C73" i="11"/>
  <c r="B73" i="11"/>
  <c r="F72" i="11"/>
  <c r="E72" i="11"/>
  <c r="D72" i="11"/>
  <c r="C72" i="11"/>
  <c r="B72" i="11"/>
  <c r="F71" i="11"/>
  <c r="E71" i="11"/>
  <c r="D71" i="11"/>
  <c r="C71" i="11"/>
  <c r="B71" i="11"/>
  <c r="F70" i="11"/>
  <c r="E70" i="11"/>
  <c r="D70" i="11"/>
  <c r="C70" i="11"/>
  <c r="B70" i="11"/>
  <c r="F69" i="11"/>
  <c r="E69" i="11"/>
  <c r="D69" i="11"/>
  <c r="C69" i="11"/>
  <c r="B69" i="11"/>
  <c r="F68" i="11"/>
  <c r="E68" i="11"/>
  <c r="D68" i="11"/>
  <c r="C68" i="11"/>
  <c r="B68" i="11"/>
  <c r="F67" i="11"/>
  <c r="E67" i="11"/>
  <c r="D67" i="11"/>
  <c r="C67" i="11"/>
  <c r="B67" i="11"/>
  <c r="F66" i="11"/>
  <c r="E66" i="11"/>
  <c r="D66" i="11"/>
  <c r="C66" i="11"/>
  <c r="B66" i="11"/>
  <c r="F65" i="11"/>
  <c r="E65" i="11"/>
  <c r="D65" i="11"/>
  <c r="C65" i="11"/>
  <c r="B65" i="11"/>
  <c r="F64" i="11"/>
  <c r="E64" i="11"/>
  <c r="D64" i="11"/>
  <c r="C64" i="11"/>
  <c r="B64" i="11"/>
  <c r="F63" i="11"/>
  <c r="E63" i="11"/>
  <c r="D63" i="11"/>
  <c r="C63" i="11"/>
  <c r="B63" i="11"/>
  <c r="F62" i="11"/>
  <c r="E62" i="11"/>
  <c r="D62" i="11"/>
  <c r="C62" i="11"/>
  <c r="B62" i="11"/>
  <c r="F61" i="11"/>
  <c r="E61" i="11"/>
  <c r="D61" i="11"/>
  <c r="C61" i="11"/>
  <c r="B61" i="11"/>
  <c r="F60" i="11"/>
  <c r="E60" i="11"/>
  <c r="D60" i="11"/>
  <c r="C60" i="11"/>
  <c r="B60" i="11"/>
  <c r="F59" i="11"/>
  <c r="E59" i="11"/>
  <c r="D59" i="11"/>
  <c r="C59" i="11"/>
  <c r="B59" i="11"/>
  <c r="F58" i="11"/>
  <c r="E58" i="11"/>
  <c r="D58" i="11"/>
  <c r="C58" i="11"/>
  <c r="B58" i="11"/>
  <c r="F57" i="11"/>
  <c r="E57" i="11"/>
  <c r="D57" i="11"/>
  <c r="C57" i="11"/>
  <c r="B57" i="11"/>
  <c r="F56" i="11"/>
  <c r="E56" i="11"/>
  <c r="D56" i="11"/>
  <c r="C56" i="11"/>
  <c r="B56" i="11"/>
  <c r="F55" i="11"/>
  <c r="E55" i="11"/>
  <c r="D55" i="11"/>
  <c r="C55" i="11"/>
  <c r="B55" i="11"/>
  <c r="F54" i="11"/>
  <c r="E54" i="11"/>
  <c r="D54" i="11"/>
  <c r="C54" i="11"/>
  <c r="B54" i="11"/>
  <c r="F53" i="11"/>
  <c r="E53" i="11"/>
  <c r="D53" i="11"/>
  <c r="C53" i="11"/>
  <c r="B53" i="11"/>
  <c r="F52" i="11"/>
  <c r="E52" i="11"/>
  <c r="D52" i="11"/>
  <c r="C52" i="11"/>
  <c r="B52" i="11"/>
  <c r="F51" i="11"/>
  <c r="E51" i="11"/>
  <c r="D51" i="11"/>
  <c r="C51" i="11"/>
  <c r="B51" i="11"/>
  <c r="F50" i="11"/>
  <c r="E50" i="11"/>
  <c r="D50" i="11"/>
  <c r="C50" i="11"/>
  <c r="B50" i="11"/>
  <c r="F49" i="11"/>
  <c r="E49" i="11"/>
  <c r="D49" i="11"/>
  <c r="C49" i="11"/>
  <c r="B49" i="11"/>
  <c r="F48" i="11"/>
  <c r="E48" i="11"/>
  <c r="D48" i="11"/>
  <c r="C48" i="11"/>
  <c r="B48" i="11"/>
  <c r="F47" i="11"/>
  <c r="E47" i="11"/>
  <c r="D47" i="11"/>
  <c r="C47" i="11"/>
  <c r="B47" i="11"/>
  <c r="F46" i="11"/>
  <c r="E46" i="11"/>
  <c r="D46" i="11"/>
  <c r="C46" i="11"/>
  <c r="B46" i="11"/>
  <c r="F45" i="11"/>
  <c r="E45" i="11"/>
  <c r="D45" i="11"/>
  <c r="C45" i="11"/>
  <c r="B45" i="11"/>
  <c r="F44" i="11"/>
  <c r="E44" i="11"/>
  <c r="D44" i="11"/>
  <c r="C44" i="11"/>
  <c r="B44" i="11"/>
  <c r="F43" i="11"/>
  <c r="E43" i="11"/>
  <c r="D43" i="11"/>
  <c r="C43" i="11"/>
  <c r="B43" i="11"/>
  <c r="F42" i="11"/>
  <c r="E42" i="11"/>
  <c r="D42" i="11"/>
  <c r="C42" i="11"/>
  <c r="B42" i="11"/>
  <c r="F41" i="11"/>
  <c r="E41" i="11"/>
  <c r="D41" i="11"/>
  <c r="C41" i="11"/>
  <c r="B41" i="11"/>
  <c r="F40" i="11"/>
  <c r="E40" i="11"/>
  <c r="D40" i="11"/>
  <c r="C40" i="11"/>
  <c r="B40" i="11"/>
  <c r="F39" i="11"/>
  <c r="E39" i="11"/>
  <c r="D39" i="11"/>
  <c r="C39" i="11"/>
  <c r="B39" i="11"/>
  <c r="F38" i="11"/>
  <c r="E38" i="11"/>
  <c r="D38" i="11"/>
  <c r="C38" i="11"/>
  <c r="B38" i="11"/>
  <c r="F37" i="11"/>
  <c r="E37" i="11"/>
  <c r="D37" i="11"/>
  <c r="C37" i="11"/>
  <c r="B37" i="11"/>
  <c r="F36" i="11"/>
  <c r="E36" i="11"/>
  <c r="D36" i="11"/>
  <c r="C36" i="11"/>
  <c r="B36" i="11"/>
  <c r="F35" i="11"/>
  <c r="E35" i="11"/>
  <c r="D35" i="11"/>
  <c r="C35" i="11"/>
  <c r="B35" i="11"/>
  <c r="F34" i="11"/>
  <c r="E34" i="11"/>
  <c r="D34" i="11"/>
  <c r="C34" i="11"/>
  <c r="B34" i="11"/>
  <c r="F33" i="11"/>
  <c r="E33" i="11"/>
  <c r="D33" i="11"/>
  <c r="C33" i="11"/>
  <c r="B33" i="11"/>
  <c r="F32" i="11"/>
  <c r="E32" i="11"/>
  <c r="D32" i="11"/>
  <c r="C32" i="11"/>
  <c r="B32" i="11"/>
  <c r="F31" i="11"/>
  <c r="E31" i="11"/>
  <c r="D31" i="11"/>
  <c r="C31" i="11"/>
  <c r="B31" i="11"/>
  <c r="F30" i="11"/>
  <c r="E30" i="11"/>
  <c r="D30" i="11"/>
  <c r="C30" i="11"/>
  <c r="B30" i="11"/>
  <c r="F29" i="11"/>
  <c r="E29" i="11"/>
  <c r="D29" i="11"/>
  <c r="C29" i="11"/>
  <c r="B29" i="11"/>
  <c r="F28" i="11"/>
  <c r="E28" i="11"/>
  <c r="D28" i="11"/>
  <c r="C28" i="11"/>
  <c r="B28" i="11"/>
  <c r="F27" i="11"/>
  <c r="E27" i="11"/>
  <c r="D27" i="11"/>
  <c r="C27" i="11"/>
  <c r="B27" i="11"/>
  <c r="F26" i="11"/>
  <c r="E26" i="11"/>
  <c r="D26" i="11"/>
  <c r="C26" i="11"/>
  <c r="B26" i="11"/>
  <c r="F25" i="11"/>
  <c r="E25" i="11"/>
  <c r="D25" i="11"/>
  <c r="C25" i="11"/>
  <c r="B25" i="11"/>
  <c r="F24" i="11"/>
  <c r="E24" i="11"/>
  <c r="D24" i="11"/>
  <c r="C24" i="11"/>
  <c r="B24" i="11"/>
  <c r="F23" i="11"/>
  <c r="E23" i="11"/>
  <c r="D23" i="11"/>
  <c r="C23" i="11"/>
  <c r="B23" i="11"/>
  <c r="F22" i="11"/>
  <c r="E22" i="11"/>
  <c r="D22" i="11"/>
  <c r="C22" i="11"/>
  <c r="B22" i="11"/>
  <c r="F21" i="11"/>
  <c r="E21" i="11"/>
  <c r="D21" i="11"/>
  <c r="C21" i="11"/>
  <c r="B21" i="11"/>
  <c r="F20" i="11"/>
  <c r="E20" i="11"/>
  <c r="D20" i="11"/>
  <c r="C20" i="11"/>
  <c r="B20" i="11"/>
  <c r="F19" i="11"/>
  <c r="E19" i="11"/>
  <c r="D19" i="11"/>
  <c r="C19" i="11"/>
  <c r="B19" i="11"/>
  <c r="F18" i="11"/>
  <c r="E18" i="11"/>
  <c r="D18" i="11"/>
  <c r="C18" i="11"/>
  <c r="B18" i="11"/>
  <c r="F17" i="11"/>
  <c r="E17" i="11"/>
  <c r="D17" i="11"/>
  <c r="C17" i="11"/>
  <c r="B17" i="11"/>
  <c r="F16" i="11"/>
  <c r="E16" i="11"/>
  <c r="D16" i="11"/>
  <c r="C16" i="11"/>
  <c r="B16" i="11"/>
  <c r="F15" i="11"/>
  <c r="E15" i="11"/>
  <c r="D15" i="11"/>
  <c r="C15" i="11"/>
  <c r="B15" i="11"/>
  <c r="F14" i="11"/>
  <c r="E14" i="11"/>
  <c r="D14" i="11"/>
  <c r="C14" i="11"/>
  <c r="B14" i="11"/>
  <c r="F13" i="11"/>
  <c r="E13" i="11"/>
  <c r="D13" i="11"/>
  <c r="C13" i="11"/>
  <c r="B13" i="11"/>
  <c r="F12" i="11"/>
  <c r="E12" i="11"/>
  <c r="D12" i="11"/>
  <c r="C12" i="11"/>
  <c r="B12" i="11"/>
  <c r="F11" i="11"/>
  <c r="E11" i="11"/>
  <c r="D11" i="11"/>
  <c r="C11" i="11"/>
  <c r="B11" i="11"/>
  <c r="F10" i="11"/>
  <c r="E10" i="11"/>
  <c r="D10" i="11"/>
  <c r="C10" i="11"/>
  <c r="B10" i="11"/>
  <c r="F9" i="11"/>
  <c r="E9" i="11"/>
  <c r="D9" i="11"/>
  <c r="C9" i="11"/>
  <c r="B9" i="11"/>
  <c r="F8" i="11"/>
  <c r="E8" i="11"/>
  <c r="D8" i="11"/>
  <c r="C8" i="11"/>
  <c r="B8" i="11"/>
  <c r="F7" i="11"/>
  <c r="E7" i="11"/>
  <c r="D7" i="11"/>
  <c r="C7" i="11"/>
  <c r="B7" i="11"/>
  <c r="F6" i="11"/>
  <c r="E6" i="11"/>
  <c r="D6" i="11"/>
  <c r="C6" i="11"/>
  <c r="B6" i="11"/>
  <c r="F5" i="11"/>
  <c r="E5" i="11"/>
  <c r="D5" i="11"/>
  <c r="C5" i="11"/>
  <c r="B5" i="11"/>
  <c r="F4" i="11"/>
  <c r="E4" i="11"/>
  <c r="D4" i="11"/>
  <c r="C4" i="11"/>
  <c r="B4" i="11"/>
  <c r="F3" i="11"/>
  <c r="E3" i="11"/>
  <c r="D3" i="11"/>
  <c r="C3" i="11"/>
  <c r="B3" i="11"/>
  <c r="F2" i="11"/>
  <c r="E2" i="11"/>
  <c r="D2" i="11"/>
  <c r="C2" i="11"/>
  <c r="B3" i="5"/>
  <c r="C3" i="5"/>
  <c r="E3" i="5"/>
  <c r="F3" i="5"/>
  <c r="B4" i="5"/>
  <c r="C4" i="5"/>
  <c r="E4" i="5"/>
  <c r="F4" i="5"/>
  <c r="B5" i="5"/>
  <c r="C5" i="5"/>
  <c r="E5" i="5"/>
  <c r="F5" i="5"/>
  <c r="B6" i="5"/>
  <c r="C6" i="5"/>
  <c r="E6" i="5"/>
  <c r="F6" i="5"/>
  <c r="B7" i="5"/>
  <c r="C7" i="5"/>
  <c r="E7" i="5"/>
  <c r="F7" i="5"/>
  <c r="B8" i="5"/>
  <c r="C8" i="5"/>
  <c r="E8" i="5"/>
  <c r="F8" i="5"/>
  <c r="B9" i="5"/>
  <c r="C9" i="5"/>
  <c r="E9" i="5"/>
  <c r="F9" i="5"/>
  <c r="B10" i="5"/>
  <c r="C10" i="5"/>
  <c r="E10" i="5"/>
  <c r="F10" i="5"/>
  <c r="B11" i="5"/>
  <c r="C11" i="5"/>
  <c r="E11" i="5"/>
  <c r="F11" i="5"/>
  <c r="B12" i="5"/>
  <c r="C12" i="5"/>
  <c r="E12" i="5"/>
  <c r="F12" i="5"/>
  <c r="B13" i="5"/>
  <c r="C13" i="5"/>
  <c r="E13" i="5"/>
  <c r="F13" i="5"/>
  <c r="B14" i="5"/>
  <c r="C14" i="5"/>
  <c r="E14" i="5"/>
  <c r="F14" i="5"/>
  <c r="B15" i="5"/>
  <c r="C15" i="5"/>
  <c r="E15" i="5"/>
  <c r="F15" i="5"/>
  <c r="B16" i="5"/>
  <c r="C16" i="5"/>
  <c r="E16" i="5"/>
  <c r="F16" i="5"/>
  <c r="B17" i="5"/>
  <c r="C17" i="5"/>
  <c r="E17" i="5"/>
  <c r="F17" i="5"/>
  <c r="B18" i="5"/>
  <c r="C18" i="5"/>
  <c r="E18" i="5"/>
  <c r="F18" i="5"/>
  <c r="B19" i="5"/>
  <c r="C19" i="5"/>
  <c r="E19" i="5"/>
  <c r="F19" i="5"/>
  <c r="B20" i="5"/>
  <c r="C20" i="5"/>
  <c r="E20" i="5"/>
  <c r="F20" i="5"/>
  <c r="B21" i="5"/>
  <c r="C21" i="5"/>
  <c r="E21" i="5"/>
  <c r="F21" i="5"/>
  <c r="B22" i="5"/>
  <c r="C22" i="5"/>
  <c r="E22" i="5"/>
  <c r="F22" i="5"/>
  <c r="B23" i="5"/>
  <c r="C23" i="5"/>
  <c r="E23" i="5"/>
  <c r="F23" i="5"/>
  <c r="B24" i="5"/>
  <c r="C24" i="5"/>
  <c r="E24" i="5"/>
  <c r="F24" i="5"/>
  <c r="B25" i="5"/>
  <c r="C25" i="5"/>
  <c r="E25" i="5"/>
  <c r="F25" i="5"/>
  <c r="B26" i="5"/>
  <c r="C26" i="5"/>
  <c r="E26" i="5"/>
  <c r="F26" i="5"/>
  <c r="B27" i="5"/>
  <c r="C27" i="5"/>
  <c r="E27" i="5"/>
  <c r="F27" i="5"/>
  <c r="B28" i="5"/>
  <c r="C28" i="5"/>
  <c r="E28" i="5"/>
  <c r="F28" i="5"/>
  <c r="B29" i="5"/>
  <c r="C29" i="5"/>
  <c r="E29" i="5"/>
  <c r="F29" i="5"/>
  <c r="B30" i="5"/>
  <c r="C30" i="5"/>
  <c r="E30" i="5"/>
  <c r="F30" i="5"/>
  <c r="B31" i="5"/>
  <c r="C31" i="5"/>
  <c r="E31" i="5"/>
  <c r="F31" i="5"/>
  <c r="B32" i="5"/>
  <c r="C32" i="5"/>
  <c r="E32" i="5"/>
  <c r="F32" i="5"/>
  <c r="B33" i="5"/>
  <c r="C33" i="5"/>
  <c r="E33" i="5"/>
  <c r="F33" i="5"/>
  <c r="B34" i="5"/>
  <c r="C34" i="5"/>
  <c r="E34" i="5"/>
  <c r="F34" i="5"/>
  <c r="B35" i="5"/>
  <c r="C35" i="5"/>
  <c r="E35" i="5"/>
  <c r="F35" i="5"/>
  <c r="B36" i="5"/>
  <c r="C36" i="5"/>
  <c r="E36" i="5"/>
  <c r="F36" i="5"/>
  <c r="B37" i="5"/>
  <c r="C37" i="5"/>
  <c r="E37" i="5"/>
  <c r="F37" i="5"/>
  <c r="B38" i="5"/>
  <c r="C38" i="5"/>
  <c r="E38" i="5"/>
  <c r="F38" i="5"/>
  <c r="B39" i="5"/>
  <c r="C39" i="5"/>
  <c r="E39" i="5"/>
  <c r="F39" i="5"/>
  <c r="B40" i="5"/>
  <c r="C40" i="5"/>
  <c r="E40" i="5"/>
  <c r="F40" i="5"/>
  <c r="B41" i="5"/>
  <c r="C41" i="5"/>
  <c r="E41" i="5"/>
  <c r="F41" i="5"/>
  <c r="B42" i="5"/>
  <c r="C42" i="5"/>
  <c r="E42" i="5"/>
  <c r="F42" i="5"/>
  <c r="B43" i="5"/>
  <c r="C43" i="5"/>
  <c r="E43" i="5"/>
  <c r="F43" i="5"/>
  <c r="B44" i="5"/>
  <c r="C44" i="5"/>
  <c r="E44" i="5"/>
  <c r="F44" i="5"/>
  <c r="B45" i="5"/>
  <c r="C45" i="5"/>
  <c r="E45" i="5"/>
  <c r="F45" i="5"/>
  <c r="B46" i="5"/>
  <c r="C46" i="5"/>
  <c r="E46" i="5"/>
  <c r="F46" i="5"/>
  <c r="B47" i="5"/>
  <c r="C47" i="5"/>
  <c r="E47" i="5"/>
  <c r="F47" i="5"/>
  <c r="B48" i="5"/>
  <c r="C48" i="5"/>
  <c r="E48" i="5"/>
  <c r="F48" i="5"/>
  <c r="B49" i="5"/>
  <c r="C49" i="5"/>
  <c r="E49" i="5"/>
  <c r="F49" i="5"/>
  <c r="B50" i="5"/>
  <c r="C50" i="5"/>
  <c r="E50" i="5"/>
  <c r="F50" i="5"/>
  <c r="B51" i="5"/>
  <c r="C51" i="5"/>
  <c r="E51" i="5"/>
  <c r="F51" i="5"/>
  <c r="B52" i="5"/>
  <c r="C52" i="5"/>
  <c r="E52" i="5"/>
  <c r="F52" i="5"/>
  <c r="B53" i="5"/>
  <c r="C53" i="5"/>
  <c r="E53" i="5"/>
  <c r="F53" i="5"/>
  <c r="B54" i="5"/>
  <c r="C54" i="5"/>
  <c r="E54" i="5"/>
  <c r="F54" i="5"/>
  <c r="B55" i="5"/>
  <c r="C55" i="5"/>
  <c r="E55" i="5"/>
  <c r="F55" i="5"/>
  <c r="B56" i="5"/>
  <c r="C56" i="5"/>
  <c r="E56" i="5"/>
  <c r="F56" i="5"/>
  <c r="B57" i="5"/>
  <c r="C57" i="5"/>
  <c r="E57" i="5"/>
  <c r="F57" i="5"/>
  <c r="B58" i="5"/>
  <c r="C58" i="5"/>
  <c r="E58" i="5"/>
  <c r="F58" i="5"/>
  <c r="B59" i="5"/>
  <c r="C59" i="5"/>
  <c r="E59" i="5"/>
  <c r="F59" i="5"/>
  <c r="B60" i="5"/>
  <c r="C60" i="5"/>
  <c r="E60" i="5"/>
  <c r="F60" i="5"/>
  <c r="B61" i="5"/>
  <c r="C61" i="5"/>
  <c r="E61" i="5"/>
  <c r="F61" i="5"/>
  <c r="B62" i="5"/>
  <c r="C62" i="5"/>
  <c r="E62" i="5"/>
  <c r="F62" i="5"/>
  <c r="B63" i="5"/>
  <c r="C63" i="5"/>
  <c r="E63" i="5"/>
  <c r="F63" i="5"/>
  <c r="B64" i="5"/>
  <c r="C64" i="5"/>
  <c r="E64" i="5"/>
  <c r="F64" i="5"/>
  <c r="B65" i="5"/>
  <c r="C65" i="5"/>
  <c r="E65" i="5"/>
  <c r="F65" i="5"/>
  <c r="B66" i="5"/>
  <c r="C66" i="5"/>
  <c r="E66" i="5"/>
  <c r="F66" i="5"/>
  <c r="B67" i="5"/>
  <c r="C67" i="5"/>
  <c r="E67" i="5"/>
  <c r="F67" i="5"/>
  <c r="B68" i="5"/>
  <c r="C68" i="5"/>
  <c r="E68" i="5"/>
  <c r="F68" i="5"/>
  <c r="B69" i="5"/>
  <c r="C69" i="5"/>
  <c r="E69" i="5"/>
  <c r="F69" i="5"/>
  <c r="B70" i="5"/>
  <c r="C70" i="5"/>
  <c r="E70" i="5"/>
  <c r="F70" i="5"/>
  <c r="B71" i="5"/>
  <c r="C71" i="5"/>
  <c r="E71" i="5"/>
  <c r="F71" i="5"/>
  <c r="B72" i="5"/>
  <c r="C72" i="5"/>
  <c r="E72" i="5"/>
  <c r="F72" i="5"/>
  <c r="B73" i="5"/>
  <c r="C73" i="5"/>
  <c r="E73" i="5"/>
  <c r="F73" i="5"/>
  <c r="B74" i="5"/>
  <c r="C74" i="5"/>
  <c r="E74" i="5"/>
  <c r="F74" i="5"/>
  <c r="B75" i="5"/>
  <c r="C75" i="5"/>
  <c r="E75" i="5"/>
  <c r="F75" i="5"/>
  <c r="B76" i="5"/>
  <c r="C76" i="5"/>
  <c r="E76" i="5"/>
  <c r="F76" i="5"/>
  <c r="B77" i="5"/>
  <c r="C77" i="5"/>
  <c r="E77" i="5"/>
  <c r="F77" i="5"/>
  <c r="B78" i="5"/>
  <c r="C78" i="5"/>
  <c r="E78" i="5"/>
  <c r="F78" i="5"/>
  <c r="B79" i="5"/>
  <c r="C79" i="5"/>
  <c r="E79" i="5"/>
  <c r="F79" i="5"/>
  <c r="B80" i="5"/>
  <c r="C80" i="5"/>
  <c r="E80" i="5"/>
  <c r="F80" i="5"/>
  <c r="B81" i="5"/>
  <c r="C81" i="5"/>
  <c r="E81" i="5"/>
  <c r="F81" i="5"/>
  <c r="B82" i="5"/>
  <c r="C82" i="5"/>
  <c r="E82" i="5"/>
  <c r="F82" i="5"/>
  <c r="B83" i="5"/>
  <c r="C83" i="5"/>
  <c r="E83" i="5"/>
  <c r="F83" i="5"/>
  <c r="B84" i="5"/>
  <c r="C84" i="5"/>
  <c r="E84" i="5"/>
  <c r="F84" i="5"/>
  <c r="B85" i="5"/>
  <c r="C85" i="5"/>
  <c r="E85" i="5"/>
  <c r="F85" i="5"/>
  <c r="B86" i="5"/>
  <c r="C86" i="5"/>
  <c r="E86" i="5"/>
  <c r="F86" i="5"/>
  <c r="B87" i="5"/>
  <c r="C87" i="5"/>
  <c r="E87" i="5"/>
  <c r="F87" i="5"/>
  <c r="B88" i="5"/>
  <c r="C88" i="5"/>
  <c r="E88" i="5"/>
  <c r="F88" i="5"/>
  <c r="B89" i="5"/>
  <c r="C89" i="5"/>
  <c r="E89" i="5"/>
  <c r="F89" i="5"/>
  <c r="B90" i="5"/>
  <c r="C90" i="5"/>
  <c r="E90" i="5"/>
  <c r="F90" i="5"/>
  <c r="B91" i="5"/>
  <c r="C91" i="5"/>
  <c r="E91" i="5"/>
  <c r="F91" i="5"/>
  <c r="B92" i="5"/>
  <c r="C92" i="5"/>
  <c r="E92" i="5"/>
  <c r="F92" i="5"/>
  <c r="B93" i="5"/>
  <c r="C93" i="5"/>
  <c r="E93" i="5"/>
  <c r="F93" i="5"/>
  <c r="B94" i="5"/>
  <c r="C94" i="5"/>
  <c r="E94" i="5"/>
  <c r="F94" i="5"/>
  <c r="B95" i="5"/>
  <c r="C95" i="5"/>
  <c r="E95" i="5"/>
  <c r="F95" i="5"/>
  <c r="F2" i="5"/>
  <c r="E2" i="5"/>
  <c r="C2" i="5"/>
  <c r="B2" i="5"/>
  <c r="Q3" i="15" l="1" a="1"/>
  <c r="Q3" i="15" s="1"/>
  <c r="C93" i="16"/>
  <c r="C84" i="16"/>
  <c r="C92" i="16"/>
  <c r="C85" i="16"/>
  <c r="C86" i="16"/>
  <c r="C88" i="16"/>
  <c r="C87" i="16"/>
  <c r="C90" i="16"/>
  <c r="C91" i="16"/>
  <c r="C89" i="16" s="1"/>
  <c r="E91" i="16"/>
  <c r="E93" i="16"/>
  <c r="E84" i="16"/>
  <c r="E92" i="16"/>
  <c r="E85" i="16"/>
  <c r="E86" i="16"/>
  <c r="E88" i="16"/>
  <c r="E87" i="16"/>
  <c r="E90" i="16"/>
  <c r="F87" i="16"/>
  <c r="F90" i="16"/>
  <c r="F91" i="16"/>
  <c r="F93" i="16"/>
  <c r="F84" i="16"/>
  <c r="F92" i="16"/>
  <c r="F85" i="16"/>
  <c r="F86" i="16"/>
  <c r="F88" i="16"/>
  <c r="O4" i="15" a="1"/>
  <c r="O4" i="15" s="1"/>
  <c r="M7" i="15"/>
  <c r="O2" i="15" a="1"/>
  <c r="O2" i="15" s="1"/>
  <c r="R2" i="15" a="1"/>
  <c r="R2" i="15" s="1"/>
  <c r="Q2" i="15" a="1"/>
  <c r="Q2" i="15" s="1"/>
  <c r="S4" i="15" a="1"/>
  <c r="S4" i="15" s="1"/>
  <c r="S2" i="15" a="1"/>
  <c r="S2" i="15" s="1"/>
  <c r="S3" i="15" a="1"/>
  <c r="S3" i="15" s="1"/>
  <c r="O3" i="15" a="1"/>
  <c r="O3" i="15" s="1"/>
  <c r="R4" i="15" a="1"/>
  <c r="R4" i="15" s="1"/>
  <c r="R3" i="15" a="1"/>
  <c r="R3" i="15" s="1"/>
  <c r="P2" i="15" a="1"/>
  <c r="P2" i="15" s="1"/>
  <c r="P4" i="15" a="1"/>
  <c r="P4" i="15" s="1"/>
  <c r="P3" i="15" a="1"/>
  <c r="P3" i="15" s="1"/>
  <c r="F89" i="16" l="1"/>
  <c r="B95" i="16" s="1" a="1"/>
  <c r="B95" i="16" s="1"/>
  <c r="E89" i="16"/>
  <c r="W3" i="15" a="1"/>
  <c r="W3" i="15" s="1"/>
  <c r="W2" i="15" a="1"/>
  <c r="W2" i="15" s="1"/>
  <c r="W4" i="15" a="1"/>
  <c r="W4" i="15" s="1"/>
  <c r="O7" i="15"/>
  <c r="P19" i="15"/>
  <c r="P17" i="15"/>
  <c r="P18" i="15"/>
  <c r="P14" i="15"/>
  <c r="P8" i="15"/>
  <c r="P21" i="15"/>
  <c r="P10" i="15"/>
  <c r="P15" i="15"/>
  <c r="P20" i="15"/>
  <c r="P9" i="15"/>
  <c r="P16" i="15"/>
  <c r="P11" i="15"/>
  <c r="P13" i="15"/>
  <c r="P12" i="15"/>
  <c r="Q18" i="15"/>
  <c r="Q12" i="15"/>
  <c r="Q19" i="15"/>
  <c r="Q17" i="15"/>
  <c r="Q14" i="15"/>
  <c r="Q15" i="15"/>
  <c r="Q8" i="15"/>
  <c r="Q21" i="15"/>
  <c r="Q10" i="15"/>
  <c r="Q20" i="15"/>
  <c r="Q13" i="15"/>
  <c r="Q9" i="15"/>
  <c r="Q16" i="15"/>
  <c r="Q11" i="15"/>
  <c r="O13" i="15"/>
  <c r="O14" i="15"/>
  <c r="O8" i="15"/>
  <c r="O21" i="15"/>
  <c r="O18" i="15"/>
  <c r="O10" i="15"/>
  <c r="O20" i="15"/>
  <c r="O9" i="15"/>
  <c r="O16" i="15"/>
  <c r="O15" i="15"/>
  <c r="O11" i="15"/>
  <c r="O12" i="15"/>
  <c r="O19" i="15"/>
  <c r="O17" i="15"/>
  <c r="Q7" i="15"/>
  <c r="P7" i="15"/>
  <c r="R18" i="15" l="1"/>
  <c r="R13" i="15"/>
  <c r="R15" i="15"/>
  <c r="R7" i="15"/>
  <c r="R19" i="15"/>
  <c r="R8" i="15"/>
  <c r="R16" i="15"/>
  <c r="R20" i="15"/>
  <c r="R21" i="15"/>
  <c r="R11" i="15"/>
  <c r="R10" i="15"/>
  <c r="R12" i="15"/>
  <c r="R9" i="15"/>
  <c r="R14" i="15"/>
  <c r="R17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<sst xmlns="http://schemas.openxmlformats.org/spreadsheetml/2006/main" count="3739" uniqueCount="1287">
  <si>
    <r>
      <t xml:space="preserve">7.1. ЧИСЛЕННОСТЬ ЗРИТЕЛЕЙ ТЕАТРОВ И ЧИСЛО ПОСЕЩЕНИЙ МУЗЕЕВ </t>
    </r>
    <r>
      <rPr>
        <sz val="7"/>
        <color theme="1"/>
        <rFont val="Arial"/>
        <family val="2"/>
      </rPr>
      <t xml:space="preserve"> </t>
    </r>
    <r>
      <rPr>
        <b/>
        <sz val="8"/>
        <color theme="1"/>
        <rFont val="Arial"/>
        <family val="2"/>
      </rPr>
      <t>на 1 000 человек населения</t>
    </r>
    <r>
      <rPr>
        <b/>
        <vertAlign val="superscript"/>
        <sz val="8"/>
        <color theme="1"/>
        <rFont val="Arial"/>
        <family val="2"/>
      </rPr>
      <t>1);2)</t>
    </r>
  </si>
  <si>
    <t>Численность зрителей театров, человек</t>
  </si>
  <si>
    <t>Число посещений музеев, человек</t>
  </si>
  <si>
    <t>Место,</t>
  </si>
  <si>
    <t>Российская Федерация</t>
  </si>
  <si>
    <t>Центральный</t>
  </si>
  <si>
    <t>федеральный округ</t>
  </si>
  <si>
    <t>Белгородская область</t>
  </si>
  <si>
    <t>Брянская область</t>
  </si>
  <si>
    <t>Владимирская область</t>
  </si>
  <si>
    <t>1 376</t>
  </si>
  <si>
    <t>1 187</t>
  </si>
  <si>
    <t>Воронежская область</t>
  </si>
  <si>
    <t>Ивановская область</t>
  </si>
  <si>
    <t>Калужская область</t>
  </si>
  <si>
    <t>1 080</t>
  </si>
  <si>
    <t>Костромская область</t>
  </si>
  <si>
    <t>1 125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</si>
  <si>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</si>
  <si>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</si>
  <si>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</si>
  <si>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</si>
  <si>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</si>
  <si>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</si>
  <si>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</si>
  <si>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</si>
  <si>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</si>
  <si>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1 269</t>
  </si>
  <si>
    <t>Ярославская область</t>
  </si>
  <si>
    <t>1 402</t>
  </si>
  <si>
    <t>2 863</t>
  </si>
  <si>
    <t>г. Москва</t>
  </si>
  <si>
    <t>1 208</t>
  </si>
  <si>
    <t>Северо-Западный</t>
  </si>
  <si>
    <t>1 779</t>
  </si>
  <si>
    <t>2 502</t>
  </si>
  <si>
    <t>Республика Карелия</t>
  </si>
  <si>
    <t>1 354</t>
  </si>
  <si>
    <t>Республика Коми</t>
  </si>
  <si>
    <t> 455</t>
  </si>
  <si>
    <t>Архангельская область</t>
  </si>
  <si>
    <t>1 279</t>
  </si>
  <si>
    <t>в том числе:</t>
  </si>
  <si>
    <t>Ненецкий автономный округ</t>
  </si>
  <si>
    <t>–</t>
  </si>
  <si>
    <t>Архангельская область без автономного округа</t>
  </si>
  <si>
    <t>1 314</t>
  </si>
  <si>
    <t>Вологодская область</t>
  </si>
  <si>
    <t>1 095</t>
  </si>
  <si>
    <t>Калининградская область</t>
  </si>
  <si>
    <t>1 828</t>
  </si>
  <si>
    <t>Ленинградская область</t>
  </si>
  <si>
    <t>Мурманская область</t>
  </si>
  <si>
    <t>Новгородская область</t>
  </si>
  <si>
    <t>1 910</t>
  </si>
  <si>
    <t>Псковская область</t>
  </si>
  <si>
    <t>2 581</t>
  </si>
  <si>
    <t>г. Санкт-Петербург</t>
  </si>
  <si>
    <t>3 669</t>
  </si>
  <si>
    <t>4 450</t>
  </si>
  <si>
    <t>Южный</t>
  </si>
  <si>
    <t>Республика Адыгея</t>
  </si>
  <si>
    <t>Республика Калмыкия</t>
  </si>
  <si>
    <t>Республика Крым</t>
  </si>
  <si>
    <t>1 159</t>
  </si>
  <si>
    <t>Краснодарский край</t>
  </si>
  <si>
    <t>Астраханская область</t>
  </si>
  <si>
    <t>Волгоградская область</t>
  </si>
  <si>
    <t>1 205</t>
  </si>
  <si>
    <t>1 387</t>
  </si>
  <si>
    <t>Ростовская область</t>
  </si>
  <si>
    <t>г. Севастополь</t>
  </si>
  <si>
    <t>2 037</t>
  </si>
  <si>
    <t>Северо-Кавказский</t>
  </si>
  <si>
    <t>Республика Дагестан</t>
  </si>
  <si>
    <t xml:space="preserve">Республика Ингушетия </t>
  </si>
  <si>
    <t>Кабардино-Балкарская Республика</t>
  </si>
  <si>
    <t>Карачаево-Черкесская Республика</t>
  </si>
  <si>
    <t xml:space="preserve">Чеченская Республика </t>
  </si>
  <si>
    <t>Ставропольский край</t>
  </si>
  <si>
    <t>Приволжский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</si>
  <si>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</si>
  <si>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</si>
  <si>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</si>
  <si>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</si>
  <si>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</si>
  <si>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</si>
  <si>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</si>
  <si>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</si>
  <si>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</si>
  <si>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</si>
  <si>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</si>
  <si>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</si>
  <si>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</si>
  <si>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</si>
  <si>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</t>
  </si>
  <si>
    <t>Курганская область</t>
  </si>
  <si>
    <t>Свердловская область</t>
  </si>
  <si>
    <t>Тюменская область</t>
  </si>
  <si>
    <t>Ханты-Мансийский</t>
  </si>
  <si>
    <t>округ – Югра</t>
  </si>
  <si>
    <t>Ямало-Ненецкий автономный округ</t>
  </si>
  <si>
    <t>без автономных округов</t>
  </si>
  <si>
    <t>Челябинская область</t>
  </si>
  <si>
    <t>Сибирский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</si>
  <si>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</si>
  <si>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</si>
  <si>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</si>
  <si>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</si>
  <si>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</si>
  <si>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</si>
  <si>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</si>
  <si>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</si>
  <si>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</si>
  <si>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</si>
  <si>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</si>
  <si>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</si>
  <si>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</si>
  <si>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</si>
  <si>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</si>
  <si>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</si>
  <si>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</si>
  <si>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</si>
  <si>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</si>
  <si>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</si>
  <si>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</si>
  <si>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</si>
  <si>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¾¾¾¾¾¾</t>
  </si>
  <si>
    <r>
      <t>1)</t>
    </r>
    <r>
      <rPr>
        <sz val="6"/>
        <color theme="1"/>
        <rFont val="Arial"/>
        <family val="2"/>
      </rPr>
      <t xml:space="preserve"> Расчет осуществлен на основе данных Минкультуры России.</t>
    </r>
    <r>
      <rPr>
        <sz val="7"/>
        <color theme="1"/>
        <rFont val="Arial"/>
        <family val="2"/>
      </rPr>
      <t xml:space="preserve"> </t>
    </r>
  </si>
  <si>
    <r>
      <t>2)</t>
    </r>
    <r>
      <rPr>
        <sz val="7"/>
        <color theme="1"/>
        <rFont val="Arial"/>
        <family val="2"/>
      </rPr>
      <t xml:space="preserve"> </t>
    </r>
    <r>
      <rPr>
        <sz val="6"/>
        <color theme="1"/>
        <rFont val="Arial"/>
        <family val="2"/>
      </rPr>
      <t>Данные за 2015, 2020, 2021 гг. пересчитаны с учетом итогов ВПН-2020.</t>
    </r>
  </si>
  <si>
    <t>Стадионы с трибунами</t>
  </si>
  <si>
    <t>на 1500 мест и более</t>
  </si>
  <si>
    <t>Плоскостные спортивные сооружения</t>
  </si>
  <si>
    <t>(площадки и поля)</t>
  </si>
  <si>
    <t>1 903</t>
  </si>
  <si>
    <t>1 877</t>
  </si>
  <si>
    <t>1 770</t>
  </si>
  <si>
    <t>129 637</t>
  </si>
  <si>
    <t>148 194</t>
  </si>
  <si>
    <t>154 000</t>
  </si>
  <si>
    <t>32 516</t>
  </si>
  <si>
    <t>40 280</t>
  </si>
  <si>
    <t>44 824</t>
  </si>
  <si>
    <t>47 322</t>
  </si>
  <si>
    <t>3 088</t>
  </si>
  <si>
    <t>3 300</t>
  </si>
  <si>
    <t>3 283</t>
  </si>
  <si>
    <r>
      <t>3</t>
    </r>
    <r>
      <rPr>
        <b/>
        <sz val="7"/>
        <color theme="1"/>
        <rFont val="Arial"/>
        <family val="2"/>
      </rPr>
      <t> </t>
    </r>
    <r>
      <rPr>
        <sz val="7"/>
        <color theme="1"/>
        <rFont val="Arial"/>
        <family val="2"/>
      </rPr>
      <t>272</t>
    </r>
  </si>
  <si>
    <t>1 571</t>
  </si>
  <si>
    <t>1 517</t>
  </si>
  <si>
    <t>1 426</t>
  </si>
  <si>
    <r>
      <t>1</t>
    </r>
    <r>
      <rPr>
        <b/>
        <sz val="7"/>
        <color theme="1"/>
        <rFont val="Arial"/>
        <family val="2"/>
      </rPr>
      <t> </t>
    </r>
    <r>
      <rPr>
        <sz val="7"/>
        <color theme="1"/>
        <rFont val="Arial"/>
        <family val="2"/>
      </rPr>
      <t>374</t>
    </r>
  </si>
  <si>
    <t>1 381</t>
  </si>
  <si>
    <t>1 554</t>
  </si>
  <si>
    <t>1 716</t>
  </si>
  <si>
    <r>
      <t>1</t>
    </r>
    <r>
      <rPr>
        <b/>
        <sz val="7"/>
        <color theme="1"/>
        <rFont val="Arial"/>
        <family val="2"/>
      </rPr>
      <t> </t>
    </r>
    <r>
      <rPr>
        <sz val="7"/>
        <color theme="1"/>
        <rFont val="Arial"/>
        <family val="2"/>
      </rPr>
      <t>776</t>
    </r>
  </si>
  <si>
    <t>3 471</t>
  </si>
  <si>
    <t>4 171</t>
  </si>
  <si>
    <t>4 569</t>
  </si>
  <si>
    <r>
      <t>4</t>
    </r>
    <r>
      <rPr>
        <b/>
        <sz val="7"/>
        <color theme="1"/>
        <rFont val="Arial"/>
        <family val="2"/>
      </rPr>
      <t> </t>
    </r>
    <r>
      <rPr>
        <sz val="7"/>
        <color theme="1"/>
        <rFont val="Arial"/>
        <family val="2"/>
      </rPr>
      <t>296</t>
    </r>
  </si>
  <si>
    <t>1 030</t>
  </si>
  <si>
    <t>1 064</t>
  </si>
  <si>
    <r>
      <t>1</t>
    </r>
    <r>
      <rPr>
        <b/>
        <sz val="7"/>
        <color theme="1"/>
        <rFont val="Arial"/>
        <family val="2"/>
      </rPr>
      <t> </t>
    </r>
    <r>
      <rPr>
        <sz val="7"/>
        <color theme="1"/>
        <rFont val="Arial"/>
        <family val="2"/>
      </rPr>
      <t>043</t>
    </r>
  </si>
  <si>
    <t>1 032</t>
  </si>
  <si>
    <t>1 066</t>
  </si>
  <si>
    <r>
      <t> </t>
    </r>
    <r>
      <rPr>
        <sz val="7"/>
        <color theme="1"/>
        <rFont val="Arial"/>
        <family val="2"/>
      </rPr>
      <t>930</t>
    </r>
  </si>
  <si>
    <t>1 189</t>
  </si>
  <si>
    <t>1 081</t>
  </si>
  <si>
    <r>
      <t>1</t>
    </r>
    <r>
      <rPr>
        <b/>
        <sz val="7"/>
        <color theme="1"/>
        <rFont val="Arial"/>
        <family val="2"/>
      </rPr>
      <t> </t>
    </r>
    <r>
      <rPr>
        <sz val="7"/>
        <color theme="1"/>
        <rFont val="Arial"/>
        <family val="2"/>
      </rPr>
      <t>095</t>
    </r>
  </si>
  <si>
    <t>1 734</t>
  </si>
  <si>
    <t>1 941</t>
  </si>
  <si>
    <t>2 074</t>
  </si>
  <si>
    <r>
      <t>2</t>
    </r>
    <r>
      <rPr>
        <b/>
        <sz val="7"/>
        <color theme="1"/>
        <rFont val="Arial"/>
        <family val="2"/>
      </rPr>
      <t> </t>
    </r>
    <r>
      <rPr>
        <sz val="7"/>
        <color theme="1"/>
        <rFont val="Arial"/>
        <family val="2"/>
      </rPr>
      <t>175</t>
    </r>
  </si>
  <si>
    <t>3 079</t>
  </si>
  <si>
    <t>4 901</t>
  </si>
  <si>
    <t>2 427</t>
  </si>
  <si>
    <r>
      <t>3</t>
    </r>
    <r>
      <rPr>
        <b/>
        <sz val="7"/>
        <color theme="1"/>
        <rFont val="Arial"/>
        <family val="2"/>
      </rPr>
      <t> </t>
    </r>
    <r>
      <rPr>
        <sz val="7"/>
        <color theme="1"/>
        <rFont val="Arial"/>
        <family val="2"/>
      </rPr>
      <t>001</t>
    </r>
  </si>
  <si>
    <t>1 026</t>
  </si>
  <si>
    <t>1 071</t>
  </si>
  <si>
    <t>1 333</t>
  </si>
  <si>
    <t>1 359</t>
  </si>
  <si>
    <t>1 310</t>
  </si>
  <si>
    <r>
      <t>1</t>
    </r>
    <r>
      <rPr>
        <b/>
        <sz val="7"/>
        <color theme="1"/>
        <rFont val="Arial"/>
        <family val="2"/>
      </rPr>
      <t> </t>
    </r>
    <r>
      <rPr>
        <sz val="7"/>
        <color theme="1"/>
        <rFont val="Arial"/>
        <family val="2"/>
      </rPr>
      <t>329</t>
    </r>
  </si>
  <si>
    <t>1 173</t>
  </si>
  <si>
    <t>1 207</t>
  </si>
  <si>
    <t>1 303</t>
  </si>
  <si>
    <r>
      <t>1</t>
    </r>
    <r>
      <rPr>
        <b/>
        <sz val="7"/>
        <color theme="1"/>
        <rFont val="Arial"/>
        <family val="2"/>
      </rPr>
      <t> </t>
    </r>
    <r>
      <rPr>
        <sz val="7"/>
        <color theme="1"/>
        <rFont val="Arial"/>
        <family val="2"/>
      </rPr>
      <t>320</t>
    </r>
  </si>
  <si>
    <t>2 223</t>
  </si>
  <si>
    <t>2 803</t>
  </si>
  <si>
    <t>2 874</t>
  </si>
  <si>
    <r>
      <t>2</t>
    </r>
    <r>
      <rPr>
        <b/>
        <sz val="7"/>
        <color theme="1"/>
        <rFont val="Arial"/>
        <family val="2"/>
      </rPr>
      <t> </t>
    </r>
    <r>
      <rPr>
        <sz val="7"/>
        <color theme="1"/>
        <rFont val="Arial"/>
        <family val="2"/>
      </rPr>
      <t>878</t>
    </r>
  </si>
  <si>
    <t>1 669</t>
  </si>
  <si>
    <t>1 947</t>
  </si>
  <si>
    <t>2 308</t>
  </si>
  <si>
    <r>
      <t>2</t>
    </r>
    <r>
      <rPr>
        <b/>
        <sz val="7"/>
        <color theme="1"/>
        <rFont val="Arial"/>
        <family val="2"/>
      </rPr>
      <t> </t>
    </r>
    <r>
      <rPr>
        <sz val="7"/>
        <color theme="1"/>
        <rFont val="Arial"/>
        <family val="2"/>
      </rPr>
      <t>578</t>
    </r>
  </si>
  <si>
    <t>1 234</t>
  </si>
  <si>
    <t>1 313</t>
  </si>
  <si>
    <r>
      <t>1</t>
    </r>
    <r>
      <rPr>
        <b/>
        <sz val="7"/>
        <color theme="1"/>
        <rFont val="Arial"/>
        <family val="2"/>
      </rPr>
      <t> </t>
    </r>
    <r>
      <rPr>
        <sz val="7"/>
        <color theme="1"/>
        <rFont val="Arial"/>
        <family val="2"/>
      </rPr>
      <t>344</t>
    </r>
  </si>
  <si>
    <t>1 048</t>
  </si>
  <si>
    <t>1 128</t>
  </si>
  <si>
    <t>1 263</t>
  </si>
  <si>
    <r>
      <t>1</t>
    </r>
    <r>
      <rPr>
        <b/>
        <sz val="7"/>
        <color theme="1"/>
        <rFont val="Arial"/>
        <family val="2"/>
      </rPr>
      <t> </t>
    </r>
    <r>
      <rPr>
        <sz val="7"/>
        <color theme="1"/>
        <rFont val="Arial"/>
        <family val="2"/>
      </rPr>
      <t>299</t>
    </r>
  </si>
  <si>
    <t>5 084</t>
  </si>
  <si>
    <t>8 239</t>
  </si>
  <si>
    <t>14 631</t>
  </si>
  <si>
    <r>
      <t>16</t>
    </r>
    <r>
      <rPr>
        <b/>
        <sz val="7"/>
        <color theme="1"/>
        <rFont val="Arial"/>
        <family val="2"/>
      </rPr>
      <t> </t>
    </r>
    <r>
      <rPr>
        <sz val="7"/>
        <color theme="1"/>
        <rFont val="Arial"/>
        <family val="2"/>
      </rPr>
      <t>313</t>
    </r>
  </si>
  <si>
    <t>8 318</t>
  </si>
  <si>
    <t>9 622</t>
  </si>
  <si>
    <t>11 251</t>
  </si>
  <si>
    <t>11 470</t>
  </si>
  <si>
    <r>
      <t>1</t>
    </r>
    <r>
      <rPr>
        <b/>
        <sz val="7"/>
        <color theme="1"/>
        <rFont val="Arial"/>
        <family val="2"/>
      </rPr>
      <t> </t>
    </r>
    <r>
      <rPr>
        <sz val="7"/>
        <color theme="1"/>
        <rFont val="Arial"/>
        <family val="2"/>
      </rPr>
      <t>106</t>
    </r>
  </si>
  <si>
    <r>
      <t>1</t>
    </r>
    <r>
      <rPr>
        <b/>
        <sz val="7"/>
        <color theme="1"/>
        <rFont val="Arial"/>
        <family val="2"/>
      </rPr>
      <t> </t>
    </r>
    <r>
      <rPr>
        <sz val="7"/>
        <color theme="1"/>
        <rFont val="Arial"/>
        <family val="2"/>
      </rPr>
      <t>154</t>
    </r>
  </si>
  <si>
    <t>без автономного округа</t>
  </si>
  <si>
    <r>
      <t>1</t>
    </r>
    <r>
      <rPr>
        <b/>
        <sz val="7"/>
        <color theme="1"/>
        <rFont val="Arial"/>
        <family val="2"/>
      </rPr>
      <t> </t>
    </r>
    <r>
      <rPr>
        <sz val="7"/>
        <color theme="1"/>
        <rFont val="Arial"/>
        <family val="2"/>
      </rPr>
      <t>115</t>
    </r>
  </si>
  <si>
    <t>1 015</t>
  </si>
  <si>
    <t>1 058</t>
  </si>
  <si>
    <t>1 113</t>
  </si>
  <si>
    <r>
      <t>1</t>
    </r>
    <r>
      <rPr>
        <b/>
        <sz val="7"/>
        <color theme="1"/>
        <rFont val="Arial"/>
        <family val="2"/>
      </rPr>
      <t> </t>
    </r>
    <r>
      <rPr>
        <sz val="7"/>
        <color theme="1"/>
        <rFont val="Arial"/>
        <family val="2"/>
      </rPr>
      <t>134</t>
    </r>
  </si>
  <si>
    <r>
      <t>1</t>
    </r>
    <r>
      <rPr>
        <b/>
        <sz val="7"/>
        <color theme="1"/>
        <rFont val="Arial"/>
        <family val="2"/>
      </rPr>
      <t> </t>
    </r>
    <r>
      <rPr>
        <sz val="7"/>
        <color theme="1"/>
        <rFont val="Arial"/>
        <family val="2"/>
      </rPr>
      <t>947</t>
    </r>
  </si>
  <si>
    <t>2 270</t>
  </si>
  <si>
    <t>2 539</t>
  </si>
  <si>
    <t>2 937</t>
  </si>
  <si>
    <r>
      <t>2</t>
    </r>
    <r>
      <rPr>
        <b/>
        <sz val="7"/>
        <color theme="1"/>
        <rFont val="Arial"/>
        <family val="2"/>
      </rPr>
      <t> </t>
    </r>
    <r>
      <rPr>
        <sz val="7"/>
        <color theme="1"/>
        <rFont val="Arial"/>
        <family val="2"/>
      </rPr>
      <t>972</t>
    </r>
  </si>
  <si>
    <t>14 180</t>
  </si>
  <si>
    <t>17 459</t>
  </si>
  <si>
    <t>17 489</t>
  </si>
  <si>
    <t>17 937</t>
  </si>
  <si>
    <t>1 577</t>
  </si>
  <si>
    <t>1 434</t>
  </si>
  <si>
    <r>
      <t>1</t>
    </r>
    <r>
      <rPr>
        <b/>
        <sz val="7"/>
        <color theme="1"/>
        <rFont val="Arial"/>
        <family val="2"/>
      </rPr>
      <t> </t>
    </r>
    <r>
      <rPr>
        <sz val="7"/>
        <color theme="1"/>
        <rFont val="Arial"/>
        <family val="2"/>
      </rPr>
      <t>546</t>
    </r>
  </si>
  <si>
    <t>5 016</t>
  </si>
  <si>
    <t>5 414</t>
  </si>
  <si>
    <t>5 466</t>
  </si>
  <si>
    <r>
      <t>5</t>
    </r>
    <r>
      <rPr>
        <b/>
        <sz val="7"/>
        <color theme="1"/>
        <rFont val="Arial"/>
        <family val="2"/>
      </rPr>
      <t> </t>
    </r>
    <r>
      <rPr>
        <sz val="7"/>
        <color theme="1"/>
        <rFont val="Arial"/>
        <family val="2"/>
      </rPr>
      <t>672</t>
    </r>
  </si>
  <si>
    <t>2 085</t>
  </si>
  <si>
    <t>2 503</t>
  </si>
  <si>
    <t>2 570</t>
  </si>
  <si>
    <r>
      <t>2</t>
    </r>
    <r>
      <rPr>
        <b/>
        <sz val="7"/>
        <color theme="1"/>
        <rFont val="Arial"/>
        <family val="2"/>
      </rPr>
      <t> </t>
    </r>
    <r>
      <rPr>
        <sz val="7"/>
        <color theme="1"/>
        <rFont val="Arial"/>
        <family val="2"/>
      </rPr>
      <t>518</t>
    </r>
  </si>
  <si>
    <t>5 418</t>
  </si>
  <si>
    <t>5 844</t>
  </si>
  <si>
    <t>6 117</t>
  </si>
  <si>
    <r>
      <t>6</t>
    </r>
    <r>
      <rPr>
        <b/>
        <sz val="7"/>
        <color theme="1"/>
        <rFont val="Arial"/>
        <family val="2"/>
      </rPr>
      <t> </t>
    </r>
    <r>
      <rPr>
        <sz val="7"/>
        <color theme="1"/>
        <rFont val="Arial"/>
        <family val="2"/>
      </rPr>
      <t>269</t>
    </r>
  </si>
  <si>
    <t>6 807</t>
  </si>
  <si>
    <t>7 406</t>
  </si>
  <si>
    <t>8 174</t>
  </si>
  <si>
    <t>8 559</t>
  </si>
  <si>
    <t>1 844</t>
  </si>
  <si>
    <t>2 048</t>
  </si>
  <si>
    <t>2 127</t>
  </si>
  <si>
    <r>
      <t>2</t>
    </r>
    <r>
      <rPr>
        <b/>
        <sz val="7"/>
        <color theme="1"/>
        <rFont val="Arial"/>
        <family val="2"/>
      </rPr>
      <t> </t>
    </r>
    <r>
      <rPr>
        <sz val="7"/>
        <color theme="1"/>
        <rFont val="Arial"/>
        <family val="2"/>
      </rPr>
      <t>191</t>
    </r>
  </si>
  <si>
    <t>Республика Ингушетия</t>
  </si>
  <si>
    <t>Кабардино-Балкарская</t>
  </si>
  <si>
    <t>Республика</t>
  </si>
  <si>
    <t>Карачаево-Черкесская</t>
  </si>
  <si>
    <t>Республика Северная</t>
  </si>
  <si>
    <t>Осетия – Алания</t>
  </si>
  <si>
    <t>Чеченская Республика</t>
  </si>
  <si>
    <t>1 139</t>
  </si>
  <si>
    <r>
      <t>1</t>
    </r>
    <r>
      <rPr>
        <b/>
        <sz val="7"/>
        <color theme="1"/>
        <rFont val="Arial"/>
        <family val="2"/>
      </rPr>
      <t> </t>
    </r>
    <r>
      <rPr>
        <sz val="7"/>
        <color theme="1"/>
        <rFont val="Arial"/>
        <family val="2"/>
      </rPr>
      <t>167</t>
    </r>
  </si>
  <si>
    <t>2 699</t>
  </si>
  <si>
    <t>2 695</t>
  </si>
  <si>
    <t>2 890</t>
  </si>
  <si>
    <r>
      <t>2</t>
    </r>
    <r>
      <rPr>
        <b/>
        <sz val="7"/>
        <color theme="1"/>
        <rFont val="Arial"/>
        <family val="2"/>
      </rPr>
      <t> </t>
    </r>
    <r>
      <rPr>
        <sz val="7"/>
        <color theme="1"/>
        <rFont val="Arial"/>
        <family val="2"/>
      </rPr>
      <t>949</t>
    </r>
  </si>
  <si>
    <t>Спортивные залы</t>
  </si>
  <si>
    <t>Плавательные бассейны</t>
  </si>
  <si>
    <t>72 381</t>
  </si>
  <si>
    <t>72 016</t>
  </si>
  <si>
    <t>75 281</t>
  </si>
  <si>
    <t>4 237</t>
  </si>
  <si>
    <t>5 196</t>
  </si>
  <si>
    <t>6 229</t>
  </si>
  <si>
    <t>15 586</t>
  </si>
  <si>
    <t>16 859</t>
  </si>
  <si>
    <t>18 037</t>
  </si>
  <si>
    <t>1 216</t>
  </si>
  <si>
    <t>1 401</t>
  </si>
  <si>
    <t>1 741</t>
  </si>
  <si>
    <t>1 285</t>
  </si>
  <si>
    <t>1 428</t>
  </si>
  <si>
    <t>1 308</t>
  </si>
  <si>
    <t>1 338</t>
  </si>
  <si>
    <t>1 886</t>
  </si>
  <si>
    <t>2 207</t>
  </si>
  <si>
    <t>2 382</t>
  </si>
  <si>
    <t>2 528</t>
  </si>
  <si>
    <t>1 275</t>
  </si>
  <si>
    <t>2 923</t>
  </si>
  <si>
    <t>3 617</t>
  </si>
  <si>
    <t>4 392</t>
  </si>
  <si>
    <t>4 471</t>
  </si>
  <si>
    <t>6 549</t>
  </si>
  <si>
    <t>6 258</t>
  </si>
  <si>
    <t>6 647</t>
  </si>
  <si>
    <t>1 573</t>
  </si>
  <si>
    <t>1 773</t>
  </si>
  <si>
    <t>1 936</t>
  </si>
  <si>
    <t>2 010</t>
  </si>
  <si>
    <t>5 567</t>
  </si>
  <si>
    <t>6 840</t>
  </si>
  <si>
    <t>7 386</t>
  </si>
  <si>
    <t>2 000</t>
  </si>
  <si>
    <t>2 150</t>
  </si>
  <si>
    <t>2 437</t>
  </si>
  <si>
    <t>2 537</t>
  </si>
  <si>
    <t>1 069</t>
  </si>
  <si>
    <t>1 149</t>
  </si>
  <si>
    <t>1 227</t>
  </si>
  <si>
    <t>1 242</t>
  </si>
  <si>
    <t>1 765</t>
  </si>
  <si>
    <t>1 896</t>
  </si>
  <si>
    <t>1 924</t>
  </si>
  <si>
    <t>3 410</t>
  </si>
  <si>
    <t>3 725</t>
  </si>
  <si>
    <t>4 245</t>
  </si>
  <si>
    <t>1 035</t>
  </si>
  <si>
    <t>1 065</t>
  </si>
  <si>
    <t>1 038</t>
  </si>
  <si>
    <t>1 099</t>
  </si>
  <si>
    <t>1 196</t>
  </si>
  <si>
    <t>30 955</t>
  </si>
  <si>
    <t>33 659</t>
  </si>
  <si>
    <t>33 152</t>
  </si>
  <si>
    <t>5 579</t>
  </si>
  <si>
    <t>6 345</t>
  </si>
  <si>
    <t>6 854</t>
  </si>
  <si>
    <t>7 064</t>
  </si>
  <si>
    <t>1 003</t>
  </si>
  <si>
    <t>1 000</t>
  </si>
  <si>
    <t>1 268</t>
  </si>
  <si>
    <t>1 143</t>
  </si>
  <si>
    <t>1 137</t>
  </si>
  <si>
    <t>4 661</t>
  </si>
  <si>
    <t>5 172</t>
  </si>
  <si>
    <t>3 592</t>
  </si>
  <si>
    <t>3 630</t>
  </si>
  <si>
    <t>1 260</t>
  </si>
  <si>
    <t>1 369</t>
  </si>
  <si>
    <t>1 346</t>
  </si>
  <si>
    <t>1 319</t>
  </si>
  <si>
    <t>2 210</t>
  </si>
  <si>
    <t>2 253</t>
  </si>
  <si>
    <t>2 418</t>
  </si>
  <si>
    <t>2 451</t>
  </si>
  <si>
    <t>2 204</t>
  </si>
  <si>
    <t>2 329</t>
  </si>
  <si>
    <t>2 484</t>
  </si>
  <si>
    <t>2 663</t>
  </si>
  <si>
    <t>1 087</t>
  </si>
  <si>
    <t>1 028</t>
  </si>
  <si>
    <t>2 530</t>
  </si>
  <si>
    <t>2 830</t>
  </si>
  <si>
    <t>2 928</t>
  </si>
  <si>
    <t>2 924</t>
  </si>
  <si>
    <t>2 490</t>
  </si>
  <si>
    <t>2 535</t>
  </si>
  <si>
    <t>2 621</t>
  </si>
  <si>
    <t>2 626</t>
  </si>
  <si>
    <t>2 060</t>
  </si>
  <si>
    <t>2 235</t>
  </si>
  <si>
    <t>2 364</t>
  </si>
  <si>
    <t>2 366</t>
  </si>
  <si>
    <t>1 971</t>
  </si>
  <si>
    <t>2 313</t>
  </si>
  <si>
    <t>2 625</t>
  </si>
  <si>
    <t>2 659</t>
  </si>
  <si>
    <t>1 614</t>
  </si>
  <si>
    <t>1 622</t>
  </si>
  <si>
    <t>1 718</t>
  </si>
  <si>
    <t>1 185</t>
  </si>
  <si>
    <t>1 298</t>
  </si>
  <si>
    <t>1 036</t>
  </si>
  <si>
    <t>10 717</t>
  </si>
  <si>
    <t>11 845</t>
  </si>
  <si>
    <t>12 435</t>
  </si>
  <si>
    <t>1 042</t>
  </si>
  <si>
    <t>1 289</t>
  </si>
  <si>
    <t>1 391</t>
  </si>
  <si>
    <t>1 375</t>
  </si>
  <si>
    <t>4 062</t>
  </si>
  <si>
    <t>4 151</t>
  </si>
  <si>
    <t>4 052</t>
  </si>
  <si>
    <t>4 135</t>
  </si>
  <si>
    <t>3 888</t>
  </si>
  <si>
    <t>автономный округ – Югра</t>
  </si>
  <si>
    <t>1 277</t>
  </si>
  <si>
    <t>1 507</t>
  </si>
  <si>
    <t>1 712</t>
  </si>
  <si>
    <t>2 274</t>
  </si>
  <si>
    <t>3 575</t>
  </si>
  <si>
    <t>3 347</t>
  </si>
  <si>
    <t>3 411</t>
  </si>
  <si>
    <t>17 663</t>
  </si>
  <si>
    <t>18 986</t>
  </si>
  <si>
    <t>18 562</t>
  </si>
  <si>
    <t>3 352</t>
  </si>
  <si>
    <t>2 919</t>
  </si>
  <si>
    <t>2 979</t>
  </si>
  <si>
    <t>3 150</t>
  </si>
  <si>
    <t>2 615</t>
  </si>
  <si>
    <t>2 799</t>
  </si>
  <si>
    <t>2 739</t>
  </si>
  <si>
    <t>2 953</t>
  </si>
  <si>
    <t>1 652</t>
  </si>
  <si>
    <t>1 913</t>
  </si>
  <si>
    <t>1 864</t>
  </si>
  <si>
    <t>1 906</t>
  </si>
  <si>
    <t>3 829</t>
  </si>
  <si>
    <t>4 457</t>
  </si>
  <si>
    <t>4 121</t>
  </si>
  <si>
    <t>4 057</t>
  </si>
  <si>
    <t>2 097</t>
  </si>
  <si>
    <t>2 262</t>
  </si>
  <si>
    <t>2 089</t>
  </si>
  <si>
    <t>2 180</t>
  </si>
  <si>
    <t>2 517</t>
  </si>
  <si>
    <t>2 694</t>
  </si>
  <si>
    <t>2 669</t>
  </si>
  <si>
    <t>8 481</t>
  </si>
  <si>
    <t>8 937</t>
  </si>
  <si>
    <t>8 113</t>
  </si>
  <si>
    <t>1 057</t>
  </si>
  <si>
    <t>1 124</t>
  </si>
  <si>
    <t>1 774</t>
  </si>
  <si>
    <t>1 509</t>
  </si>
  <si>
    <t>1 849</t>
  </si>
  <si>
    <t>1 953</t>
  </si>
  <si>
    <t>1 679</t>
  </si>
  <si>
    <t>1 686</t>
  </si>
  <si>
    <t>1 589</t>
  </si>
  <si>
    <t>1 581</t>
  </si>
  <si>
    <t>1 585</t>
  </si>
  <si>
    <t>1 245</t>
  </si>
  <si>
    <t>1 212</t>
  </si>
  <si>
    <t>1 271</t>
  </si>
  <si>
    <t>1 280</t>
  </si>
  <si>
    <t>_________</t>
  </si>
  <si>
    <r>
      <t xml:space="preserve">1) </t>
    </r>
    <r>
      <rPr>
        <sz val="6"/>
        <color theme="1"/>
        <rFont val="Arial"/>
        <family val="2"/>
      </rPr>
      <t xml:space="preserve">По данным Министерства спорта Российской Федерации. </t>
    </r>
  </si>
  <si>
    <t>17 884</t>
  </si>
  <si>
    <t>16 339</t>
  </si>
  <si>
    <t>16 928</t>
  </si>
  <si>
    <t>1 160</t>
  </si>
  <si>
    <t>3 367</t>
  </si>
  <si>
    <t>2 507</t>
  </si>
  <si>
    <t>2 612</t>
  </si>
  <si>
    <t>1 935</t>
  </si>
  <si>
    <t>1 993</t>
  </si>
  <si>
    <t>2 012</t>
  </si>
  <si>
    <t>1 020</t>
  </si>
  <si>
    <t>1 528</t>
  </si>
  <si>
    <t>1 250</t>
  </si>
  <si>
    <t>1 287</t>
  </si>
  <si>
    <t>1 497</t>
  </si>
  <si>
    <t>1 673</t>
  </si>
  <si>
    <t>1 879</t>
  </si>
  <si>
    <t>1 183</t>
  </si>
  <si>
    <t>1 195</t>
  </si>
  <si>
    <t>1 356</t>
  </si>
  <si>
    <t>1 451</t>
  </si>
  <si>
    <t>1 502</t>
  </si>
  <si>
    <t>1 457</t>
  </si>
  <si>
    <t>1 348</t>
  </si>
  <si>
    <t>7 314</t>
  </si>
  <si>
    <t>7 280</t>
  </si>
  <si>
    <t>7 534</t>
  </si>
  <si>
    <t>2 355</t>
  </si>
  <si>
    <t>2 642</t>
  </si>
  <si>
    <t>2 454</t>
  </si>
  <si>
    <t>2 417</t>
  </si>
  <si>
    <t>2 287</t>
  </si>
  <si>
    <t>1 084</t>
  </si>
  <si>
    <t>1 806</t>
  </si>
  <si>
    <t>1 764</t>
  </si>
  <si>
    <t>1 858</t>
  </si>
  <si>
    <t>11 070</t>
  </si>
  <si>
    <t>9 696</t>
  </si>
  <si>
    <t>9 474</t>
  </si>
  <si>
    <t>1 564</t>
  </si>
  <si>
    <t>1 584</t>
  </si>
  <si>
    <t>1 674</t>
  </si>
  <si>
    <t>2 019</t>
  </si>
  <si>
    <t>2 134</t>
  </si>
  <si>
    <t>1 578</t>
  </si>
  <si>
    <t>1 230</t>
  </si>
  <si>
    <t>1 320</t>
  </si>
  <si>
    <t>1 329</t>
  </si>
  <si>
    <t>2 740</t>
  </si>
  <si>
    <t>1 126</t>
  </si>
  <si>
    <t>1 232</t>
  </si>
  <si>
    <t>1 300</t>
  </si>
  <si>
    <t>1 357</t>
  </si>
  <si>
    <t>1 203</t>
  </si>
  <si>
    <t>5 001</t>
  </si>
  <si>
    <t>5 019</t>
  </si>
  <si>
    <t>5 030</t>
  </si>
  <si>
    <t>1 121</t>
  </si>
  <si>
    <t>1 088</t>
  </si>
  <si>
    <t>1 082</t>
  </si>
  <si>
    <t>7.2. ЧИСЛО СПОРТИВНЫХ СООРУЖЕНИЙ</t>
  </si>
  <si>
    <t>7.3. ОБЩЕДОСТУПНЫЕ БИБЛИОТЕКИ</t>
  </si>
  <si>
    <r>
      <t>Библиотечный фонд на 1 000 человек населения</t>
    </r>
    <r>
      <rPr>
        <vertAlign val="superscript"/>
        <sz val="6"/>
        <color theme="1"/>
        <rFont val="Arial"/>
        <family val="2"/>
      </rPr>
      <t>1);2)</t>
    </r>
  </si>
  <si>
    <t>(на конец года; экземпляров)</t>
  </si>
  <si>
    <r>
      <t>Численность пользователей</t>
    </r>
    <r>
      <rPr>
        <vertAlign val="superscript"/>
        <sz val="6"/>
        <color theme="1"/>
        <rFont val="Arial"/>
        <family val="2"/>
      </rPr>
      <t>3)</t>
    </r>
    <r>
      <rPr>
        <sz val="7"/>
        <color theme="1"/>
        <rFont val="Arial"/>
        <family val="2"/>
      </rPr>
      <t>,</t>
    </r>
  </si>
  <si>
    <t>тыс. человек</t>
  </si>
  <si>
    <t xml:space="preserve">занимаемое </t>
  </si>
  <si>
    <t xml:space="preserve">в Российской </t>
  </si>
  <si>
    <t>Федерации</t>
  </si>
  <si>
    <t>6 459</t>
  </si>
  <si>
    <t>5 591</t>
  </si>
  <si>
    <t>55 971</t>
  </si>
  <si>
    <t>51 992</t>
  </si>
  <si>
    <t>44 028</t>
  </si>
  <si>
    <t>51 691</t>
  </si>
  <si>
    <t>6 934</t>
  </si>
  <si>
    <t>5 661</t>
  </si>
  <si>
    <t>14 225</t>
  </si>
  <si>
    <t>12 448</t>
  </si>
  <si>
    <t>9 876</t>
  </si>
  <si>
    <t>11 025</t>
  </si>
  <si>
    <t>6 973</t>
  </si>
  <si>
    <t>6 044</t>
  </si>
  <si>
    <t>7 473</t>
  </si>
  <si>
    <t>6 870</t>
  </si>
  <si>
    <t>6 989</t>
  </si>
  <si>
    <t>6 621</t>
  </si>
  <si>
    <t>6 833</t>
  </si>
  <si>
    <t>5 967</t>
  </si>
  <si>
    <t>8 340</t>
  </si>
  <si>
    <t>8 560</t>
  </si>
  <si>
    <t>7 775</t>
  </si>
  <si>
    <t>6 675</t>
  </si>
  <si>
    <t>11 982</t>
  </si>
  <si>
    <t>10 356</t>
  </si>
  <si>
    <t>10 485</t>
  </si>
  <si>
    <t>8 195</t>
  </si>
  <si>
    <t>7 505</t>
  </si>
  <si>
    <t>6 908</t>
  </si>
  <si>
    <t>3 658</t>
  </si>
  <si>
    <t>1 928</t>
  </si>
  <si>
    <t>1 791</t>
  </si>
  <si>
    <t>1 607</t>
  </si>
  <si>
    <r>
      <t>1</t>
    </r>
    <r>
      <rPr>
        <b/>
        <sz val="7"/>
        <color theme="1"/>
        <rFont val="Arial"/>
        <family val="2"/>
      </rPr>
      <t> </t>
    </r>
    <r>
      <rPr>
        <sz val="7"/>
        <color theme="1"/>
        <rFont val="Arial"/>
        <family val="2"/>
      </rPr>
      <t>756</t>
    </r>
  </si>
  <si>
    <t>6 839</t>
  </si>
  <si>
    <t>6 841</t>
  </si>
  <si>
    <t>6 049</t>
  </si>
  <si>
    <t>5 806</t>
  </si>
  <si>
    <t>9 660</t>
  </si>
  <si>
    <t>9 132</t>
  </si>
  <si>
    <t>9 119</t>
  </si>
  <si>
    <t>9 351</t>
  </si>
  <si>
    <t>9 026</t>
  </si>
  <si>
    <t>7 894</t>
  </si>
  <si>
    <t>6 143</t>
  </si>
  <si>
    <t>4 444</t>
  </si>
  <si>
    <t>7 502</t>
  </si>
  <si>
    <t>6 663</t>
  </si>
  <si>
    <t>7 458</t>
  </si>
  <si>
    <t>6 266</t>
  </si>
  <si>
    <t>3 583</t>
  </si>
  <si>
    <t>3 006</t>
  </si>
  <si>
    <r>
      <t>1</t>
    </r>
    <r>
      <rPr>
        <b/>
        <sz val="7"/>
        <color theme="1"/>
        <rFont val="Arial"/>
        <family val="2"/>
      </rPr>
      <t> </t>
    </r>
    <r>
      <rPr>
        <sz val="7"/>
        <color theme="1"/>
        <rFont val="Arial"/>
        <family val="2"/>
      </rPr>
      <t>371</t>
    </r>
  </si>
  <si>
    <t>8 486</t>
  </si>
  <si>
    <t>7 435</t>
  </si>
  <si>
    <t>5 029</t>
  </si>
  <si>
    <t>4 859</t>
  </si>
  <si>
    <t>4 180</t>
  </si>
  <si>
    <t>4 831</t>
  </si>
  <si>
    <t>8 320</t>
  </si>
  <si>
    <t>7 563</t>
  </si>
  <si>
    <t>8 141</t>
  </si>
  <si>
    <t>6 388</t>
  </si>
  <si>
    <t>7 527</t>
  </si>
  <si>
    <t xml:space="preserve"> </t>
  </si>
  <si>
    <t>4 689</t>
  </si>
  <si>
    <t>9 421</t>
  </si>
  <si>
    <t>7 628</t>
  </si>
  <si>
    <t>7 349</t>
  </si>
  <si>
    <t>7 298</t>
  </si>
  <si>
    <t>6 115</t>
  </si>
  <si>
    <t>5 158</t>
  </si>
  <si>
    <t>4 284</t>
  </si>
  <si>
    <t>3 212</t>
  </si>
  <si>
    <t>3 296</t>
  </si>
  <si>
    <t>10 157</t>
  </si>
  <si>
    <t>7 645</t>
  </si>
  <si>
    <t>8 940</t>
  </si>
  <si>
    <t>8 015</t>
  </si>
  <si>
    <t>12 327</t>
  </si>
  <si>
    <t>10 766</t>
  </si>
  <si>
    <t>10 737</t>
  </si>
  <si>
    <t>9 912</t>
  </si>
  <si>
    <t>1 272</t>
  </si>
  <si>
    <r>
      <t>1</t>
    </r>
    <r>
      <rPr>
        <b/>
        <sz val="7"/>
        <color theme="1"/>
        <rFont val="Arial"/>
        <family val="2"/>
      </rPr>
      <t> </t>
    </r>
    <r>
      <rPr>
        <sz val="7"/>
        <color theme="1"/>
        <rFont val="Arial"/>
        <family val="2"/>
      </rPr>
      <t>311</t>
    </r>
  </si>
  <si>
    <t>5 441</t>
  </si>
  <si>
    <t>4 748</t>
  </si>
  <si>
    <t>5 366</t>
  </si>
  <si>
    <t>5 279</t>
  </si>
  <si>
    <t>4 543</t>
  </si>
  <si>
    <t>5 556</t>
  </si>
  <si>
    <t>6 019</t>
  </si>
  <si>
    <t>4 957</t>
  </si>
  <si>
    <t>9 339</t>
  </si>
  <si>
    <t>5 432</t>
  </si>
  <si>
    <t>4 378</t>
  </si>
  <si>
    <t>3 892</t>
  </si>
  <si>
    <t>1 653</t>
  </si>
  <si>
    <r>
      <t>1</t>
    </r>
    <r>
      <rPr>
        <b/>
        <sz val="7"/>
        <color theme="1"/>
        <rFont val="Arial"/>
        <family val="2"/>
      </rPr>
      <t> </t>
    </r>
    <r>
      <rPr>
        <sz val="7"/>
        <color theme="1"/>
        <rFont val="Arial"/>
        <family val="2"/>
      </rPr>
      <t>626</t>
    </r>
  </si>
  <si>
    <t>6 310</t>
  </si>
  <si>
    <t>6 065</t>
  </si>
  <si>
    <t>5 667</t>
  </si>
  <si>
    <t>5 093</t>
  </si>
  <si>
    <t>1 049</t>
  </si>
  <si>
    <t>5 077</t>
  </si>
  <si>
    <t>1 658</t>
  </si>
  <si>
    <t>1 618</t>
  </si>
  <si>
    <r>
      <t>1</t>
    </r>
    <r>
      <rPr>
        <b/>
        <sz val="7"/>
        <color theme="1"/>
        <rFont val="Arial"/>
        <family val="2"/>
      </rPr>
      <t> </t>
    </r>
    <r>
      <rPr>
        <sz val="7"/>
        <color theme="1"/>
        <rFont val="Arial"/>
        <family val="2"/>
      </rPr>
      <t>499</t>
    </r>
  </si>
  <si>
    <r>
      <t>1</t>
    </r>
    <r>
      <rPr>
        <b/>
        <sz val="7"/>
        <color theme="1"/>
        <rFont val="Arial"/>
        <family val="2"/>
      </rPr>
      <t> </t>
    </r>
    <r>
      <rPr>
        <sz val="7"/>
        <color theme="1"/>
        <rFont val="Arial"/>
        <family val="2"/>
      </rPr>
      <t>995</t>
    </r>
  </si>
  <si>
    <t>2 732</t>
  </si>
  <si>
    <t>3 895</t>
  </si>
  <si>
    <t>3 593</t>
  </si>
  <si>
    <t>3 222</t>
  </si>
  <si>
    <t>3 013</t>
  </si>
  <si>
    <t>2 588</t>
  </si>
  <si>
    <t>3 251</t>
  </si>
  <si>
    <t>2 826</t>
  </si>
  <si>
    <t>2 361</t>
  </si>
  <si>
    <t>2 991</t>
  </si>
  <si>
    <t>5 785</t>
  </si>
  <si>
    <t>5 522</t>
  </si>
  <si>
    <t>5 852</t>
  </si>
  <si>
    <t>5 399</t>
  </si>
  <si>
    <t>5 465</t>
  </si>
  <si>
    <t>4 959</t>
  </si>
  <si>
    <t>1 158</t>
  </si>
  <si>
    <t>1 489</t>
  </si>
  <si>
    <t>5 080</t>
  </si>
  <si>
    <t>5 269</t>
  </si>
  <si>
    <t>1 142</t>
  </si>
  <si>
    <t>1 074</t>
  </si>
  <si>
    <r>
      <t>1</t>
    </r>
    <r>
      <rPr>
        <b/>
        <sz val="7"/>
        <color theme="1"/>
        <rFont val="Arial"/>
        <family val="2"/>
      </rPr>
      <t> </t>
    </r>
    <r>
      <rPr>
        <sz val="7"/>
        <color theme="1"/>
        <rFont val="Arial"/>
        <family val="2"/>
      </rPr>
      <t>133</t>
    </r>
  </si>
  <si>
    <t>6 844</t>
  </si>
  <si>
    <t>6 152</t>
  </si>
  <si>
    <t>13 365</t>
  </si>
  <si>
    <t>12 222</t>
  </si>
  <si>
    <t>10 913</t>
  </si>
  <si>
    <t>12 001</t>
  </si>
  <si>
    <t>8 204</t>
  </si>
  <si>
    <t>6 578</t>
  </si>
  <si>
    <t>2 033</t>
  </si>
  <si>
    <t>1 955</t>
  </si>
  <si>
    <t>1 789</t>
  </si>
  <si>
    <t>1 801</t>
  </si>
  <si>
    <t>8 235</t>
  </si>
  <si>
    <t>7 046</t>
  </si>
  <si>
    <t>8 494</t>
  </si>
  <si>
    <t>7 890</t>
  </si>
  <si>
    <t>6 318</t>
  </si>
  <si>
    <t>5 879</t>
  </si>
  <si>
    <t>1 558</t>
  </si>
  <si>
    <t>1 460</t>
  </si>
  <si>
    <t>1 382</t>
  </si>
  <si>
    <t>1 450</t>
  </si>
  <si>
    <t>3 826</t>
  </si>
  <si>
    <t>3 670</t>
  </si>
  <si>
    <t>7 841</t>
  </si>
  <si>
    <t>7 623</t>
  </si>
  <si>
    <t>4 736</t>
  </si>
  <si>
    <t>1 012</t>
  </si>
  <si>
    <t>1 054</t>
  </si>
  <si>
    <t>11 042</t>
  </si>
  <si>
    <t>10 596</t>
  </si>
  <si>
    <t>6 724</t>
  </si>
  <si>
    <t>5 878</t>
  </si>
  <si>
    <t>1 602</t>
  </si>
  <si>
    <t>1 384</t>
  </si>
  <si>
    <t>1 104</t>
  </si>
  <si>
    <t>1 236</t>
  </si>
  <si>
    <t>6 862</t>
  </si>
  <si>
    <t>6 615</t>
  </si>
  <si>
    <t>6 814</t>
  </si>
  <si>
    <t>6 635</t>
  </si>
  <si>
    <t>6 016</t>
  </si>
  <si>
    <t>5 251</t>
  </si>
  <si>
    <t>1 068</t>
  </si>
  <si>
    <t>1 037</t>
  </si>
  <si>
    <t>6 408</t>
  </si>
  <si>
    <t>5 732</t>
  </si>
  <si>
    <t>1 132</t>
  </si>
  <si>
    <t>7 303</t>
  </si>
  <si>
    <t>6 986</t>
  </si>
  <si>
    <t>4 976</t>
  </si>
  <si>
    <t>4 379</t>
  </si>
  <si>
    <t>4 235</t>
  </si>
  <si>
    <t>4 510</t>
  </si>
  <si>
    <t>3 736</t>
  </si>
  <si>
    <r>
      <t>4</t>
    </r>
    <r>
      <rPr>
        <sz val="7"/>
        <color theme="1"/>
        <rFont val="Arial"/>
        <family val="2"/>
      </rPr>
      <t> </t>
    </r>
    <r>
      <rPr>
        <b/>
        <sz val="7"/>
        <color theme="1"/>
        <rFont val="Arial"/>
        <family val="2"/>
      </rPr>
      <t>912</t>
    </r>
  </si>
  <si>
    <t>9 984</t>
  </si>
  <si>
    <t>9 320</t>
  </si>
  <si>
    <t>4 302</t>
  </si>
  <si>
    <t>3 679</t>
  </si>
  <si>
    <t>1 255</t>
  </si>
  <si>
    <t>1 443</t>
  </si>
  <si>
    <r>
      <t>1</t>
    </r>
    <r>
      <rPr>
        <b/>
        <sz val="7"/>
        <color theme="1"/>
        <rFont val="Arial"/>
        <family val="2"/>
      </rPr>
      <t> </t>
    </r>
    <r>
      <rPr>
        <sz val="7"/>
        <color theme="1"/>
        <rFont val="Arial"/>
        <family val="2"/>
      </rPr>
      <t>187</t>
    </r>
  </si>
  <si>
    <t>1 631</t>
  </si>
  <si>
    <t>4 029</t>
  </si>
  <si>
    <t>4 115</t>
  </si>
  <si>
    <t>1 222</t>
  </si>
  <si>
    <r>
      <t>1</t>
    </r>
    <r>
      <rPr>
        <b/>
        <sz val="7"/>
        <color theme="1"/>
        <rFont val="Arial"/>
        <family val="2"/>
      </rPr>
      <t> </t>
    </r>
    <r>
      <rPr>
        <sz val="7"/>
        <color theme="1"/>
        <rFont val="Arial"/>
        <family val="2"/>
      </rPr>
      <t>069</t>
    </r>
  </si>
  <si>
    <t>1 525</t>
  </si>
  <si>
    <t>2 929</t>
  </si>
  <si>
    <t>3 109</t>
  </si>
  <si>
    <t>Ямало-Ненецкий</t>
  </si>
  <si>
    <t>автономный округ</t>
  </si>
  <si>
    <t>2 914</t>
  </si>
  <si>
    <t>2 702</t>
  </si>
  <si>
    <t>5 723</t>
  </si>
  <si>
    <t>5 647</t>
  </si>
  <si>
    <t>5 427</t>
  </si>
  <si>
    <t>1 424</t>
  </si>
  <si>
    <t>1 494</t>
  </si>
  <si>
    <r>
      <t>1</t>
    </r>
    <r>
      <rPr>
        <b/>
        <sz val="7"/>
        <color theme="1"/>
        <rFont val="Arial"/>
        <family val="2"/>
      </rPr>
      <t> </t>
    </r>
    <r>
      <rPr>
        <sz val="7"/>
        <color theme="1"/>
        <rFont val="Arial"/>
        <family val="2"/>
      </rPr>
      <t>077</t>
    </r>
  </si>
  <si>
    <t>1 331</t>
  </si>
  <si>
    <t>6 404</t>
  </si>
  <si>
    <t>5 501</t>
  </si>
  <si>
    <t>7 209</t>
  </si>
  <si>
    <t>6 569</t>
  </si>
  <si>
    <t>5 357</t>
  </si>
  <si>
    <r>
      <t>6</t>
    </r>
    <r>
      <rPr>
        <sz val="7"/>
        <color theme="1"/>
        <rFont val="Arial"/>
        <family val="2"/>
      </rPr>
      <t> </t>
    </r>
    <r>
      <rPr>
        <b/>
        <sz val="7"/>
        <color theme="1"/>
        <rFont val="Arial"/>
        <family val="2"/>
      </rPr>
      <t>705</t>
    </r>
  </si>
  <si>
    <t>8 467</t>
  </si>
  <si>
    <t>6 929</t>
  </si>
  <si>
    <t>9 343</t>
  </si>
  <si>
    <t>8 758</t>
  </si>
  <si>
    <t>6 523</t>
  </si>
  <si>
    <t>5 803</t>
  </si>
  <si>
    <t>6 162</t>
  </si>
  <si>
    <t>6 081</t>
  </si>
  <si>
    <t>1 092</t>
  </si>
  <si>
    <t>7 461</t>
  </si>
  <si>
    <t>6 508</t>
  </si>
  <si>
    <t>1 334</t>
  </si>
  <si>
    <t>1 366</t>
  </si>
  <si>
    <t>5 503</t>
  </si>
  <si>
    <t>4 640</t>
  </si>
  <si>
    <t>6 263</t>
  </si>
  <si>
    <t>5 015</t>
  </si>
  <si>
    <t>1 072</t>
  </si>
  <si>
    <t>1 055</t>
  </si>
  <si>
    <t>5 675</t>
  </si>
  <si>
    <t>3 969</t>
  </si>
  <si>
    <t>1 197</t>
  </si>
  <si>
    <t>7 470</t>
  </si>
  <si>
    <t>7 014</t>
  </si>
  <si>
    <t>5 082</t>
  </si>
  <si>
    <t>4 664</t>
  </si>
  <si>
    <t>6 429</t>
  </si>
  <si>
    <t>6 071</t>
  </si>
  <si>
    <t>3 320</t>
  </si>
  <si>
    <t>3 091</t>
  </si>
  <si>
    <t>2 835</t>
  </si>
  <si>
    <r>
      <t>3</t>
    </r>
    <r>
      <rPr>
        <sz val="7"/>
        <color theme="1"/>
        <rFont val="Arial"/>
        <family val="2"/>
      </rPr>
      <t> </t>
    </r>
    <r>
      <rPr>
        <b/>
        <sz val="7"/>
        <color theme="1"/>
        <rFont val="Arial"/>
        <family val="2"/>
      </rPr>
      <t>411</t>
    </r>
  </si>
  <si>
    <t>6 322</t>
  </si>
  <si>
    <t>5 628</t>
  </si>
  <si>
    <t>8 904</t>
  </si>
  <si>
    <t>8 841</t>
  </si>
  <si>
    <t>7 321</t>
  </si>
  <si>
    <t>6 565</t>
  </si>
  <si>
    <t>8 282</t>
  </si>
  <si>
    <t>7 595</t>
  </si>
  <si>
    <t>3 548</t>
  </si>
  <si>
    <t>3 186</t>
  </si>
  <si>
    <t>6 463</t>
  </si>
  <si>
    <t>7 120</t>
  </si>
  <si>
    <t>6 294</t>
  </si>
  <si>
    <t>4 879</t>
  </si>
  <si>
    <t>11 381</t>
  </si>
  <si>
    <t>10 630</t>
  </si>
  <si>
    <t>6 901</t>
  </si>
  <si>
    <t>6 282</t>
  </si>
  <si>
    <t>8 551</t>
  </si>
  <si>
    <t>8 865</t>
  </si>
  <si>
    <t>15 640</t>
  </si>
  <si>
    <t>14 836</t>
  </si>
  <si>
    <r>
      <t>1)</t>
    </r>
    <r>
      <rPr>
        <sz val="6"/>
        <color theme="1"/>
        <rFont val="Arial"/>
        <family val="2"/>
      </rPr>
      <t xml:space="preserve"> Расчет осуществлен на основе данных Минкультуры России.</t>
    </r>
  </si>
  <si>
    <r>
      <t>2)</t>
    </r>
    <r>
      <rPr>
        <sz val="6"/>
        <color theme="1"/>
        <rFont val="Arial"/>
        <family val="2"/>
      </rPr>
      <t xml:space="preserve"> Данные за 2015, 2020, 2021 гг. пересчитаны с учетом итогов ВПН-2020.</t>
    </r>
  </si>
  <si>
    <r>
      <t xml:space="preserve">3) </t>
    </r>
    <r>
      <rPr>
        <sz val="6"/>
        <color theme="1"/>
        <rFont val="Arial"/>
        <family val="2"/>
      </rPr>
      <t>По данным Минкультуры России.</t>
    </r>
  </si>
  <si>
    <r>
      <t>7.4. ВЫПУСК ГАЗЕТ</t>
    </r>
    <r>
      <rPr>
        <sz val="7"/>
        <color theme="1"/>
        <rFont val="Arial"/>
        <family val="2"/>
      </rPr>
      <t xml:space="preserve"> </t>
    </r>
    <r>
      <rPr>
        <b/>
        <sz val="8"/>
        <color theme="1"/>
        <rFont val="Arial"/>
        <family val="2"/>
      </rPr>
      <t>на 1 000 человек населения</t>
    </r>
    <r>
      <rPr>
        <b/>
        <vertAlign val="superscript"/>
        <sz val="8"/>
        <color theme="1"/>
        <rFont val="Arial"/>
        <family val="2"/>
      </rPr>
      <t>1);2)</t>
    </r>
  </si>
  <si>
    <t>(разовый тираж; экземпляров)</t>
  </si>
  <si>
    <t>Место, занимаемое</t>
  </si>
  <si>
    <t>1 446</t>
  </si>
  <si>
    <t>2 414</t>
  </si>
  <si>
    <t>1 328</t>
  </si>
  <si>
    <t>1 005</t>
  </si>
  <si>
    <t>2 163</t>
  </si>
  <si>
    <t>1 217</t>
  </si>
  <si>
    <t>5 252</t>
  </si>
  <si>
    <t>1 368</t>
  </si>
  <si>
    <t>1 061</t>
  </si>
  <si>
    <t>3 523</t>
  </si>
  <si>
    <t>3 369</t>
  </si>
  <si>
    <t>5 929</t>
  </si>
  <si>
    <t>2 894</t>
  </si>
  <si>
    <t>2 651</t>
  </si>
  <si>
    <t>1 011</t>
  </si>
  <si>
    <t>1 301</t>
  </si>
  <si>
    <t>2 159</t>
  </si>
  <si>
    <t>1 130</t>
  </si>
  <si>
    <t>1 485</t>
  </si>
  <si>
    <t>1 079</t>
  </si>
  <si>
    <t>5 519</t>
  </si>
  <si>
    <t>1 388</t>
  </si>
  <si>
    <t>Южный федеральный округ</t>
  </si>
  <si>
    <t>1 050</t>
  </si>
  <si>
    <t>1 803</t>
  </si>
  <si>
    <t>1 163</t>
  </si>
  <si>
    <t>2 277</t>
  </si>
  <si>
    <t>1 591</t>
  </si>
  <si>
    <t>1 421</t>
  </si>
  <si>
    <t>1 103</t>
  </si>
  <si>
    <t>2 216</t>
  </si>
  <si>
    <t>1 412</t>
  </si>
  <si>
    <t>1 025</t>
  </si>
  <si>
    <t>Ханты-Мансийский автономный</t>
  </si>
  <si>
    <r>
      <t>1)</t>
    </r>
    <r>
      <rPr>
        <sz val="6"/>
        <color theme="1"/>
        <rFont val="Arial"/>
        <family val="2"/>
      </rPr>
      <t xml:space="preserve"> Расчет осуществлен на основе данных филиала «Российская книжная палата» ФГУП ИТАР-ТАСС, ТАСС. С 2021 г. на основе данных Минцифры России.</t>
    </r>
  </si>
  <si>
    <t>Стадионы с трибунами на 1500 мест и более</t>
  </si>
  <si>
    <t>Библиотечный фонд на 1 000 человек населения (на конец года; экземпляров)</t>
  </si>
  <si>
    <t>ВЫПУСК ГАЗЕТ на 1 000 человек населения</t>
  </si>
  <si>
    <t xml:space="preserve">Нижегородская область </t>
  </si>
  <si>
    <t xml:space="preserve">Свердловская область </t>
  </si>
  <si>
    <t xml:space="preserve">Новосибирская область </t>
  </si>
  <si>
    <t xml:space="preserve">Хабаровский край </t>
  </si>
  <si>
    <r>
      <t xml:space="preserve">1) </t>
    </r>
    <r>
      <rPr>
        <sz val="6"/>
        <color theme="1"/>
        <rFont val="Arial"/>
        <family val="2"/>
      </rPr>
      <t>Официальная статистическая информация сформирована по данным, предоставленным юридическими лицами (кроме субъектов малого предпринимательства) всех форм собственности и ведомственной принадлежности, оказывающими услуги по организации отдыха и оздоровлению детей за летний период (июнь – август)</t>
    </r>
  </si>
  <si>
    <t>по месту нахождения юридического лица.</t>
  </si>
  <si>
    <r>
      <t>2020</t>
    </r>
    <r>
      <rPr>
        <vertAlign val="superscript"/>
        <sz val="7"/>
        <color theme="1"/>
        <rFont val="Arial"/>
        <family val="2"/>
      </rPr>
      <t>2)</t>
    </r>
  </si>
  <si>
    <t>3 597,5</t>
  </si>
  <si>
    <t>3 925,2</t>
  </si>
  <si>
    <t>Численность детей, отдохнувших в них за лето, тыс. человек</t>
  </si>
  <si>
    <t>Стандартная ошибка</t>
  </si>
  <si>
    <t>df</t>
  </si>
  <si>
    <t>SS</t>
  </si>
  <si>
    <t>MS</t>
  </si>
  <si>
    <t>F</t>
  </si>
  <si>
    <t>Коэффициенты</t>
  </si>
  <si>
    <t>t-статистика</t>
  </si>
  <si>
    <t>P-Значение</t>
  </si>
  <si>
    <t>Верхние 95%</t>
  </si>
  <si>
    <t>Нижние 95,0%</t>
  </si>
  <si>
    <t>Верхние 95,0%</t>
  </si>
  <si>
    <t>Предсказанное Стадионы с трибунами на 1500 мест и более</t>
  </si>
  <si>
    <t>Остатки</t>
  </si>
  <si>
    <t>20 782,3</t>
  </si>
  <si>
    <t>21 178,0</t>
  </si>
  <si>
    <t>20 843,9</t>
  </si>
  <si>
    <r>
      <t>1</t>
    </r>
    <r>
      <rPr>
        <b/>
        <sz val="7"/>
        <color rgb="FF000000"/>
        <rFont val="Arial"/>
        <family val="2"/>
      </rPr>
      <t> </t>
    </r>
    <r>
      <rPr>
        <sz val="7"/>
        <color rgb="FF000000"/>
        <rFont val="Arial"/>
        <family val="2"/>
      </rPr>
      <t>158,9</t>
    </r>
  </si>
  <si>
    <r>
      <t>1</t>
    </r>
    <r>
      <rPr>
        <b/>
        <sz val="7"/>
        <color rgb="FF000000"/>
        <rFont val="Arial"/>
        <family val="2"/>
      </rPr>
      <t> </t>
    </r>
    <r>
      <rPr>
        <sz val="7"/>
        <color rgb="FF000000"/>
        <rFont val="Arial"/>
        <family val="2"/>
      </rPr>
      <t>092,5</t>
    </r>
  </si>
  <si>
    <t>1 135,4</t>
  </si>
  <si>
    <r>
      <t>3</t>
    </r>
    <r>
      <rPr>
        <b/>
        <sz val="7"/>
        <color rgb="FF000000"/>
        <rFont val="Arial"/>
        <family val="2"/>
      </rPr>
      <t> </t>
    </r>
    <r>
      <rPr>
        <sz val="7"/>
        <color rgb="FF000000"/>
        <rFont val="Arial"/>
        <family val="2"/>
      </rPr>
      <t>341,4</t>
    </r>
  </si>
  <si>
    <r>
      <t>3</t>
    </r>
    <r>
      <rPr>
        <b/>
        <sz val="7"/>
        <color rgb="FF000000"/>
        <rFont val="Arial"/>
        <family val="2"/>
      </rPr>
      <t> </t>
    </r>
    <r>
      <rPr>
        <sz val="7"/>
        <color rgb="FF000000"/>
        <rFont val="Arial"/>
        <family val="2"/>
      </rPr>
      <t>366,9</t>
    </r>
  </si>
  <si>
    <t>3 452,4</t>
  </si>
  <si>
    <r>
      <t>7</t>
    </r>
    <r>
      <rPr>
        <b/>
        <sz val="7"/>
        <color rgb="FF000000"/>
        <rFont val="Arial"/>
        <family val="2"/>
      </rPr>
      <t> </t>
    </r>
    <r>
      <rPr>
        <sz val="7"/>
        <color rgb="FF000000"/>
        <rFont val="Arial"/>
        <family val="2"/>
      </rPr>
      <t>871,8</t>
    </r>
  </si>
  <si>
    <r>
      <t>8</t>
    </r>
    <r>
      <rPr>
        <b/>
        <sz val="7"/>
        <color rgb="FF000000"/>
        <rFont val="Arial"/>
        <family val="2"/>
      </rPr>
      <t> </t>
    </r>
    <r>
      <rPr>
        <sz val="7"/>
        <color rgb="FF000000"/>
        <rFont val="Arial"/>
        <family val="2"/>
      </rPr>
      <t>598,0</t>
    </r>
  </si>
  <si>
    <t>8 466,1</t>
  </si>
  <si>
    <t>7 286,3</t>
  </si>
  <si>
    <t>7 296,8</t>
  </si>
  <si>
    <t>7 138,5</t>
  </si>
  <si>
    <t xml:space="preserve">в том числе: </t>
  </si>
  <si>
    <t>2 953,7</t>
  </si>
  <si>
    <t>3 164,8</t>
  </si>
  <si>
    <t>3 213,6</t>
  </si>
  <si>
    <t>6 478,6</t>
  </si>
  <si>
    <t>7 442,5</t>
  </si>
  <si>
    <t>7 695,5</t>
  </si>
  <si>
    <t>2 512,5</t>
  </si>
  <si>
    <t>2 546,1</t>
  </si>
  <si>
    <t>2 739,0</t>
  </si>
  <si>
    <t>1 243,0</t>
  </si>
  <si>
    <t>1 176,0</t>
  </si>
  <si>
    <t>1 129,8</t>
  </si>
  <si>
    <t>1 957,9</t>
  </si>
  <si>
    <t>1 948,8</t>
  </si>
  <si>
    <t>2 017,2</t>
  </si>
  <si>
    <t>3 650,4</t>
  </si>
  <si>
    <t>3 745,8</t>
  </si>
  <si>
    <t>4 044,1</t>
  </si>
  <si>
    <t>1 028,1</t>
  </si>
  <si>
    <t>1 063,4</t>
  </si>
  <si>
    <t>1 153,0</t>
  </si>
  <si>
    <t>1 236,4</t>
  </si>
  <si>
    <t>1 215,5</t>
  </si>
  <si>
    <t>1 294,1</t>
  </si>
  <si>
    <t>СРЕДНЕГОДОВАЯ ЧИСЛЕННОСТЬ ЗАНЯТЫХ</t>
  </si>
  <si>
    <t>14 579,5</t>
  </si>
  <si>
    <t>14 221,0</t>
  </si>
  <si>
    <t>13 496,4</t>
  </si>
  <si>
    <r>
      <t>1</t>
    </r>
    <r>
      <rPr>
        <b/>
        <sz val="7"/>
        <color rgb="FF000000"/>
        <rFont val="Arial"/>
        <family val="2"/>
      </rPr>
      <t> </t>
    </r>
    <r>
      <rPr>
        <sz val="7"/>
        <color rgb="FF000000"/>
        <rFont val="Arial"/>
        <family val="2"/>
      </rPr>
      <t>825,1</t>
    </r>
  </si>
  <si>
    <r>
      <t>1</t>
    </r>
    <r>
      <rPr>
        <b/>
        <sz val="7"/>
        <color rgb="FF000000"/>
        <rFont val="Arial"/>
        <family val="2"/>
      </rPr>
      <t> </t>
    </r>
    <r>
      <rPr>
        <sz val="7"/>
        <color rgb="FF000000"/>
        <rFont val="Arial"/>
        <family val="2"/>
      </rPr>
      <t>778,8</t>
    </r>
  </si>
  <si>
    <t>1 684,9</t>
  </si>
  <si>
    <r>
      <t>1</t>
    </r>
    <r>
      <rPr>
        <b/>
        <sz val="7"/>
        <color rgb="FF000000"/>
        <rFont val="Arial"/>
        <family val="2"/>
      </rPr>
      <t> </t>
    </r>
    <r>
      <rPr>
        <sz val="7"/>
        <color rgb="FF000000"/>
        <rFont val="Arial"/>
        <family val="2"/>
      </rPr>
      <t>949,3</t>
    </r>
  </si>
  <si>
    <r>
      <t>1</t>
    </r>
    <r>
      <rPr>
        <b/>
        <sz val="7"/>
        <color rgb="FF000000"/>
        <rFont val="Arial"/>
        <family val="2"/>
      </rPr>
      <t> </t>
    </r>
    <r>
      <rPr>
        <sz val="7"/>
        <color rgb="FF000000"/>
        <rFont val="Arial"/>
        <family val="2"/>
      </rPr>
      <t>950,3</t>
    </r>
  </si>
  <si>
    <t>1 993,6</t>
  </si>
  <si>
    <r>
      <t>1</t>
    </r>
    <r>
      <rPr>
        <b/>
        <sz val="7"/>
        <color rgb="FF000000"/>
        <rFont val="Arial"/>
        <family val="2"/>
      </rPr>
      <t> </t>
    </r>
    <r>
      <rPr>
        <sz val="7"/>
        <color rgb="FF000000"/>
        <rFont val="Arial"/>
        <family val="2"/>
      </rPr>
      <t>248,5</t>
    </r>
  </si>
  <si>
    <r>
      <t>1</t>
    </r>
    <r>
      <rPr>
        <b/>
        <sz val="7"/>
        <color rgb="FF000000"/>
        <rFont val="Arial"/>
        <family val="2"/>
      </rPr>
      <t> </t>
    </r>
    <r>
      <rPr>
        <sz val="7"/>
        <color rgb="FF000000"/>
        <rFont val="Arial"/>
        <family val="2"/>
      </rPr>
      <t>201,0</t>
    </r>
  </si>
  <si>
    <t>1 142,5</t>
  </si>
  <si>
    <r>
      <t>1</t>
    </r>
    <r>
      <rPr>
        <b/>
        <sz val="7"/>
        <color rgb="FF000000"/>
        <rFont val="Arial"/>
        <family val="2"/>
      </rPr>
      <t> </t>
    </r>
    <r>
      <rPr>
        <sz val="7"/>
        <color rgb="FF000000"/>
        <rFont val="Arial"/>
        <family val="2"/>
      </rPr>
      <t>728,1</t>
    </r>
  </si>
  <si>
    <r>
      <t>1</t>
    </r>
    <r>
      <rPr>
        <b/>
        <sz val="7"/>
        <color rgb="FF000000"/>
        <rFont val="Arial"/>
        <family val="2"/>
      </rPr>
      <t> </t>
    </r>
    <r>
      <rPr>
        <sz val="7"/>
        <color rgb="FF000000"/>
        <rFont val="Arial"/>
        <family val="2"/>
      </rPr>
      <t>653,6</t>
    </r>
  </si>
  <si>
    <t>1 639,9</t>
  </si>
  <si>
    <r>
      <t>1</t>
    </r>
    <r>
      <rPr>
        <b/>
        <sz val="7"/>
        <color rgb="FF000000"/>
        <rFont val="Arial"/>
        <family val="2"/>
      </rPr>
      <t> </t>
    </r>
    <r>
      <rPr>
        <sz val="7"/>
        <color rgb="FF000000"/>
        <rFont val="Arial"/>
        <family val="2"/>
      </rPr>
      <t>740,5</t>
    </r>
  </si>
  <si>
    <r>
      <t>1</t>
    </r>
    <r>
      <rPr>
        <b/>
        <sz val="7"/>
        <color rgb="FF000000"/>
        <rFont val="Arial"/>
        <family val="2"/>
      </rPr>
      <t> </t>
    </r>
    <r>
      <rPr>
        <sz val="7"/>
        <color rgb="FF000000"/>
        <rFont val="Arial"/>
        <family val="2"/>
      </rPr>
      <t>739,1</t>
    </r>
  </si>
  <si>
    <t>1 616,3</t>
  </si>
  <si>
    <r>
      <t>1</t>
    </r>
    <r>
      <rPr>
        <b/>
        <sz val="7"/>
        <color rgb="FF000000"/>
        <rFont val="Arial"/>
        <family val="2"/>
      </rPr>
      <t> </t>
    </r>
    <r>
      <rPr>
        <sz val="7"/>
        <color rgb="FF000000"/>
        <rFont val="Arial"/>
        <family val="2"/>
      </rPr>
      <t>155,7</t>
    </r>
  </si>
  <si>
    <r>
      <t>1</t>
    </r>
    <r>
      <rPr>
        <b/>
        <sz val="7"/>
        <color rgb="FF000000"/>
        <rFont val="Arial"/>
        <family val="2"/>
      </rPr>
      <t> </t>
    </r>
    <r>
      <rPr>
        <sz val="7"/>
        <color rgb="FF000000"/>
        <rFont val="Arial"/>
        <family val="2"/>
      </rPr>
      <t>149,4</t>
    </r>
  </si>
  <si>
    <t>1 059,3</t>
  </si>
  <si>
    <t>6 458,3</t>
  </si>
  <si>
    <t>6 425,9</t>
  </si>
  <si>
    <t>6 256,7</t>
  </si>
  <si>
    <r>
      <t>2</t>
    </r>
    <r>
      <rPr>
        <b/>
        <sz val="7"/>
        <color rgb="FF000000"/>
        <rFont val="Arial"/>
        <family val="2"/>
      </rPr>
      <t> </t>
    </r>
    <r>
      <rPr>
        <sz val="7"/>
        <color rgb="FF000000"/>
        <rFont val="Arial"/>
        <family val="2"/>
      </rPr>
      <t>174,7</t>
    </r>
  </si>
  <si>
    <r>
      <t>2</t>
    </r>
    <r>
      <rPr>
        <b/>
        <sz val="7"/>
        <color rgb="FF000000"/>
        <rFont val="Arial"/>
        <family val="2"/>
      </rPr>
      <t> </t>
    </r>
    <r>
      <rPr>
        <sz val="7"/>
        <color rgb="FF000000"/>
        <rFont val="Arial"/>
        <family val="2"/>
      </rPr>
      <t>137,9</t>
    </r>
  </si>
  <si>
    <t>2 017,4</t>
  </si>
  <si>
    <t>2 170,0</t>
  </si>
  <si>
    <t>2 209,8</t>
  </si>
  <si>
    <t>2 212,3</t>
  </si>
  <si>
    <t>1 023,5</t>
  </si>
  <si>
    <t>1 037,4</t>
  </si>
  <si>
    <t>1 070,6</t>
  </si>
  <si>
    <t>Тюменская область без автономных округов</t>
  </si>
  <si>
    <t>1 730,5</t>
  </si>
  <si>
    <t>1 718,3</t>
  </si>
  <si>
    <t>1 720,9</t>
  </si>
  <si>
    <t>8 121,2</t>
  </si>
  <si>
    <t>8 061,3</t>
  </si>
  <si>
    <t>7 815,8</t>
  </si>
  <si>
    <t>1 093,4</t>
  </si>
  <si>
    <t>1 055,9</t>
  </si>
  <si>
    <t>1 077,2</t>
  </si>
  <si>
    <t>1 437,9</t>
  </si>
  <si>
    <t>1 424,4</t>
  </si>
  <si>
    <t>1 380,8</t>
  </si>
  <si>
    <t>1 155,1</t>
  </si>
  <si>
    <t>1 158,8</t>
  </si>
  <si>
    <t>1 098,4</t>
  </si>
  <si>
    <t>1 284,3</t>
  </si>
  <si>
    <t>1 229,1</t>
  </si>
  <si>
    <t>1 157,8</t>
  </si>
  <si>
    <t>1 287,9</t>
  </si>
  <si>
    <t>1 363,5</t>
  </si>
  <si>
    <t>1 307,5</t>
  </si>
  <si>
    <t>4 136,5</t>
  </si>
  <si>
    <t>4 053,7</t>
  </si>
  <si>
    <t>3 926,1</t>
  </si>
  <si>
    <t>¾¾¾¾¾</t>
  </si>
  <si>
    <r>
      <t>1)</t>
    </r>
    <r>
      <rPr>
        <sz val="6"/>
        <color theme="1"/>
        <rFont val="Arial"/>
        <family val="2"/>
      </rPr>
      <t> Расчет на основе сведений, полученных из различных источников информации (см. методологические пояснения, стр. 192).</t>
    </r>
  </si>
  <si>
    <r>
      <t>2)</t>
    </r>
    <r>
      <rPr>
        <sz val="6"/>
        <color theme="1"/>
        <rFont val="Arial"/>
        <family val="2"/>
      </rPr>
      <t> Данные рассчитаны в соответствии с актуализированной методикой расчета баланса трудовых ресурсов и оценки затрат труда.</t>
    </r>
  </si>
  <si>
    <r>
      <t>3)</t>
    </r>
    <r>
      <rPr>
        <sz val="6"/>
        <color theme="1"/>
        <rFont val="Arial"/>
        <family val="2"/>
      </rPr>
      <t> Данные за 2015-2022 гг. публикуются без учета итогов ВПН-2020.</t>
    </r>
  </si>
  <si>
    <r>
      <t>федеральный округ</t>
    </r>
    <r>
      <rPr>
        <b/>
        <vertAlign val="superscript"/>
        <sz val="7"/>
        <color rgb="FF000000"/>
        <rFont val="Arial"/>
        <family val="2"/>
      </rPr>
      <t>2)</t>
    </r>
  </si>
  <si>
    <t>в силу Указа Президента Российской Федерации от 3 ноября 2018 г. № 632.</t>
  </si>
  <si>
    <t>РЕАЛЬНЫЕ ДЕНЕЖНЫЕ ДОХОДЫ НАСЕЛЕНИЯ (в процентах к предыдущему году)</t>
  </si>
  <si>
    <t>18 958</t>
  </si>
  <si>
    <t>47 386</t>
  </si>
  <si>
    <t>24 645</t>
  </si>
  <si>
    <t>62 684</t>
  </si>
  <si>
    <t>71 914</t>
  </si>
  <si>
    <t>16 993</t>
  </si>
  <si>
    <t>13 358</t>
  </si>
  <si>
    <t>12 956</t>
  </si>
  <si>
    <t>13 883</t>
  </si>
  <si>
    <t>11 124</t>
  </si>
  <si>
    <t>15 477</t>
  </si>
  <si>
    <t>13 315</t>
  </si>
  <si>
    <t>14 685</t>
  </si>
  <si>
    <t>15 936</t>
  </si>
  <si>
    <t>22 641</t>
  </si>
  <si>
    <t>13 115</t>
  </si>
  <si>
    <t>13 886</t>
  </si>
  <si>
    <t>14 546</t>
  </si>
  <si>
    <t>13 631</t>
  </si>
  <si>
    <t>13 873</t>
  </si>
  <si>
    <t>15 349</t>
  </si>
  <si>
    <t>14 491</t>
  </si>
  <si>
    <t>44 051</t>
  </si>
  <si>
    <t>19 837</t>
  </si>
  <si>
    <t>52 455</t>
  </si>
  <si>
    <t>58 669</t>
  </si>
  <si>
    <t>16 046</t>
  </si>
  <si>
    <t>22 260</t>
  </si>
  <si>
    <t>19 609</t>
  </si>
  <si>
    <t>52 270</t>
  </si>
  <si>
    <t>49 347</t>
  </si>
  <si>
    <t>55 952</t>
  </si>
  <si>
    <t>14 115</t>
  </si>
  <si>
    <t>16 040</t>
  </si>
  <si>
    <t>14 798</t>
  </si>
  <si>
    <t>24 047</t>
  </si>
  <si>
    <t>15 599</t>
  </si>
  <si>
    <t>12 798</t>
  </si>
  <si>
    <t>24 824</t>
  </si>
  <si>
    <t>15 114</t>
  </si>
  <si>
    <t>40 219</t>
  </si>
  <si>
    <t>45 063</t>
  </si>
  <si>
    <t>12 279</t>
  </si>
  <si>
    <t>7 774</t>
  </si>
  <si>
    <t>16 892</t>
  </si>
  <si>
    <t>14 697</t>
  </si>
  <si>
    <t>13 775</t>
  </si>
  <si>
    <t>14 647</t>
  </si>
  <si>
    <t>13 253</t>
  </si>
  <si>
    <t>32 330</t>
  </si>
  <si>
    <t>35 426</t>
  </si>
  <si>
    <t>15 678</t>
  </si>
  <si>
    <t>9 630</t>
  </si>
  <si>
    <t>11 290</t>
  </si>
  <si>
    <t>10 878</t>
  </si>
  <si>
    <t>13 193</t>
  </si>
  <si>
    <t>13 016</t>
  </si>
  <si>
    <t>Место, занима-емоев Российской Федерации  2023</t>
  </si>
  <si>
    <t>15 840</t>
  </si>
  <si>
    <t>41 765</t>
  </si>
  <si>
    <t>17 499</t>
  </si>
  <si>
    <t>36 463</t>
  </si>
  <si>
    <t>10 336</t>
  </si>
  <si>
    <t>11 294</t>
  </si>
  <si>
    <t>18 424</t>
  </si>
  <si>
    <t>12 984</t>
  </si>
  <si>
    <t>11 066</t>
  </si>
  <si>
    <t>19 834</t>
  </si>
  <si>
    <t>13 331</t>
  </si>
  <si>
    <t>16 477</t>
  </si>
  <si>
    <t>13 557</t>
  </si>
  <si>
    <t>12 920</t>
  </si>
  <si>
    <t>20 223</t>
  </si>
  <si>
    <t>12 147</t>
  </si>
  <si>
    <t>13 132</t>
  </si>
  <si>
    <r>
      <t>21</t>
    </r>
    <r>
      <rPr>
        <sz val="7"/>
        <color rgb="FF000000"/>
        <rFont val="Arial"/>
        <family val="2"/>
      </rPr>
      <t> </t>
    </r>
    <r>
      <rPr>
        <b/>
        <sz val="7"/>
        <color rgb="FF000000"/>
        <rFont val="Arial"/>
        <family val="2"/>
      </rPr>
      <t>832</t>
    </r>
  </si>
  <si>
    <t>13 499</t>
  </si>
  <si>
    <t>22 194</t>
  </si>
  <si>
    <t>28 757</t>
  </si>
  <si>
    <t>32 385</t>
  </si>
  <si>
    <t>72 634</t>
  </si>
  <si>
    <t>43 367</t>
  </si>
  <si>
    <t>16 821</t>
  </si>
  <si>
    <r>
      <t>15</t>
    </r>
    <r>
      <rPr>
        <sz val="7"/>
        <color rgb="FF000000"/>
        <rFont val="Arial"/>
        <family val="2"/>
      </rPr>
      <t> </t>
    </r>
    <r>
      <rPr>
        <b/>
        <sz val="7"/>
        <color rgb="FF000000"/>
        <rFont val="Arial"/>
        <family val="2"/>
      </rPr>
      <t>007</t>
    </r>
  </si>
  <si>
    <t>13 536</t>
  </si>
  <si>
    <t>10 160</t>
  </si>
  <si>
    <t>12 806</t>
  </si>
  <si>
    <t>11 029</t>
  </si>
  <si>
    <t>18 262</t>
  </si>
  <si>
    <t>15 110</t>
  </si>
  <si>
    <t>15 341</t>
  </si>
  <si>
    <t>16 276</t>
  </si>
  <si>
    <t>15 199</t>
  </si>
  <si>
    <t>15 070</t>
  </si>
  <si>
    <r>
      <t>20</t>
    </r>
    <r>
      <rPr>
        <sz val="7"/>
        <color rgb="FF000000"/>
        <rFont val="Arial"/>
        <family val="2"/>
      </rPr>
      <t> </t>
    </r>
    <r>
      <rPr>
        <b/>
        <sz val="7"/>
        <color rgb="FF000000"/>
        <rFont val="Arial"/>
        <family val="2"/>
      </rPr>
      <t>807</t>
    </r>
  </si>
  <si>
    <t>14 271</t>
  </si>
  <si>
    <t>23 088</t>
  </si>
  <si>
    <t>14 205</t>
  </si>
  <si>
    <t>27 010</t>
  </si>
  <si>
    <t>17 298</t>
  </si>
  <si>
    <t>22 479</t>
  </si>
  <si>
    <t>14 323</t>
  </si>
  <si>
    <t>27 801</t>
  </si>
  <si>
    <t>30 727</t>
  </si>
  <si>
    <t>15 348</t>
  </si>
  <si>
    <t>38 147</t>
  </si>
  <si>
    <r>
      <t xml:space="preserve">1) </t>
    </r>
    <r>
      <rPr>
        <sz val="6"/>
        <color theme="1"/>
        <rFont val="Arial"/>
        <family val="2"/>
      </rPr>
      <t>Данные за 2015, 2020-2022 гг. пересчитаны с учетом итогов ВПН-2020.</t>
    </r>
  </si>
  <si>
    <r>
      <t>2) </t>
    </r>
    <r>
      <rPr>
        <sz val="6"/>
        <color theme="1"/>
        <rFont val="Arial"/>
        <family val="2"/>
      </rPr>
      <t>Данные за 2010, 2015 гг. по Сибирскому и Дальневосточному федеральным округам приведены в составе субъектов Российской Федерации до вступления</t>
    </r>
  </si>
  <si>
    <t>4 274,4</t>
  </si>
  <si>
    <t>1 065,3</t>
  </si>
  <si>
    <t>Калинингpадская область</t>
  </si>
  <si>
    <t>Северо-Кавказский федеральный округ</t>
  </si>
  <si>
    <t xml:space="preserve">Республика Северная Осетия </t>
  </si>
  <si>
    <t>Приволжский федеральный округ</t>
  </si>
  <si>
    <t>Уральский федеральный округ</t>
  </si>
  <si>
    <t xml:space="preserve">Ханты-Мансийский автономный округ </t>
  </si>
  <si>
    <t>Сибирский федеральный округ</t>
  </si>
  <si>
    <t>Дальневосточный федеральный округ</t>
  </si>
  <si>
    <t>Регион</t>
  </si>
  <si>
    <t>Численность</t>
  </si>
  <si>
    <t xml:space="preserve"> населения</t>
  </si>
  <si>
    <t>на 1 января</t>
  </si>
  <si>
    <r>
      <t>2024 г.</t>
    </r>
    <r>
      <rPr>
        <sz val="6"/>
        <color theme="1"/>
        <rFont val="Arial"/>
        <family val="2"/>
      </rPr>
      <t xml:space="preserve"> </t>
    </r>
  </si>
  <si>
    <t>Реальные</t>
  </si>
  <si>
    <t>денежные</t>
  </si>
  <si>
    <t>доходы</t>
  </si>
  <si>
    <t>населения</t>
  </si>
  <si>
    <t>потреби-</t>
  </si>
  <si>
    <t>тельские</t>
  </si>
  <si>
    <t>расходы</t>
  </si>
  <si>
    <t xml:space="preserve">населения </t>
  </si>
  <si>
    <t>Реальная</t>
  </si>
  <si>
    <t>начисленная</t>
  </si>
  <si>
    <t>заработная плата работ-</t>
  </si>
  <si>
    <t>ников орга-</t>
  </si>
  <si>
    <t>низаций</t>
  </si>
  <si>
    <t>Валовой</t>
  </si>
  <si>
    <t>региональ-</t>
  </si>
  <si>
    <t>ный продукт</t>
  </si>
  <si>
    <r>
      <t>в 2022 г.</t>
    </r>
    <r>
      <rPr>
        <vertAlign val="superscript"/>
        <sz val="7"/>
        <color theme="1"/>
        <rFont val="Arial"/>
        <family val="2"/>
      </rPr>
      <t>1)</t>
    </r>
  </si>
  <si>
    <t>Инвестиции</t>
  </si>
  <si>
    <t>в основной</t>
  </si>
  <si>
    <t>капитал</t>
  </si>
  <si>
    <r>
      <t>Промышленное производство</t>
    </r>
    <r>
      <rPr>
        <vertAlign val="superscript"/>
        <sz val="7"/>
        <color theme="1"/>
        <rFont val="Arial"/>
        <family val="2"/>
      </rPr>
      <t>2)</t>
    </r>
  </si>
  <si>
    <t>Продукция</t>
  </si>
  <si>
    <t>сельского</t>
  </si>
  <si>
    <t>хозяйства –</t>
  </si>
  <si>
    <t>всего</t>
  </si>
  <si>
    <t>в том числе</t>
  </si>
  <si>
    <t>Ввод</t>
  </si>
  <si>
    <t>в действие</t>
  </si>
  <si>
    <t>жилых</t>
  </si>
  <si>
    <t>домов</t>
  </si>
  <si>
    <t>Оборот</t>
  </si>
  <si>
    <t>розничной</t>
  </si>
  <si>
    <t>торговли</t>
  </si>
  <si>
    <t>Производи-</t>
  </si>
  <si>
    <t>тельность труда</t>
  </si>
  <si>
    <r>
      <t>в 2022 г.</t>
    </r>
    <r>
      <rPr>
        <vertAlign val="superscript"/>
        <sz val="7"/>
        <color theme="1"/>
        <rFont val="Arial"/>
        <family val="2"/>
      </rPr>
      <t>3)</t>
    </r>
  </si>
  <si>
    <t>Сальдиро-ванный финансовый</t>
  </si>
  <si>
    <t>результат</t>
  </si>
  <si>
    <t>(прибыль минус убы-ток) дея-тельности</t>
  </si>
  <si>
    <t>организаций</t>
  </si>
  <si>
    <t>(в фактичес-ки действо-вавших</t>
  </si>
  <si>
    <r>
      <t>ценах)</t>
    </r>
    <r>
      <rPr>
        <vertAlign val="superscript"/>
        <sz val="7"/>
        <color theme="1"/>
        <rFont val="Arial"/>
        <family val="2"/>
      </rPr>
      <t>4)</t>
    </r>
  </si>
  <si>
    <t>растение-</t>
  </si>
  <si>
    <t>водства</t>
  </si>
  <si>
    <t>животно-</t>
  </si>
  <si>
    <t>в 2,3 р.</t>
  </si>
  <si>
    <t>в 2,2 р.</t>
  </si>
  <si>
    <t>Тюменская область без автономных</t>
  </si>
  <si>
    <t>округов</t>
  </si>
  <si>
    <t>в 2,0 р.</t>
  </si>
  <si>
    <t>в 3,7 р.</t>
  </si>
  <si>
    <t>в 5,4 р.</t>
  </si>
  <si>
    <t>в 2,7 р.</t>
  </si>
  <si>
    <t>в 5,3 р.</t>
  </si>
  <si>
    <t>в 22,1 р.</t>
  </si>
  <si>
    <t>в 2,6 р.</t>
  </si>
  <si>
    <t>Площадь</t>
  </si>
  <si>
    <r>
      <t>территории</t>
    </r>
    <r>
      <rPr>
        <vertAlign val="superscript"/>
        <sz val="6"/>
        <color theme="1"/>
        <rFont val="Arial"/>
        <family val="2"/>
      </rPr>
      <t>1)</t>
    </r>
    <r>
      <rPr>
        <sz val="6"/>
        <color theme="1"/>
        <rFont val="Arial"/>
        <family val="2"/>
      </rPr>
      <t xml:space="preserve">, </t>
    </r>
  </si>
  <si>
    <r>
      <t>тыс. км</t>
    </r>
    <r>
      <rPr>
        <vertAlign val="superscript"/>
        <sz val="6"/>
        <color theme="1"/>
        <rFont val="Arial"/>
        <family val="2"/>
      </rPr>
      <t>2</t>
    </r>
  </si>
  <si>
    <t>2024 г.,</t>
  </si>
  <si>
    <t>Средне-</t>
  </si>
  <si>
    <t>годовая численность</t>
  </si>
  <si>
    <t>занятых,</t>
  </si>
  <si>
    <t>душевые денежные доходы</t>
  </si>
  <si>
    <t>(в месяц), руб.</t>
  </si>
  <si>
    <t>Потреби-</t>
  </si>
  <si>
    <t>тельские расходы</t>
  </si>
  <si>
    <t>в среднем</t>
  </si>
  <si>
    <t>на душу населения</t>
  </si>
  <si>
    <t>месячная</t>
  </si>
  <si>
    <t>номиналь-</t>
  </si>
  <si>
    <t>ная начис-</t>
  </si>
  <si>
    <t>ленная</t>
  </si>
  <si>
    <t>заработная плата работников организаций, руб.</t>
  </si>
  <si>
    <t>ный</t>
  </si>
  <si>
    <t xml:space="preserve"> продукт</t>
  </si>
  <si>
    <t>в 2022 г. ,</t>
  </si>
  <si>
    <t>млрд руб.</t>
  </si>
  <si>
    <r>
      <t>капитал</t>
    </r>
    <r>
      <rPr>
        <vertAlign val="superscript"/>
        <sz val="6"/>
        <color theme="1"/>
        <rFont val="Arial"/>
        <family val="2"/>
      </rPr>
      <t>2)</t>
    </r>
    <r>
      <rPr>
        <sz val="6"/>
        <color theme="1"/>
        <rFont val="Arial"/>
        <family val="2"/>
      </rPr>
      <t>,</t>
    </r>
  </si>
  <si>
    <t>Основные</t>
  </si>
  <si>
    <t>фонды</t>
  </si>
  <si>
    <t>в экономике</t>
  </si>
  <si>
    <t>(по полной учетной стоимости;</t>
  </si>
  <si>
    <r>
      <t>на конец года)</t>
    </r>
    <r>
      <rPr>
        <vertAlign val="superscript"/>
        <sz val="6"/>
        <color theme="1"/>
        <rFont val="Arial"/>
        <family val="2"/>
      </rPr>
      <t>3)</t>
    </r>
    <r>
      <rPr>
        <sz val="6"/>
        <color theme="1"/>
        <rFont val="Arial"/>
        <family val="2"/>
      </rPr>
      <t>,</t>
    </r>
  </si>
  <si>
    <r>
      <t>34 036,3</t>
    </r>
    <r>
      <rPr>
        <b/>
        <vertAlign val="superscript"/>
        <sz val="7"/>
        <color theme="1"/>
        <rFont val="Arial"/>
        <family val="2"/>
      </rPr>
      <t>5)</t>
    </r>
  </si>
  <si>
    <t>Ненецкий автономный</t>
  </si>
  <si>
    <t>округ</t>
  </si>
  <si>
    <t>Объем отгруженных товаров собственного производства, выполненных работ и услуг собственными силами по видам экономической деятельности,</t>
  </si>
  <si>
    <t>хозяйства -</t>
  </si>
  <si>
    <t>всего,</t>
  </si>
  <si>
    <t>жилых домов,</t>
  </si>
  <si>
    <r>
      <t>тыс. м</t>
    </r>
    <r>
      <rPr>
        <vertAlign val="superscript"/>
        <sz val="6"/>
        <color theme="1"/>
        <rFont val="Arial"/>
        <family val="2"/>
      </rPr>
      <t>2</t>
    </r>
  </si>
  <si>
    <t>общей</t>
  </si>
  <si>
    <t>площади</t>
  </si>
  <si>
    <t>помещений</t>
  </si>
  <si>
    <t>торговли,</t>
  </si>
  <si>
    <t>Сальдированный финансовый результат (прибыль минус убыток) деятельности организа-</t>
  </si>
  <si>
    <r>
      <t>ций</t>
    </r>
    <r>
      <rPr>
        <vertAlign val="superscript"/>
        <sz val="6"/>
        <color theme="1"/>
        <rFont val="Arial"/>
        <family val="2"/>
      </rPr>
      <t>4)</t>
    </r>
    <r>
      <rPr>
        <sz val="6"/>
        <color theme="1"/>
        <rFont val="Arial"/>
        <family val="2"/>
      </rPr>
      <t>,</t>
    </r>
  </si>
  <si>
    <t>добыча</t>
  </si>
  <si>
    <t>полезных</t>
  </si>
  <si>
    <t>ископаемых</t>
  </si>
  <si>
    <t>обрабаты-</t>
  </si>
  <si>
    <t>вающие производства</t>
  </si>
  <si>
    <t>обеспечение электрической энергией, газом</t>
  </si>
  <si>
    <t>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</si>
  <si>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</si>
  <si>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r>
      <t>…</t>
    </r>
    <r>
      <rPr>
        <vertAlign val="superscript"/>
        <sz val="7"/>
        <color theme="1"/>
        <rFont val="Arial"/>
        <family val="2"/>
      </rPr>
      <t>6)</t>
    </r>
  </si>
  <si>
    <t>Осетия - Алания</t>
  </si>
  <si>
    <t>Еврейская автономная</t>
  </si>
  <si>
    <t>область</t>
  </si>
  <si>
    <t>Чукотский автономный</t>
  </si>
  <si>
    <t>ВРП на душу</t>
  </si>
  <si>
    <t>РЕАЛЬНЫЕ ДЕНЕЖНЫЕ ДОХОДЫ НАСЕЛЕНИЯ</t>
  </si>
  <si>
    <t>Численность населения</t>
  </si>
  <si>
    <t>Инвестиции основной капитал</t>
  </si>
  <si>
    <t>СРЕДНЕГОДОВАЯ ЧИСЛЕННОСТЬ ЗАНЯТЫХ на 100 чел</t>
  </si>
  <si>
    <t>Численность зрителей театров, на тыс чел</t>
  </si>
  <si>
    <t>Итог</t>
  </si>
  <si>
    <t>Численность пользователей библиотек на 1000 чел</t>
  </si>
  <si>
    <t>Численность детей, отдохнувших в них за лето на 1000  человек</t>
  </si>
  <si>
    <t>Сумма</t>
  </si>
  <si>
    <t>Среднее</t>
  </si>
  <si>
    <t>Место занимаемое в России</t>
  </si>
  <si>
    <t>Численность населения тыс. чел.</t>
  </si>
  <si>
    <t>ЧИСЛЕННОСТЬ ОТДОХНУВШИХ ДЕТЕЙ ЗА ЛЕТО В СУБЪЕКТЕ РОССИЙСКОЙ ФЕДЕРАЦИИ
(тысяч человек)</t>
  </si>
  <si>
    <t>Численность зрителей театров, на тыс. чел</t>
  </si>
  <si>
    <t>Численность пользователей библиотек на тыс. чел</t>
  </si>
  <si>
    <t>Медиана</t>
  </si>
  <si>
    <t>Стандартное отклонение</t>
  </si>
  <si>
    <t>Дисперсия выборки</t>
  </si>
  <si>
    <t>Эксцесс</t>
  </si>
  <si>
    <t>Асимметричность</t>
  </si>
  <si>
    <t>Интервал</t>
  </si>
  <si>
    <t>Минимум</t>
  </si>
  <si>
    <t>Максимум</t>
  </si>
  <si>
    <t>Счет</t>
  </si>
  <si>
    <t>Инвестиции основной капитал млрд руб</t>
  </si>
  <si>
    <t>Стадионы с трибунами на 1500 мест и более на 100 чел</t>
  </si>
  <si>
    <t>-</t>
  </si>
  <si>
    <t>1Q</t>
  </si>
  <si>
    <t>3Q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</si>
  <si>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</si>
  <si>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</si>
  <si>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</si>
  <si>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</si>
  <si>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</si>
  <si>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</si>
  <si>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</si>
  <si>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</si>
  <si>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</si>
  <si>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</si>
  <si>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Cреднее</t>
  </si>
  <si>
    <t>Квартильный коэффициент дифференциации</t>
  </si>
  <si>
    <r>
      <t>Плотность населения чел/км</t>
    </r>
    <r>
      <rPr>
        <vertAlign val="superscript"/>
        <sz val="11"/>
        <color theme="1"/>
        <rFont val="Calibri"/>
        <family val="2"/>
        <scheme val="minor"/>
      </rPr>
      <t>2</t>
    </r>
  </si>
  <si>
    <r>
      <t>Плотность населения чел/км</t>
    </r>
    <r>
      <rPr>
        <vertAlign val="superscript"/>
        <sz val="9"/>
        <color theme="1"/>
        <rFont val="Calibri"/>
        <family val="2"/>
        <scheme val="minor"/>
      </rPr>
      <t>2</t>
    </r>
  </si>
  <si>
    <t>эксцесс</t>
  </si>
  <si>
    <t>ассиметрия</t>
  </si>
  <si>
    <t>ВРП на душу (руб.)</t>
  </si>
  <si>
    <t>Среднемесячная номинальная начисленная з/п
работников организаций (рублей)</t>
  </si>
  <si>
    <t>Год</t>
  </si>
  <si>
    <t/>
  </si>
  <si>
    <t>Корреляции</t>
  </si>
  <si>
    <t>Корреляция Пирсона</t>
  </si>
  <si>
    <t>знач. (двухсторонняя)</t>
  </si>
  <si>
    <t>N</t>
  </si>
  <si>
    <t>*. Корреляция значима на уровне 0,05 (двухсторонняя).</t>
  </si>
  <si>
    <t>**. Корреляция значима на уровне 0,01 (двухсторонняя).</t>
  </si>
  <si>
    <r>
      <t>-,267</t>
    </r>
    <r>
      <rPr>
        <vertAlign val="superscript"/>
        <sz val="9"/>
        <color indexed="60"/>
        <rFont val="Arial"/>
        <family val="2"/>
      </rPr>
      <t>*</t>
    </r>
  </si>
  <si>
    <r>
      <t>-,224</t>
    </r>
    <r>
      <rPr>
        <vertAlign val="superscript"/>
        <sz val="9"/>
        <color indexed="60"/>
        <rFont val="Arial"/>
        <family val="2"/>
      </rPr>
      <t>*</t>
    </r>
  </si>
  <si>
    <r>
      <t>,238</t>
    </r>
    <r>
      <rPr>
        <vertAlign val="superscript"/>
        <sz val="9"/>
        <color indexed="60"/>
        <rFont val="Arial"/>
        <family val="2"/>
      </rPr>
      <t>*</t>
    </r>
  </si>
  <si>
    <r>
      <t>,298</t>
    </r>
    <r>
      <rPr>
        <vertAlign val="superscript"/>
        <sz val="9"/>
        <color indexed="60"/>
        <rFont val="Arial"/>
        <family val="2"/>
      </rPr>
      <t>**</t>
    </r>
  </si>
  <si>
    <r>
      <t>-,233</t>
    </r>
    <r>
      <rPr>
        <vertAlign val="superscript"/>
        <sz val="9"/>
        <color indexed="60"/>
        <rFont val="Arial"/>
        <family val="2"/>
      </rPr>
      <t>*</t>
    </r>
  </si>
  <si>
    <r>
      <t>,290</t>
    </r>
    <r>
      <rPr>
        <vertAlign val="superscript"/>
        <sz val="9"/>
        <color indexed="60"/>
        <rFont val="Arial"/>
        <family val="2"/>
      </rPr>
      <t>**</t>
    </r>
  </si>
  <si>
    <r>
      <t>,336</t>
    </r>
    <r>
      <rPr>
        <vertAlign val="superscript"/>
        <sz val="9"/>
        <color indexed="60"/>
        <rFont val="Arial"/>
        <family val="2"/>
      </rPr>
      <t>**</t>
    </r>
  </si>
  <si>
    <r>
      <t>-,417</t>
    </r>
    <r>
      <rPr>
        <vertAlign val="superscript"/>
        <sz val="9"/>
        <color indexed="60"/>
        <rFont val="Arial"/>
        <family val="2"/>
      </rPr>
      <t>**</t>
    </r>
  </si>
  <si>
    <r>
      <t>,406</t>
    </r>
    <r>
      <rPr>
        <vertAlign val="superscript"/>
        <sz val="9"/>
        <color indexed="60"/>
        <rFont val="Arial"/>
        <family val="2"/>
      </rPr>
      <t>**</t>
    </r>
  </si>
  <si>
    <r>
      <t>,414</t>
    </r>
    <r>
      <rPr>
        <vertAlign val="superscript"/>
        <sz val="9"/>
        <color indexed="60"/>
        <rFont val="Arial"/>
        <family val="2"/>
      </rPr>
      <t>**</t>
    </r>
  </si>
  <si>
    <r>
      <t>,366</t>
    </r>
    <r>
      <rPr>
        <vertAlign val="superscript"/>
        <sz val="9"/>
        <color indexed="60"/>
        <rFont val="Arial"/>
        <family val="2"/>
      </rPr>
      <t>**</t>
    </r>
  </si>
  <si>
    <r>
      <t>,427</t>
    </r>
    <r>
      <rPr>
        <vertAlign val="superscript"/>
        <sz val="9"/>
        <color indexed="60"/>
        <rFont val="Arial"/>
        <family val="2"/>
      </rPr>
      <t>**</t>
    </r>
  </si>
  <si>
    <r>
      <t>-,418</t>
    </r>
    <r>
      <rPr>
        <vertAlign val="superscript"/>
        <sz val="9"/>
        <color indexed="60"/>
        <rFont val="Arial"/>
        <family val="2"/>
      </rPr>
      <t>**</t>
    </r>
  </si>
  <si>
    <r>
      <t>,702</t>
    </r>
    <r>
      <rPr>
        <vertAlign val="superscript"/>
        <sz val="9"/>
        <color indexed="60"/>
        <rFont val="Arial"/>
        <family val="2"/>
      </rPr>
      <t>**</t>
    </r>
  </si>
  <si>
    <r>
      <t>,719</t>
    </r>
    <r>
      <rPr>
        <vertAlign val="superscript"/>
        <sz val="9"/>
        <color indexed="60"/>
        <rFont val="Arial"/>
        <family val="2"/>
      </rPr>
      <t>**</t>
    </r>
  </si>
  <si>
    <r>
      <t>,664</t>
    </r>
    <r>
      <rPr>
        <vertAlign val="superscript"/>
        <sz val="9"/>
        <color indexed="60"/>
        <rFont val="Arial"/>
        <family val="2"/>
      </rPr>
      <t>**</t>
    </r>
  </si>
  <si>
    <r>
      <t>,762</t>
    </r>
    <r>
      <rPr>
        <vertAlign val="superscript"/>
        <sz val="9"/>
        <color indexed="60"/>
        <rFont val="Arial"/>
        <family val="2"/>
      </rPr>
      <t>**</t>
    </r>
  </si>
  <si>
    <r>
      <t>,851</t>
    </r>
    <r>
      <rPr>
        <vertAlign val="superscript"/>
        <sz val="9"/>
        <color indexed="60"/>
        <rFont val="Arial"/>
        <family val="2"/>
      </rPr>
      <t>**</t>
    </r>
  </si>
  <si>
    <r>
      <t>,790</t>
    </r>
    <r>
      <rPr>
        <vertAlign val="superscript"/>
        <sz val="9"/>
        <color indexed="60"/>
        <rFont val="Arial"/>
        <family val="2"/>
      </rPr>
      <t>**</t>
    </r>
  </si>
  <si>
    <r>
      <t>-,308</t>
    </r>
    <r>
      <rPr>
        <vertAlign val="superscript"/>
        <sz val="9"/>
        <color indexed="60"/>
        <rFont val="Arial"/>
        <family val="2"/>
      </rPr>
      <t>**</t>
    </r>
  </si>
  <si>
    <r>
      <t>-,299</t>
    </r>
    <r>
      <rPr>
        <vertAlign val="superscript"/>
        <sz val="9"/>
        <color indexed="60"/>
        <rFont val="Arial"/>
        <family val="2"/>
      </rPr>
      <t>**</t>
    </r>
  </si>
  <si>
    <t>-0,267*</t>
  </si>
  <si>
    <t>-0,224*</t>
  </si>
  <si>
    <t>p-value</t>
  </si>
  <si>
    <t>0,238*</t>
  </si>
  <si>
    <t>0,298**</t>
  </si>
  <si>
    <t>-0,233*</t>
  </si>
  <si>
    <t>0,290**</t>
  </si>
  <si>
    <t>0,336**</t>
  </si>
  <si>
    <t>-0,417**</t>
  </si>
  <si>
    <t>0,406**</t>
  </si>
  <si>
    <t>0,414**</t>
  </si>
  <si>
    <t>0,366**</t>
  </si>
  <si>
    <t>0,427**</t>
  </si>
  <si>
    <t>-0,418**</t>
  </si>
  <si>
    <t>0,702**</t>
  </si>
  <si>
    <t>0,719**</t>
  </si>
  <si>
    <t>0,664**</t>
  </si>
  <si>
    <t>0,762**</t>
  </si>
  <si>
    <t>0,851**</t>
  </si>
  <si>
    <t>0,790**</t>
  </si>
  <si>
    <t>-0,308**</t>
  </si>
  <si>
    <t>-0,299**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</si>
</sst>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###0"/>
    <numFmt numFmtId="167" formatCode="###0.000"/>
  </numFmts>
  <fonts count="34" x14ac:knownFonts="1">
    <font>
      <sz val="11"/>
      <color theme="1"/>
      <name val="Calibri"/>
      <family val="2"/>
      <charset val="204"/>
      <scheme val="minor"/>
    </font>
    <font>
      <b/>
      <sz val="8"/>
      <color theme="1"/>
      <name val="Arial"/>
      <family val="2"/>
    </font>
    <font>
      <sz val="7"/>
      <color theme="1"/>
      <name val="Arial"/>
      <family val="2"/>
    </font>
    <font>
      <b/>
      <vertAlign val="superscript"/>
      <sz val="8"/>
      <color theme="1"/>
      <name val="Arial"/>
      <family val="2"/>
    </font>
    <font>
      <b/>
      <sz val="7"/>
      <color theme="1"/>
      <name val="Arial"/>
      <family val="2"/>
    </font>
    <font>
      <sz val="7"/>
      <color theme="1"/>
      <name val="Symbol"/>
      <family val="1"/>
      <charset val="2"/>
    </font>
    <font>
      <vertAlign val="superscript"/>
      <sz val="6"/>
      <color theme="1"/>
      <name val="Arial"/>
      <family val="2"/>
    </font>
    <font>
      <sz val="6"/>
      <color theme="1"/>
      <name val="Arial"/>
      <family val="2"/>
    </font>
    <font>
      <vertAlign val="superscript"/>
      <sz val="7"/>
      <color theme="1"/>
      <name val="Arial"/>
      <family val="2"/>
    </font>
    <font>
      <sz val="7"/>
      <color theme="1"/>
      <name val="Calibri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  <charset val="204"/>
      <scheme val="minor"/>
    </font>
    <font>
      <i/>
      <sz val="10"/>
      <color theme="1"/>
      <name val="Arial"/>
      <family val="2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b/>
      <vertAlign val="superscript"/>
      <sz val="7"/>
      <color rgb="FF000000"/>
      <name val="Arial"/>
      <family val="2"/>
    </font>
    <font>
      <b/>
      <vertAlign val="superscript"/>
      <sz val="7"/>
      <color theme="1"/>
      <name val="Arial"/>
      <family val="2"/>
    </font>
    <font>
      <sz val="9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theme="1"/>
      <name val="Times New Roman"/>
      <family val="1"/>
    </font>
    <font>
      <vertAlign val="superscript"/>
      <sz val="11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60"/>
      <name val="Arial Bold"/>
    </font>
    <font>
      <sz val="9"/>
      <color indexed="62"/>
      <name val="Arial"/>
      <family val="2"/>
    </font>
    <font>
      <sz val="9"/>
      <color indexed="60"/>
      <name val="Arial"/>
      <family val="2"/>
    </font>
    <font>
      <vertAlign val="superscript"/>
      <sz val="9"/>
      <color indexed="60"/>
      <name val="Arial"/>
      <family val="2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9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1"/>
      </bottom>
      <diagonal/>
    </border>
    <border>
      <left/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/>
      <top/>
      <bottom style="thin">
        <color indexed="61"/>
      </bottom>
      <diagonal/>
    </border>
    <border>
      <left/>
      <right/>
      <top style="thin">
        <color indexed="61"/>
      </top>
      <bottom/>
      <diagonal/>
    </border>
    <border>
      <left/>
      <right/>
      <top style="thin">
        <color indexed="61"/>
      </top>
      <bottom style="thin">
        <color indexed="22"/>
      </bottom>
      <diagonal/>
    </border>
    <border>
      <left/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/>
      <top style="thin">
        <color indexed="61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 style="thin">
        <color indexed="63"/>
      </right>
      <top style="thin">
        <color indexed="22"/>
      </top>
      <bottom/>
      <diagonal/>
    </border>
    <border>
      <left style="thin">
        <color indexed="63"/>
      </left>
      <right style="thin">
        <color indexed="63"/>
      </right>
      <top style="thin">
        <color indexed="22"/>
      </top>
      <bottom/>
      <diagonal/>
    </border>
    <border>
      <left style="thin">
        <color indexed="63"/>
      </left>
      <right/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61"/>
      </bottom>
      <diagonal/>
    </border>
    <border>
      <left/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/>
      <top style="thin">
        <color indexed="22"/>
      </top>
      <bottom style="thin">
        <color indexed="61"/>
      </bottom>
      <diagonal/>
    </border>
  </borders>
  <cellStyleXfs count="2">
    <xf numFmtId="0" fontId="0" fillId="0" borderId="0"/>
    <xf numFmtId="0" fontId="26" fillId="0" borderId="0"/>
  </cellStyleXfs>
  <cellXfs count="28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0" fontId="4" fillId="0" borderId="7" xfId="0" applyFont="1" applyBorder="1" applyAlignment="1">
      <alignment horizontal="right" vertical="center" wrapText="1"/>
    </xf>
    <xf numFmtId="0" fontId="4" fillId="0" borderId="9" xfId="0" applyFont="1" applyBorder="1" applyAlignment="1">
      <alignment horizontal="center" vertical="center" wrapText="1"/>
    </xf>
    <xf numFmtId="3" fontId="4" fillId="0" borderId="0" xfId="0" applyNumberFormat="1" applyFont="1" applyAlignment="1">
      <alignment horizontal="right" vertical="center" wrapText="1"/>
    </xf>
    <xf numFmtId="0" fontId="2" fillId="0" borderId="9" xfId="0" applyFont="1" applyBorder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2" fillId="0" borderId="7" xfId="0" applyFont="1" applyBorder="1" applyAlignment="1">
      <alignment horizontal="right" vertical="center" wrapText="1"/>
    </xf>
    <xf numFmtId="3" fontId="2" fillId="0" borderId="0" xfId="0" applyNumberFormat="1" applyFont="1" applyAlignment="1">
      <alignment horizontal="right" vertical="center" wrapText="1"/>
    </xf>
    <xf numFmtId="0" fontId="2" fillId="0" borderId="9" xfId="0" applyFont="1" applyBorder="1" applyAlignment="1">
      <alignment horizontal="left" vertical="center" wrapText="1" indent="2"/>
    </xf>
    <xf numFmtId="0" fontId="2" fillId="0" borderId="9" xfId="0" applyFont="1" applyBorder="1" applyAlignment="1">
      <alignment horizontal="left" vertical="center" wrapText="1" inden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horizontal="right" vertical="center" wrapText="1"/>
    </xf>
    <xf numFmtId="0" fontId="2" fillId="0" borderId="6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9" fillId="0" borderId="0" xfId="0" applyFont="1" applyAlignment="1">
      <alignment horizontal="right" vertical="center" wrapText="1"/>
    </xf>
    <xf numFmtId="3" fontId="2" fillId="0" borderId="11" xfId="0" applyNumberFormat="1" applyFont="1" applyBorder="1" applyAlignment="1">
      <alignment horizontal="right" vertical="center" wrapText="1"/>
    </xf>
    <xf numFmtId="0" fontId="8" fillId="0" borderId="0" xfId="0" applyFont="1" applyAlignment="1">
      <alignment vertical="center"/>
    </xf>
    <xf numFmtId="0" fontId="4" fillId="0" borderId="7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7" xfId="0" applyFont="1" applyBorder="1" applyAlignment="1">
      <alignment horizontal="left" vertical="center" wrapText="1" indent="2"/>
    </xf>
    <xf numFmtId="0" fontId="2" fillId="0" borderId="7" xfId="0" applyFont="1" applyBorder="1" applyAlignment="1">
      <alignment horizontal="left" vertical="center" wrapText="1" indent="1"/>
    </xf>
    <xf numFmtId="0" fontId="2" fillId="0" borderId="6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/>
    </xf>
    <xf numFmtId="3" fontId="4" fillId="0" borderId="7" xfId="0" applyNumberFormat="1" applyFont="1" applyBorder="1" applyAlignment="1">
      <alignment horizontal="right" vertical="center" wrapText="1"/>
    </xf>
    <xf numFmtId="3" fontId="2" fillId="0" borderId="7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1" fillId="0" borderId="0" xfId="0" applyFont="1" applyAlignment="1">
      <alignment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4" fontId="4" fillId="0" borderId="7" xfId="0" applyNumberFormat="1" applyFont="1" applyBorder="1" applyAlignment="1">
      <alignment horizontal="right" vertical="center" wrapText="1"/>
    </xf>
    <xf numFmtId="0" fontId="12" fillId="0" borderId="0" xfId="0" applyFont="1" applyAlignment="1">
      <alignment horizontal="center"/>
    </xf>
    <xf numFmtId="0" fontId="13" fillId="0" borderId="16" xfId="0" applyFont="1" applyBorder="1" applyAlignment="1">
      <alignment horizontal="center" wrapText="1"/>
    </xf>
    <xf numFmtId="0" fontId="5" fillId="0" borderId="9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4" fillId="0" borderId="14" xfId="0" applyFont="1" applyBorder="1" applyAlignment="1">
      <alignment horizontal="right" vertical="center" wrapText="1"/>
    </xf>
    <xf numFmtId="0" fontId="4" fillId="0" borderId="8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3" fontId="4" fillId="0" borderId="14" xfId="0" applyNumberFormat="1" applyFont="1" applyBorder="1" applyAlignment="1">
      <alignment horizontal="right" vertical="center" wrapText="1"/>
    </xf>
    <xf numFmtId="0" fontId="6" fillId="0" borderId="10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0" fillId="0" borderId="11" xfId="0" applyBorder="1"/>
    <xf numFmtId="0" fontId="12" fillId="0" borderId="16" xfId="0" applyFont="1" applyBorder="1" applyAlignment="1">
      <alignment horizontal="center"/>
    </xf>
    <xf numFmtId="0" fontId="12" fillId="0" borderId="16" xfId="0" applyFont="1" applyBorder="1" applyAlignment="1">
      <alignment horizontal="centerContinuous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2" fillId="0" borderId="17" xfId="0" applyFont="1" applyBorder="1" applyAlignment="1">
      <alignment horizontal="center" vertical="center" wrapText="1"/>
    </xf>
    <xf numFmtId="0" fontId="14" fillId="0" borderId="9" xfId="0" applyFont="1" applyBorder="1" applyAlignment="1">
      <alignment vertical="center" wrapText="1"/>
    </xf>
    <xf numFmtId="0" fontId="14" fillId="0" borderId="0" xfId="0" applyFont="1" applyAlignment="1">
      <alignment horizontal="right" vertical="center" wrapText="1"/>
    </xf>
    <xf numFmtId="4" fontId="14" fillId="0" borderId="0" xfId="0" applyNumberFormat="1" applyFont="1" applyAlignment="1">
      <alignment horizontal="right" vertical="center" wrapText="1"/>
    </xf>
    <xf numFmtId="4" fontId="14" fillId="0" borderId="7" xfId="0" applyNumberFormat="1" applyFont="1" applyBorder="1" applyAlignment="1">
      <alignment horizontal="right" vertical="center" wrapText="1"/>
    </xf>
    <xf numFmtId="0" fontId="14" fillId="0" borderId="9" xfId="0" applyFont="1" applyBorder="1" applyAlignment="1">
      <alignment horizontal="center" vertical="center" wrapText="1"/>
    </xf>
    <xf numFmtId="0" fontId="15" fillId="0" borderId="9" xfId="0" applyFont="1" applyBorder="1" applyAlignment="1">
      <alignment vertical="center" wrapText="1"/>
    </xf>
    <xf numFmtId="0" fontId="15" fillId="0" borderId="0" xfId="0" applyFont="1" applyAlignment="1">
      <alignment horizontal="right" vertical="center" wrapText="1"/>
    </xf>
    <xf numFmtId="0" fontId="15" fillId="0" borderId="7" xfId="0" applyFont="1" applyBorder="1" applyAlignment="1">
      <alignment horizontal="right" vertical="center" wrapText="1"/>
    </xf>
    <xf numFmtId="4" fontId="15" fillId="0" borderId="0" xfId="0" applyNumberFormat="1" applyFont="1" applyAlignment="1">
      <alignment horizontal="right" vertical="center" wrapText="1"/>
    </xf>
    <xf numFmtId="4" fontId="15" fillId="0" borderId="7" xfId="0" applyNumberFormat="1" applyFont="1" applyBorder="1" applyAlignment="1">
      <alignment horizontal="right" vertical="center" wrapText="1"/>
    </xf>
    <xf numFmtId="0" fontId="15" fillId="0" borderId="9" xfId="0" applyFont="1" applyBorder="1" applyAlignment="1">
      <alignment horizontal="left" vertical="center" wrapText="1" indent="2"/>
    </xf>
    <xf numFmtId="0" fontId="15" fillId="0" borderId="9" xfId="0" applyFont="1" applyBorder="1" applyAlignment="1">
      <alignment horizontal="left" vertical="center" wrapText="1" indent="1"/>
    </xf>
    <xf numFmtId="0" fontId="15" fillId="0" borderId="10" xfId="0" applyFont="1" applyBorder="1" applyAlignment="1">
      <alignment vertical="center" wrapText="1"/>
    </xf>
    <xf numFmtId="0" fontId="15" fillId="0" borderId="11" xfId="0" applyFont="1" applyBorder="1" applyAlignment="1">
      <alignment horizontal="right" vertical="center" wrapText="1"/>
    </xf>
    <xf numFmtId="4" fontId="15" fillId="0" borderId="11" xfId="0" applyNumberFormat="1" applyFont="1" applyBorder="1" applyAlignment="1">
      <alignment horizontal="right" vertical="center" wrapText="1"/>
    </xf>
    <xf numFmtId="4" fontId="15" fillId="0" borderId="6" xfId="0" applyNumberFormat="1" applyFont="1" applyBorder="1" applyAlignment="1">
      <alignment horizontal="right" vertical="center" wrapText="1"/>
    </xf>
    <xf numFmtId="0" fontId="1" fillId="0" borderId="0" xfId="0" applyFont="1"/>
    <xf numFmtId="0" fontId="14" fillId="0" borderId="13" xfId="0" applyFont="1" applyBorder="1" applyAlignment="1">
      <alignment vertical="center" wrapText="1"/>
    </xf>
    <xf numFmtId="0" fontId="14" fillId="0" borderId="1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3" fontId="2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3" fontId="4" fillId="0" borderId="0" xfId="0" applyNumberFormat="1" applyFont="1" applyAlignment="1">
      <alignment vertical="center" wrapText="1"/>
    </xf>
    <xf numFmtId="0" fontId="4" fillId="0" borderId="14" xfId="0" applyFont="1" applyBorder="1" applyAlignment="1">
      <alignment vertical="center" wrapText="1"/>
    </xf>
    <xf numFmtId="3" fontId="4" fillId="0" borderId="14" xfId="0" applyNumberFormat="1" applyFont="1" applyBorder="1" applyAlignment="1">
      <alignment vertical="center" wrapText="1"/>
    </xf>
    <xf numFmtId="0" fontId="4" fillId="3" borderId="0" xfId="0" applyFont="1" applyFill="1" applyAlignment="1">
      <alignment horizontal="right" vertical="center" wrapText="1"/>
    </xf>
    <xf numFmtId="0" fontId="2" fillId="3" borderId="0" xfId="0" applyFont="1" applyFill="1" applyAlignment="1">
      <alignment horizontal="right" vertical="center" wrapText="1"/>
    </xf>
    <xf numFmtId="0" fontId="2" fillId="3" borderId="11" xfId="0" applyFont="1" applyFill="1" applyBorder="1" applyAlignment="1">
      <alignment horizontal="right" vertical="center" wrapText="1"/>
    </xf>
    <xf numFmtId="0" fontId="5" fillId="3" borderId="0" xfId="0" applyFont="1" applyFill="1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8" fillId="3" borderId="11" xfId="0" applyFont="1" applyFill="1" applyBorder="1" applyAlignment="1">
      <alignment vertical="center" wrapText="1"/>
    </xf>
    <xf numFmtId="0" fontId="0" fillId="3" borderId="0" xfId="0" applyFill="1"/>
    <xf numFmtId="0" fontId="0" fillId="0" borderId="0" xfId="0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4" fillId="0" borderId="0" xfId="0" applyFont="1" applyAlignment="1">
      <alignment horizontal="right" vertical="center" wrapText="1" indent="1"/>
    </xf>
    <xf numFmtId="0" fontId="2" fillId="0" borderId="0" xfId="0" applyFont="1" applyAlignment="1">
      <alignment horizontal="right" vertical="center" wrapText="1" indent="1"/>
    </xf>
    <xf numFmtId="0" fontId="2" fillId="0" borderId="11" xfId="0" applyFont="1" applyBorder="1" applyAlignment="1">
      <alignment horizontal="right" vertical="center" wrapText="1" inden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2" fillId="0" borderId="13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0" fillId="0" borderId="11" xfId="0" applyBorder="1" applyAlignment="1">
      <alignment vertical="top" wrapText="1"/>
    </xf>
    <xf numFmtId="0" fontId="7" fillId="0" borderId="1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4" fontId="4" fillId="0" borderId="0" xfId="0" applyNumberFormat="1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7" fillId="0" borderId="7" xfId="0" applyFont="1" applyBorder="1" applyAlignment="1">
      <alignment vertical="top" wrapText="1"/>
    </xf>
    <xf numFmtId="0" fontId="7" fillId="0" borderId="6" xfId="0" applyFont="1" applyBorder="1" applyAlignment="1">
      <alignment vertical="top" wrapText="1"/>
    </xf>
    <xf numFmtId="4" fontId="2" fillId="0" borderId="11" xfId="0" applyNumberFormat="1" applyFont="1" applyBorder="1" applyAlignment="1">
      <alignment horizontal="right" vertical="center" wrapText="1"/>
    </xf>
    <xf numFmtId="4" fontId="4" fillId="0" borderId="0" xfId="0" applyNumberFormat="1" applyFont="1" applyAlignment="1">
      <alignment vertical="center" wrapText="1"/>
    </xf>
    <xf numFmtId="4" fontId="4" fillId="0" borderId="14" xfId="0" applyNumberFormat="1" applyFont="1" applyBorder="1" applyAlignment="1">
      <alignment vertical="center" wrapText="1"/>
    </xf>
    <xf numFmtId="4" fontId="2" fillId="0" borderId="0" xfId="0" applyNumberFormat="1" applyFont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8" fillId="4" borderId="15" xfId="0" applyFont="1" applyFill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/>
    </xf>
    <xf numFmtId="0" fontId="19" fillId="3" borderId="15" xfId="0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center" vertical="center" wrapText="1"/>
    </xf>
    <xf numFmtId="0" fontId="19" fillId="3" borderId="15" xfId="0" applyFont="1" applyFill="1" applyBorder="1" applyAlignment="1">
      <alignment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3" borderId="15" xfId="0" applyFont="1" applyFill="1" applyBorder="1" applyAlignment="1">
      <alignment horizontal="center" vertical="center" wrapText="1"/>
    </xf>
    <xf numFmtId="0" fontId="19" fillId="3" borderId="15" xfId="0" applyFont="1" applyFill="1" applyBorder="1" applyAlignment="1">
      <alignment horizontal="left" vertical="center" wrapText="1" indent="1"/>
    </xf>
    <xf numFmtId="0" fontId="18" fillId="0" borderId="0" xfId="0" applyFont="1" applyAlignment="1">
      <alignment horizontal="center" vertical="center"/>
    </xf>
    <xf numFmtId="0" fontId="0" fillId="0" borderId="18" xfId="0" applyBorder="1"/>
    <xf numFmtId="0" fontId="2" fillId="0" borderId="12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18" fillId="4" borderId="19" xfId="0" applyFont="1" applyFill="1" applyBorder="1" applyAlignment="1">
      <alignment horizontal="center" vertical="center" wrapText="1"/>
    </xf>
    <xf numFmtId="0" fontId="0" fillId="0" borderId="15" xfId="0" applyBorder="1"/>
    <xf numFmtId="164" fontId="19" fillId="0" borderId="15" xfId="0" applyNumberFormat="1" applyFont="1" applyBorder="1" applyAlignment="1">
      <alignment horizontal="right" vertical="center" wrapText="1"/>
    </xf>
    <xf numFmtId="164" fontId="18" fillId="0" borderId="15" xfId="0" applyNumberFormat="1" applyFont="1" applyBorder="1" applyAlignment="1">
      <alignment horizontal="center" vertical="center"/>
    </xf>
    <xf numFmtId="2" fontId="18" fillId="0" borderId="15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0" fillId="0" borderId="15" xfId="0" applyFont="1" applyBorder="1" applyAlignment="1">
      <alignment horizontal="center" vertical="center" wrapText="1"/>
    </xf>
    <xf numFmtId="164" fontId="20" fillId="0" borderId="15" xfId="0" applyNumberFormat="1" applyFont="1" applyBorder="1" applyAlignment="1">
      <alignment horizontal="center" vertical="center" wrapText="1"/>
    </xf>
    <xf numFmtId="164" fontId="21" fillId="0" borderId="15" xfId="0" applyNumberFormat="1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2" fontId="21" fillId="0" borderId="15" xfId="0" applyNumberFormat="1" applyFont="1" applyBorder="1" applyAlignment="1">
      <alignment horizontal="center" vertical="center"/>
    </xf>
    <xf numFmtId="4" fontId="0" fillId="0" borderId="0" xfId="0" applyNumberFormat="1"/>
    <xf numFmtId="0" fontId="19" fillId="3" borderId="20" xfId="0" applyFont="1" applyFill="1" applyBorder="1" applyAlignment="1">
      <alignment vertical="center" wrapText="1"/>
    </xf>
    <xf numFmtId="0" fontId="21" fillId="0" borderId="0" xfId="0" applyFont="1"/>
    <xf numFmtId="0" fontId="23" fillId="0" borderId="15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 wrapText="1"/>
    </xf>
    <xf numFmtId="1" fontId="0" fillId="0" borderId="15" xfId="0" applyNumberFormat="1" applyBorder="1"/>
    <xf numFmtId="3" fontId="0" fillId="0" borderId="15" xfId="0" applyNumberFormat="1" applyBorder="1"/>
    <xf numFmtId="4" fontId="0" fillId="0" borderId="15" xfId="0" applyNumberFormat="1" applyBorder="1"/>
    <xf numFmtId="2" fontId="0" fillId="0" borderId="15" xfId="0" applyNumberFormat="1" applyBorder="1"/>
    <xf numFmtId="165" fontId="0" fillId="0" borderId="15" xfId="0" applyNumberFormat="1" applyBorder="1" applyAlignment="1">
      <alignment horizontal="center" vertical="center"/>
    </xf>
    <xf numFmtId="0" fontId="19" fillId="3" borderId="19" xfId="0" applyFont="1" applyFill="1" applyBorder="1" applyAlignment="1">
      <alignment horizontal="center" vertical="center"/>
    </xf>
    <xf numFmtId="0" fontId="19" fillId="3" borderId="19" xfId="0" applyFont="1" applyFill="1" applyBorder="1" applyAlignment="1">
      <alignment vertical="center" wrapText="1"/>
    </xf>
    <xf numFmtId="0" fontId="19" fillId="3" borderId="19" xfId="0" applyFont="1" applyFill="1" applyBorder="1" applyAlignment="1">
      <alignment horizontal="center" vertical="center" wrapText="1"/>
    </xf>
    <xf numFmtId="0" fontId="19" fillId="3" borderId="19" xfId="0" applyFont="1" applyFill="1" applyBorder="1" applyAlignment="1">
      <alignment horizontal="left" vertical="center" wrapText="1" indent="1"/>
    </xf>
    <xf numFmtId="0" fontId="27" fillId="0" borderId="0" xfId="1" applyFont="1" applyAlignment="1">
      <alignment horizontal="center" vertical="center" wrapText="1"/>
    </xf>
    <xf numFmtId="0" fontId="26" fillId="0" borderId="0" xfId="1"/>
    <xf numFmtId="0" fontId="28" fillId="0" borderId="23" xfId="1" applyFont="1" applyBorder="1" applyAlignment="1">
      <alignment horizontal="center" wrapText="1"/>
    </xf>
    <xf numFmtId="0" fontId="28" fillId="0" borderId="24" xfId="1" applyFont="1" applyBorder="1" applyAlignment="1">
      <alignment horizontal="center" wrapText="1"/>
    </xf>
    <xf numFmtId="0" fontId="28" fillId="0" borderId="25" xfId="1" applyFont="1" applyBorder="1" applyAlignment="1">
      <alignment horizontal="center" wrapText="1"/>
    </xf>
    <xf numFmtId="0" fontId="28" fillId="6" borderId="27" xfId="1" applyFont="1" applyFill="1" applyBorder="1" applyAlignment="1">
      <alignment horizontal="left" vertical="top" wrapText="1"/>
    </xf>
    <xf numFmtId="166" fontId="29" fillId="7" borderId="28" xfId="1" applyNumberFormat="1" applyFont="1" applyFill="1" applyBorder="1" applyAlignment="1">
      <alignment horizontal="right" vertical="top"/>
    </xf>
    <xf numFmtId="167" fontId="29" fillId="7" borderId="29" xfId="1" applyNumberFormat="1" applyFont="1" applyFill="1" applyBorder="1" applyAlignment="1">
      <alignment horizontal="right" vertical="top"/>
    </xf>
    <xf numFmtId="0" fontId="29" fillId="7" borderId="29" xfId="1" applyFont="1" applyFill="1" applyBorder="1" applyAlignment="1">
      <alignment horizontal="right" vertical="top"/>
    </xf>
    <xf numFmtId="0" fontId="29" fillId="7" borderId="30" xfId="1" applyFont="1" applyFill="1" applyBorder="1" applyAlignment="1">
      <alignment horizontal="right" vertical="top"/>
    </xf>
    <xf numFmtId="0" fontId="28" fillId="6" borderId="31" xfId="1" applyFont="1" applyFill="1" applyBorder="1" applyAlignment="1">
      <alignment horizontal="left" vertical="top" wrapText="1"/>
    </xf>
    <xf numFmtId="0" fontId="29" fillId="7" borderId="32" xfId="1" applyFont="1" applyFill="1" applyBorder="1" applyAlignment="1">
      <alignment horizontal="left" vertical="top" wrapText="1"/>
    </xf>
    <xf numFmtId="167" fontId="29" fillId="7" borderId="33" xfId="1" applyNumberFormat="1" applyFont="1" applyFill="1" applyBorder="1" applyAlignment="1">
      <alignment horizontal="right" vertical="top"/>
    </xf>
    <xf numFmtId="167" fontId="29" fillId="7" borderId="34" xfId="1" applyNumberFormat="1" applyFont="1" applyFill="1" applyBorder="1" applyAlignment="1">
      <alignment horizontal="right" vertical="top"/>
    </xf>
    <xf numFmtId="0" fontId="28" fillId="6" borderId="35" xfId="1" applyFont="1" applyFill="1" applyBorder="1" applyAlignment="1">
      <alignment horizontal="left" vertical="top" wrapText="1"/>
    </xf>
    <xf numFmtId="166" fontId="29" fillId="7" borderId="36" xfId="1" applyNumberFormat="1" applyFont="1" applyFill="1" applyBorder="1" applyAlignment="1">
      <alignment horizontal="right" vertical="top"/>
    </xf>
    <xf numFmtId="166" fontId="29" fillId="7" borderId="37" xfId="1" applyNumberFormat="1" applyFont="1" applyFill="1" applyBorder="1" applyAlignment="1">
      <alignment horizontal="right" vertical="top"/>
    </xf>
    <xf numFmtId="166" fontId="29" fillId="7" borderId="38" xfId="1" applyNumberFormat="1" applyFont="1" applyFill="1" applyBorder="1" applyAlignment="1">
      <alignment horizontal="right" vertical="top"/>
    </xf>
    <xf numFmtId="167" fontId="29" fillId="7" borderId="32" xfId="1" applyNumberFormat="1" applyFont="1" applyFill="1" applyBorder="1" applyAlignment="1">
      <alignment horizontal="right" vertical="top"/>
    </xf>
    <xf numFmtId="166" fontId="29" fillId="7" borderId="33" xfId="1" applyNumberFormat="1" applyFont="1" applyFill="1" applyBorder="1" applyAlignment="1">
      <alignment horizontal="right" vertical="top"/>
    </xf>
    <xf numFmtId="0" fontId="29" fillId="7" borderId="33" xfId="1" applyFont="1" applyFill="1" applyBorder="1" applyAlignment="1">
      <alignment horizontal="right" vertical="top"/>
    </xf>
    <xf numFmtId="0" fontId="29" fillId="7" borderId="34" xfId="1" applyFont="1" applyFill="1" applyBorder="1" applyAlignment="1">
      <alignment horizontal="right" vertical="top"/>
    </xf>
    <xf numFmtId="0" fontId="29" fillId="7" borderId="33" xfId="1" applyFont="1" applyFill="1" applyBorder="1" applyAlignment="1">
      <alignment horizontal="left" vertical="top" wrapText="1"/>
    </xf>
    <xf numFmtId="0" fontId="29" fillId="7" borderId="32" xfId="1" applyFont="1" applyFill="1" applyBorder="1" applyAlignment="1">
      <alignment horizontal="right" vertical="top"/>
    </xf>
    <xf numFmtId="166" fontId="29" fillId="7" borderId="34" xfId="1" applyNumberFormat="1" applyFont="1" applyFill="1" applyBorder="1" applyAlignment="1">
      <alignment horizontal="right" vertical="top"/>
    </xf>
    <xf numFmtId="0" fontId="29" fillId="7" borderId="34" xfId="1" applyFont="1" applyFill="1" applyBorder="1" applyAlignment="1">
      <alignment horizontal="left" vertical="top" wrapText="1"/>
    </xf>
    <xf numFmtId="0" fontId="28" fillId="6" borderId="39" xfId="1" applyFont="1" applyFill="1" applyBorder="1" applyAlignment="1">
      <alignment horizontal="left" vertical="top" wrapText="1"/>
    </xf>
    <xf numFmtId="166" fontId="29" fillId="7" borderId="40" xfId="1" applyNumberFormat="1" applyFont="1" applyFill="1" applyBorder="1" applyAlignment="1">
      <alignment horizontal="right" vertical="top"/>
    </xf>
    <xf numFmtId="166" fontId="29" fillId="7" borderId="41" xfId="1" applyNumberFormat="1" applyFont="1" applyFill="1" applyBorder="1" applyAlignment="1">
      <alignment horizontal="right" vertical="top"/>
    </xf>
    <xf numFmtId="166" fontId="29" fillId="7" borderId="42" xfId="1" applyNumberFormat="1" applyFont="1" applyFill="1" applyBorder="1" applyAlignment="1">
      <alignment horizontal="right" vertical="top"/>
    </xf>
    <xf numFmtId="0" fontId="28" fillId="0" borderId="22" xfId="1" applyFont="1" applyBorder="1" applyAlignment="1">
      <alignment horizontal="left" wrapText="1"/>
    </xf>
    <xf numFmtId="0" fontId="28" fillId="6" borderId="26" xfId="1" applyFont="1" applyFill="1" applyBorder="1" applyAlignment="1">
      <alignment horizontal="left" vertical="top" wrapText="1"/>
    </xf>
    <xf numFmtId="0" fontId="29" fillId="0" borderId="0" xfId="1" applyFont="1" applyAlignment="1">
      <alignment horizontal="left" vertical="top" wrapText="1"/>
    </xf>
    <xf numFmtId="0" fontId="31" fillId="5" borderId="15" xfId="0" applyFont="1" applyFill="1" applyBorder="1" applyAlignment="1">
      <alignment horizontal="center" vertical="center"/>
    </xf>
    <xf numFmtId="0" fontId="31" fillId="5" borderId="21" xfId="0" applyFont="1" applyFill="1" applyBorder="1" applyAlignment="1">
      <alignment horizontal="center" vertical="center"/>
    </xf>
    <xf numFmtId="0" fontId="32" fillId="5" borderId="15" xfId="0" applyFont="1" applyFill="1" applyBorder="1" applyAlignment="1">
      <alignment horizontal="center" vertical="center"/>
    </xf>
    <xf numFmtId="2" fontId="32" fillId="0" borderId="15" xfId="0" applyNumberFormat="1" applyFont="1" applyBorder="1" applyAlignment="1">
      <alignment horizontal="center" vertical="center"/>
    </xf>
    <xf numFmtId="2" fontId="32" fillId="0" borderId="21" xfId="0" applyNumberFormat="1" applyFont="1" applyBorder="1" applyAlignment="1">
      <alignment horizontal="center" vertical="center"/>
    </xf>
    <xf numFmtId="0" fontId="33" fillId="0" borderId="15" xfId="0" applyFont="1" applyBorder="1" applyAlignment="1">
      <alignment horizontal="center" vertical="center" wrapText="1"/>
    </xf>
    <xf numFmtId="3" fontId="4" fillId="0" borderId="0" xfId="0" applyNumberFormat="1" applyFont="1" applyAlignment="1">
      <alignment horizontal="right" vertical="center" wrapText="1"/>
    </xf>
    <xf numFmtId="0" fontId="4" fillId="3" borderId="0" xfId="0" applyFont="1" applyFill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right" vertical="center" wrapText="1"/>
    </xf>
    <xf numFmtId="0" fontId="4" fillId="0" borderId="14" xfId="0" applyFont="1" applyBorder="1" applyAlignment="1">
      <alignment horizontal="right" vertical="center" wrapText="1"/>
    </xf>
    <xf numFmtId="0" fontId="4" fillId="3" borderId="14" xfId="0" applyFont="1" applyFill="1" applyBorder="1" applyAlignment="1">
      <alignment horizontal="right" vertical="center" wrapText="1"/>
    </xf>
    <xf numFmtId="0" fontId="4" fillId="0" borderId="8" xfId="0" applyFont="1" applyBorder="1" applyAlignment="1">
      <alignment horizontal="right" vertical="center" wrapText="1"/>
    </xf>
    <xf numFmtId="0" fontId="1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3" fontId="4" fillId="0" borderId="14" xfId="0" applyNumberFormat="1" applyFont="1" applyBorder="1" applyAlignment="1">
      <alignment horizontal="right" vertical="center" wrapText="1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3" fontId="4" fillId="0" borderId="7" xfId="0" applyNumberFormat="1" applyFont="1" applyBorder="1" applyAlignment="1">
      <alignment horizontal="right" vertical="center" wrapText="1"/>
    </xf>
    <xf numFmtId="3" fontId="4" fillId="0" borderId="8" xfId="0" applyNumberFormat="1" applyFont="1" applyBorder="1" applyAlignment="1">
      <alignment horizontal="right" vertical="center" wrapText="1"/>
    </xf>
    <xf numFmtId="0" fontId="5" fillId="0" borderId="9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4" fontId="14" fillId="0" borderId="7" xfId="0" applyNumberFormat="1" applyFont="1" applyBorder="1" applyAlignment="1">
      <alignment horizontal="right" vertical="center" wrapText="1"/>
    </xf>
    <xf numFmtId="0" fontId="14" fillId="0" borderId="0" xfId="0" applyFont="1" applyAlignment="1">
      <alignment horizontal="right" vertical="center" wrapText="1"/>
    </xf>
    <xf numFmtId="4" fontId="14" fillId="0" borderId="0" xfId="0" applyNumberFormat="1" applyFont="1" applyAlignment="1">
      <alignment horizontal="right" vertical="center" wrapText="1"/>
    </xf>
    <xf numFmtId="4" fontId="14" fillId="0" borderId="8" xfId="0" applyNumberFormat="1" applyFont="1" applyBorder="1" applyAlignment="1">
      <alignment horizontal="right" vertical="center" wrapText="1"/>
    </xf>
    <xf numFmtId="0" fontId="14" fillId="0" borderId="14" xfId="0" applyFont="1" applyBorder="1" applyAlignment="1">
      <alignment horizontal="right" vertical="center" wrapText="1"/>
    </xf>
    <xf numFmtId="4" fontId="14" fillId="0" borderId="14" xfId="0" applyNumberFormat="1" applyFont="1" applyBorder="1" applyAlignment="1">
      <alignment horizontal="right" vertical="center" wrapText="1"/>
    </xf>
    <xf numFmtId="0" fontId="6" fillId="0" borderId="9" xfId="0" applyFont="1" applyBorder="1" applyAlignment="1">
      <alignment horizontal="justify" vertical="center" wrapText="1"/>
    </xf>
    <xf numFmtId="0" fontId="6" fillId="0" borderId="0" xfId="0" applyFont="1" applyAlignment="1">
      <alignment horizontal="justify" vertical="center" wrapText="1"/>
    </xf>
    <xf numFmtId="0" fontId="6" fillId="0" borderId="7" xfId="0" applyFont="1" applyBorder="1" applyAlignment="1">
      <alignment horizontal="justify" vertical="center" wrapText="1"/>
    </xf>
    <xf numFmtId="0" fontId="6" fillId="0" borderId="10" xfId="0" applyFont="1" applyBorder="1" applyAlignment="1">
      <alignment horizontal="justify" vertical="center" wrapText="1"/>
    </xf>
    <xf numFmtId="0" fontId="6" fillId="0" borderId="11" xfId="0" applyFont="1" applyBorder="1" applyAlignment="1">
      <alignment horizontal="justify" vertical="center" wrapText="1"/>
    </xf>
    <xf numFmtId="0" fontId="6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right" vertical="center" wrapText="1"/>
    </xf>
    <xf numFmtId="3" fontId="2" fillId="0" borderId="0" xfId="0" applyNumberFormat="1" applyFont="1" applyAlignment="1">
      <alignment horizontal="right" vertical="center" wrapText="1"/>
    </xf>
    <xf numFmtId="0" fontId="15" fillId="0" borderId="0" xfId="0" applyFont="1" applyAlignment="1">
      <alignment horizontal="right" vertical="center" wrapText="1"/>
    </xf>
    <xf numFmtId="0" fontId="7" fillId="0" borderId="10" xfId="0" applyFont="1" applyBorder="1" applyAlignment="1">
      <alignment horizontal="justify" vertical="center" wrapText="1"/>
    </xf>
    <xf numFmtId="0" fontId="7" fillId="0" borderId="11" xfId="0" applyFont="1" applyBorder="1" applyAlignment="1">
      <alignment horizontal="justify" vertical="center" wrapText="1"/>
    </xf>
    <xf numFmtId="0" fontId="7" fillId="0" borderId="6" xfId="0" applyFont="1" applyBorder="1" applyAlignment="1">
      <alignment horizontal="justify" vertical="center" wrapText="1"/>
    </xf>
    <xf numFmtId="0" fontId="12" fillId="0" borderId="14" xfId="0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0" fontId="27" fillId="0" borderId="0" xfId="1" applyFont="1" applyAlignment="1">
      <alignment horizontal="center" vertical="center" wrapText="1"/>
    </xf>
  </cellXfs>
  <cellStyles count="2">
    <cellStyle name="Обычный" xfId="0" builtinId="0"/>
    <cellStyle name="Обычный_Корр анализ" xfId="1" xr:uid="{D6B72633-8DDA-4692-B8CA-E82075835E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театров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'театры, музеи'!$B$3:$G$3</c:f>
              <c:numCache>
                <c:formatCode>General</c:formatCode>
                <c:ptCount val="6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'театры, музеи'!$B$4:$G$4</c:f>
              <c:numCache>
                <c:formatCode>General</c:formatCode>
                <c:ptCount val="6"/>
                <c:pt idx="0">
                  <c:v>217</c:v>
                </c:pt>
                <c:pt idx="1">
                  <c:v>260</c:v>
                </c:pt>
                <c:pt idx="2">
                  <c:v>109</c:v>
                </c:pt>
                <c:pt idx="3">
                  <c:v>173</c:v>
                </c:pt>
                <c:pt idx="4">
                  <c:v>245</c:v>
                </c:pt>
                <c:pt idx="5">
                  <c:v>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55-4E43-97BA-3204E10719B8}"/>
            </c:ext>
          </c:extLst>
        </c:ser>
        <c:ser>
          <c:idx val="1"/>
          <c:order val="1"/>
          <c:tx>
            <c:v>музеев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'театры, музеи'!$I$4:$N$4</c:f>
              <c:numCache>
                <c:formatCode>General</c:formatCode>
                <c:ptCount val="6"/>
                <c:pt idx="0">
                  <c:v>567</c:v>
                </c:pt>
                <c:pt idx="1">
                  <c:v>533</c:v>
                </c:pt>
                <c:pt idx="2">
                  <c:v>400</c:v>
                </c:pt>
                <c:pt idx="3">
                  <c:v>648</c:v>
                </c:pt>
                <c:pt idx="4">
                  <c:v>827</c:v>
                </c:pt>
                <c:pt idx="5">
                  <c:v>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55-4E43-97BA-3204E1071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6625823"/>
        <c:axId val="1656629983"/>
      </c:lineChart>
      <c:dateAx>
        <c:axId val="1656625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Год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56629983"/>
        <c:crosses val="autoZero"/>
        <c:auto val="0"/>
        <c:lblOffset val="100"/>
        <c:baseTimeUnit val="days"/>
      </c:dateAx>
      <c:valAx>
        <c:axId val="165662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посетителей</a:t>
                </a:r>
                <a:r>
                  <a:rPr lang="ru-RU" baseline="0"/>
                  <a:t> на 1000 чел. населения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56625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Лист2!$K$11:$K$16</c:f>
              <c:numCache>
                <c:formatCode>General</c:formatCode>
                <c:ptCount val="6"/>
                <c:pt idx="0">
                  <c:v>217</c:v>
                </c:pt>
                <c:pt idx="1">
                  <c:v>260</c:v>
                </c:pt>
                <c:pt idx="2">
                  <c:v>109</c:v>
                </c:pt>
                <c:pt idx="3">
                  <c:v>173</c:v>
                </c:pt>
                <c:pt idx="4">
                  <c:v>245</c:v>
                </c:pt>
                <c:pt idx="5">
                  <c:v>284</c:v>
                </c:pt>
              </c:numCache>
            </c:numRef>
          </c:xVal>
          <c:yVal>
            <c:numRef>
              <c:f>Лист2!$L$50:$L$55</c:f>
              <c:numCache>
                <c:formatCode>General</c:formatCode>
                <c:ptCount val="6"/>
                <c:pt idx="0">
                  <c:v>-2.2737367544323206E-13</c:v>
                </c:pt>
                <c:pt idx="1">
                  <c:v>2.2737367544323206E-13</c:v>
                </c:pt>
                <c:pt idx="2">
                  <c:v>-2.2737367544323206E-13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31-4594-91AF-9AF0266FE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2639824"/>
        <c:axId val="1772640656"/>
      </c:scatterChart>
      <c:valAx>
        <c:axId val="1772639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Численность зрителей театров, человек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72640656"/>
        <c:crosses val="autoZero"/>
        <c:crossBetween val="midCat"/>
      </c:valAx>
      <c:valAx>
        <c:axId val="17726406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7263982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Лист2!$L$11:$L$16</c:f>
              <c:numCache>
                <c:formatCode>General</c:formatCode>
                <c:ptCount val="6"/>
                <c:pt idx="0">
                  <c:v>567</c:v>
                </c:pt>
                <c:pt idx="1">
                  <c:v>533</c:v>
                </c:pt>
                <c:pt idx="2">
                  <c:v>400</c:v>
                </c:pt>
                <c:pt idx="3">
                  <c:v>648</c:v>
                </c:pt>
                <c:pt idx="4">
                  <c:v>827</c:v>
                </c:pt>
                <c:pt idx="5">
                  <c:v>904</c:v>
                </c:pt>
              </c:numCache>
            </c:numRef>
          </c:xVal>
          <c:yVal>
            <c:numRef>
              <c:f>Лист2!$L$50:$L$55</c:f>
              <c:numCache>
                <c:formatCode>General</c:formatCode>
                <c:ptCount val="6"/>
                <c:pt idx="0">
                  <c:v>-2.2737367544323206E-13</c:v>
                </c:pt>
                <c:pt idx="1">
                  <c:v>2.2737367544323206E-13</c:v>
                </c:pt>
                <c:pt idx="2">
                  <c:v>-2.2737367544323206E-13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02-48AC-92E1-3F88B2711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2639824"/>
        <c:axId val="1772641904"/>
      </c:scatterChart>
      <c:valAx>
        <c:axId val="1772639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Число посещений музеев, человек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72641904"/>
        <c:crosses val="autoZero"/>
        <c:crossBetween val="midCat"/>
      </c:valAx>
      <c:valAx>
        <c:axId val="17726419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7263982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Лист2!#REF!</c:f>
            </c:numRef>
          </c:xVal>
          <c:yVal>
            <c:numRef>
              <c:f>Лист2!$L$50:$L$55</c:f>
              <c:numCache>
                <c:formatCode>General</c:formatCode>
                <c:ptCount val="6"/>
                <c:pt idx="0">
                  <c:v>-2.2737367544323206E-13</c:v>
                </c:pt>
                <c:pt idx="1">
                  <c:v>2.2737367544323206E-13</c:v>
                </c:pt>
                <c:pt idx="2">
                  <c:v>-2.2737367544323206E-13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D9-498A-8A4B-8B684FFC6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2639824"/>
        <c:axId val="1772642736"/>
      </c:scatterChart>
      <c:valAx>
        <c:axId val="1772639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Библиотечный фонд на 1 000 человек населения (на конец года; экземпляров)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72642736"/>
        <c:crosses val="autoZero"/>
        <c:crossBetween val="midCat"/>
      </c:valAx>
      <c:valAx>
        <c:axId val="17726427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7263982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Лист2!$J$11:$J$16</c:f>
              <c:numCache>
                <c:formatCode>General</c:formatCode>
                <c:ptCount val="6"/>
                <c:pt idx="0">
                  <c:v>1903</c:v>
                </c:pt>
                <c:pt idx="1">
                  <c:v>1877</c:v>
                </c:pt>
                <c:pt idx="2">
                  <c:v>1770</c:v>
                </c:pt>
                <c:pt idx="3">
                  <c:v>1676</c:v>
                </c:pt>
                <c:pt idx="4">
                  <c:v>1632</c:v>
                </c:pt>
                <c:pt idx="5">
                  <c:v>1623</c:v>
                </c:pt>
              </c:numCache>
            </c:numRef>
          </c:xVal>
          <c:yVal>
            <c:numRef>
              <c:f>Лист2!$L$50:$L$55</c:f>
              <c:numCache>
                <c:formatCode>General</c:formatCode>
                <c:ptCount val="6"/>
                <c:pt idx="0">
                  <c:v>-2.2737367544323206E-13</c:v>
                </c:pt>
                <c:pt idx="1">
                  <c:v>2.2737367544323206E-13</c:v>
                </c:pt>
                <c:pt idx="2">
                  <c:v>-2.2737367544323206E-13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49-472F-9C33-82FDDAA6E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2639824"/>
        <c:axId val="1772643984"/>
      </c:scatterChart>
      <c:valAx>
        <c:axId val="1772639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ВЫПУСК ГАЗЕТ на 1 000 человек населения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72643984"/>
        <c:crosses val="autoZero"/>
        <c:crossBetween val="midCat"/>
      </c:valAx>
      <c:valAx>
        <c:axId val="17726439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layout>
            <c:manualLayout>
              <c:xMode val="edge"/>
              <c:yMode val="edge"/>
              <c:x val="3.4722222222222224E-2"/>
              <c:y val="0.5671281356223912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77263982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Лист2!$M$11:$M$16</c:f>
              <c:numCache>
                <c:formatCode>General</c:formatCode>
                <c:ptCount val="6"/>
                <c:pt idx="0">
                  <c:v>6459</c:v>
                </c:pt>
                <c:pt idx="1">
                  <c:v>5702</c:v>
                </c:pt>
                <c:pt idx="2">
                  <c:v>5697</c:v>
                </c:pt>
                <c:pt idx="3">
                  <c:v>5643</c:v>
                </c:pt>
                <c:pt idx="4">
                  <c:v>5591</c:v>
                </c:pt>
                <c:pt idx="5">
                  <c:v>6066</c:v>
                </c:pt>
              </c:numCache>
            </c:numRef>
          </c:xVal>
          <c:yVal>
            <c:numRef>
              <c:f>Лист2!$L$50:$L$55</c:f>
              <c:numCache>
                <c:formatCode>General</c:formatCode>
                <c:ptCount val="6"/>
                <c:pt idx="0">
                  <c:v>-2.2737367544323206E-13</c:v>
                </c:pt>
                <c:pt idx="1">
                  <c:v>2.2737367544323206E-13</c:v>
                </c:pt>
                <c:pt idx="2">
                  <c:v>-2.2737367544323206E-13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FE-4F2D-92F3-1079843EF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2657712"/>
        <c:axId val="1772654800"/>
      </c:scatterChart>
      <c:valAx>
        <c:axId val="1772657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Численность детей, отдохнувших в них за лето, тыс. человек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72654800"/>
        <c:crosses val="autoZero"/>
        <c:crossBetween val="midCat"/>
      </c:valAx>
      <c:valAx>
        <c:axId val="17726548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7265771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СРЕДНЕГОДОВАЯ ЧИСЛЕННОСТЬ ЗАНЯТЫХ в Российской Федерации</a:t>
            </a:r>
          </a:p>
        </c:rich>
      </c:tx>
      <c:layout>
        <c:manualLayout>
          <c:xMode val="edge"/>
          <c:yMode val="edge"/>
          <c:x val="0.17179901175057433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занятые!$A$3</c:f>
              <c:strCache>
                <c:ptCount val="1"/>
                <c:pt idx="0">
                  <c:v>Российская Федерация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занятые!$B$2:$G$2</c:f>
              <c:numCache>
                <c:formatCode>General</c:formatCode>
                <c:ptCount val="6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занятые!$B$3:$G$3</c:f>
              <c:numCache>
                <c:formatCode>General</c:formatCode>
                <c:ptCount val="6"/>
                <c:pt idx="0">
                  <c:v>71493.100000000006</c:v>
                </c:pt>
                <c:pt idx="1">
                  <c:v>72424.899999999994</c:v>
                </c:pt>
                <c:pt idx="2" formatCode="#,##0.00">
                  <c:v>69550.3</c:v>
                </c:pt>
                <c:pt idx="3" formatCode="#,##0.00">
                  <c:v>70817.899999999994</c:v>
                </c:pt>
                <c:pt idx="4">
                  <c:v>71216.899999999994</c:v>
                </c:pt>
                <c:pt idx="5" formatCode="#,##0.00">
                  <c:v>72911.8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FB-4E2A-8051-169A4BD8F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9346207"/>
        <c:axId val="1559347455"/>
      </c:lineChart>
      <c:dateAx>
        <c:axId val="1559346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9347455"/>
        <c:crosses val="autoZero"/>
        <c:auto val="0"/>
        <c:lblOffset val="100"/>
        <c:baseTimeUnit val="days"/>
      </c:dateAx>
      <c:valAx>
        <c:axId val="155934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9346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ВРП на душу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Динамика!$A$14:$A$21</c:f>
              <c:numCache>
                <c:formatCode>General</c:formatCode>
                <c:ptCount val="8"/>
                <c:pt idx="0">
                  <c:v>2022</c:v>
                </c:pt>
                <c:pt idx="1">
                  <c:v>2021</c:v>
                </c:pt>
                <c:pt idx="2">
                  <c:v>2020</c:v>
                </c:pt>
                <c:pt idx="3">
                  <c:v>2019</c:v>
                </c:pt>
                <c:pt idx="4">
                  <c:v>2018</c:v>
                </c:pt>
                <c:pt idx="5">
                  <c:v>2015</c:v>
                </c:pt>
                <c:pt idx="6">
                  <c:v>2010</c:v>
                </c:pt>
                <c:pt idx="7">
                  <c:v>2005</c:v>
                </c:pt>
              </c:numCache>
            </c:numRef>
          </c:cat>
          <c:val>
            <c:numRef>
              <c:f>Динамика!$H$2:$H$9</c:f>
              <c:numCache>
                <c:formatCode>#,##0.00</c:formatCode>
                <c:ptCount val="8"/>
                <c:pt idx="0">
                  <c:v>958811.4</c:v>
                </c:pt>
                <c:pt idx="1">
                  <c:v>830059.8</c:v>
                </c:pt>
                <c:pt idx="2">
                  <c:v>639170</c:v>
                </c:pt>
                <c:pt idx="3">
                  <c:v>647708.1</c:v>
                </c:pt>
                <c:pt idx="4">
                  <c:v>614333.19999999995</c:v>
                </c:pt>
                <c:pt idx="5">
                  <c:v>447395.3</c:v>
                </c:pt>
                <c:pt idx="6">
                  <c:v>263828.59999999998</c:v>
                </c:pt>
                <c:pt idx="7">
                  <c:v>125658.7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CB-4197-9322-8FB763969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7165999"/>
        <c:axId val="1217166415"/>
      </c:lineChart>
      <c:dateAx>
        <c:axId val="121716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17166415"/>
        <c:crosses val="autoZero"/>
        <c:auto val="0"/>
        <c:lblOffset val="100"/>
        <c:baseTimeUnit val="days"/>
      </c:dateAx>
      <c:valAx>
        <c:axId val="121716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17165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000"/>
              <a:t>Численность зрителей театров, на тыс. чел</a:t>
            </a:r>
          </a:p>
        </c:rich>
      </c:tx>
      <c:layout>
        <c:manualLayout>
          <c:xMode val="edge"/>
          <c:yMode val="edge"/>
          <c:x val="0.21835025857369922"/>
          <c:y val="5.02873504448307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Динамика!$A$2:$A$9</c:f>
              <c:numCache>
                <c:formatCode>General</c:formatCode>
                <c:ptCount val="8"/>
                <c:pt idx="0">
                  <c:v>2023</c:v>
                </c:pt>
                <c:pt idx="1">
                  <c:v>2022</c:v>
                </c:pt>
                <c:pt idx="2">
                  <c:v>2021</c:v>
                </c:pt>
                <c:pt idx="3">
                  <c:v>2020</c:v>
                </c:pt>
                <c:pt idx="4">
                  <c:v>2019</c:v>
                </c:pt>
                <c:pt idx="5">
                  <c:v>2015</c:v>
                </c:pt>
                <c:pt idx="6">
                  <c:v>2010</c:v>
                </c:pt>
                <c:pt idx="7">
                  <c:v>2005</c:v>
                </c:pt>
              </c:numCache>
            </c:numRef>
          </c:cat>
          <c:val>
            <c:numRef>
              <c:f>Динамика!$B$2:$B$9</c:f>
              <c:numCache>
                <c:formatCode>General</c:formatCode>
                <c:ptCount val="8"/>
                <c:pt idx="0">
                  <c:v>284</c:v>
                </c:pt>
                <c:pt idx="1">
                  <c:v>245</c:v>
                </c:pt>
                <c:pt idx="2">
                  <c:v>173</c:v>
                </c:pt>
                <c:pt idx="3">
                  <c:v>109</c:v>
                </c:pt>
                <c:pt idx="4">
                  <c:v>280</c:v>
                </c:pt>
                <c:pt idx="5">
                  <c:v>261</c:v>
                </c:pt>
                <c:pt idx="6">
                  <c:v>217</c:v>
                </c:pt>
                <c:pt idx="7">
                  <c:v>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F4-4850-92F3-D53721149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0101007"/>
        <c:axId val="1713940671"/>
      </c:lineChart>
      <c:dateAx>
        <c:axId val="17401010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Год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13940671"/>
        <c:crosses val="autoZero"/>
        <c:auto val="0"/>
        <c:lblOffset val="100"/>
        <c:baseTimeUnit val="days"/>
      </c:dateAx>
      <c:valAx>
        <c:axId val="171394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Человек</a:t>
                </a:r>
              </a:p>
            </c:rich>
          </c:tx>
          <c:layout>
            <c:manualLayout>
              <c:xMode val="edge"/>
              <c:yMode val="edge"/>
              <c:x val="1.4543339150668994E-2"/>
              <c:y val="0.365166172410266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40101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100"/>
              <a:t>Стадионы с трибунами на 1500 мест и более на тыс. чел</a:t>
            </a:r>
          </a:p>
        </c:rich>
      </c:tx>
      <c:layout>
        <c:manualLayout>
          <c:xMode val="edge"/>
          <c:yMode val="edge"/>
          <c:x val="0.1031641484003688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Динамика!$A$2:$A$9</c:f>
              <c:numCache>
                <c:formatCode>General</c:formatCode>
                <c:ptCount val="8"/>
                <c:pt idx="0">
                  <c:v>2023</c:v>
                </c:pt>
                <c:pt idx="1">
                  <c:v>2022</c:v>
                </c:pt>
                <c:pt idx="2">
                  <c:v>2021</c:v>
                </c:pt>
                <c:pt idx="3">
                  <c:v>2020</c:v>
                </c:pt>
                <c:pt idx="4">
                  <c:v>2019</c:v>
                </c:pt>
                <c:pt idx="5">
                  <c:v>2015</c:v>
                </c:pt>
                <c:pt idx="6">
                  <c:v>2010</c:v>
                </c:pt>
                <c:pt idx="7">
                  <c:v>2005</c:v>
                </c:pt>
              </c:numCache>
            </c:numRef>
          </c:cat>
          <c:val>
            <c:numRef>
              <c:f>Динамика!$C$2:$C$9</c:f>
              <c:numCache>
                <c:formatCode>0</c:formatCode>
                <c:ptCount val="8"/>
                <c:pt idx="0">
                  <c:v>11.10496829302337</c:v>
                </c:pt>
                <c:pt idx="1">
                  <c:v>11.143932906968647</c:v>
                </c:pt>
                <c:pt idx="2">
                  <c:v>11.402904202677778</c:v>
                </c:pt>
                <c:pt idx="3">
                  <c:v>12.003605150563864</c:v>
                </c:pt>
                <c:pt idx="4">
                  <c:v>11.788836721204234</c:v>
                </c:pt>
                <c:pt idx="5">
                  <c:v>12.752892161625415</c:v>
                </c:pt>
                <c:pt idx="6">
                  <c:v>13.320267385293809</c:v>
                </c:pt>
                <c:pt idx="7">
                  <c:v>14.52847049624396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80-41D9-A6DC-437C29CA3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0705407"/>
        <c:axId val="1720699583"/>
      </c:lineChart>
      <c:dateAx>
        <c:axId val="172070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Год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20699583"/>
        <c:crosses val="autoZero"/>
        <c:auto val="0"/>
        <c:lblOffset val="100"/>
        <c:baseTimeUnit val="days"/>
      </c:dateAx>
      <c:valAx>
        <c:axId val="1720699583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Число</a:t>
                </a:r>
                <a:r>
                  <a:rPr lang="ru-RU" baseline="0"/>
                  <a:t> стадионов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2070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Динамика!$D$1</c:f>
              <c:strCache>
                <c:ptCount val="1"/>
                <c:pt idx="0">
                  <c:v>Численность пользователей библиотек на 1000 чел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Динамика!$A$2:$A$9</c:f>
              <c:numCache>
                <c:formatCode>General</c:formatCode>
                <c:ptCount val="8"/>
                <c:pt idx="0">
                  <c:v>2023</c:v>
                </c:pt>
                <c:pt idx="1">
                  <c:v>2022</c:v>
                </c:pt>
                <c:pt idx="2">
                  <c:v>2021</c:v>
                </c:pt>
                <c:pt idx="3">
                  <c:v>2020</c:v>
                </c:pt>
                <c:pt idx="4">
                  <c:v>2019</c:v>
                </c:pt>
                <c:pt idx="5">
                  <c:v>2015</c:v>
                </c:pt>
                <c:pt idx="6">
                  <c:v>2010</c:v>
                </c:pt>
                <c:pt idx="7">
                  <c:v>2005</c:v>
                </c:pt>
              </c:numCache>
            </c:numRef>
          </c:cat>
          <c:val>
            <c:numRef>
              <c:f>Динамика!$D$2:$D$9</c:f>
              <c:numCache>
                <c:formatCode>General</c:formatCode>
                <c:ptCount val="8"/>
                <c:pt idx="0" formatCode="#,##0">
                  <c:v>50831</c:v>
                </c:pt>
                <c:pt idx="1">
                  <c:v>51691</c:v>
                </c:pt>
                <c:pt idx="2" formatCode="#,##0">
                  <c:v>49672</c:v>
                </c:pt>
                <c:pt idx="3">
                  <c:v>44028</c:v>
                </c:pt>
                <c:pt idx="4">
                  <c:v>50404</c:v>
                </c:pt>
                <c:pt idx="5">
                  <c:v>51992</c:v>
                </c:pt>
                <c:pt idx="6">
                  <c:v>55971</c:v>
                </c:pt>
                <c:pt idx="7">
                  <c:v>58088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FC-4B0F-AB7C-F7343A632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5664879"/>
        <c:axId val="1645665711"/>
      </c:lineChart>
      <c:dateAx>
        <c:axId val="16456648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Год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5665711"/>
        <c:crosses val="autoZero"/>
        <c:auto val="0"/>
        <c:lblOffset val="100"/>
        <c:baseTimeUnit val="days"/>
      </c:dateAx>
      <c:valAx>
        <c:axId val="1645665711"/>
        <c:scaling>
          <c:orientation val="minMax"/>
          <c:min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человек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5664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Динамика!$E$1</c:f>
              <c:strCache>
                <c:ptCount val="1"/>
                <c:pt idx="0">
                  <c:v>ВЫПУСК ГАЗЕТ на 1 000 человек населения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Динамика!$A$2:$A$9</c:f>
              <c:numCache>
                <c:formatCode>General</c:formatCode>
                <c:ptCount val="8"/>
                <c:pt idx="0">
                  <c:v>2023</c:v>
                </c:pt>
                <c:pt idx="1">
                  <c:v>2022</c:v>
                </c:pt>
                <c:pt idx="2">
                  <c:v>2021</c:v>
                </c:pt>
                <c:pt idx="3">
                  <c:v>2020</c:v>
                </c:pt>
                <c:pt idx="4">
                  <c:v>2019</c:v>
                </c:pt>
                <c:pt idx="5">
                  <c:v>2015</c:v>
                </c:pt>
                <c:pt idx="6">
                  <c:v>2010</c:v>
                </c:pt>
                <c:pt idx="7">
                  <c:v>2005</c:v>
                </c:pt>
              </c:numCache>
            </c:numRef>
          </c:cat>
          <c:val>
            <c:numRef>
              <c:f>Динамика!$E$2:$E$9</c:f>
              <c:numCache>
                <c:formatCode>General</c:formatCode>
                <c:ptCount val="8"/>
                <c:pt idx="0">
                  <c:v>579</c:v>
                </c:pt>
                <c:pt idx="1">
                  <c:v>693</c:v>
                </c:pt>
                <c:pt idx="2">
                  <c:v>817</c:v>
                </c:pt>
                <c:pt idx="3">
                  <c:v>936</c:v>
                </c:pt>
                <c:pt idx="4">
                  <c:v>955</c:v>
                </c:pt>
                <c:pt idx="5" formatCode="#,##0">
                  <c:v>1382</c:v>
                </c:pt>
                <c:pt idx="6" formatCode="#,##0">
                  <c:v>1446</c:v>
                </c:pt>
                <c:pt idx="7" formatCode="#,##0">
                  <c:v>1234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20-467E-A477-484A6CC3E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6438623"/>
        <c:axId val="1686439039"/>
      </c:lineChart>
      <c:dateAx>
        <c:axId val="1686438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Год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86439039"/>
        <c:crosses val="autoZero"/>
        <c:auto val="0"/>
        <c:lblOffset val="100"/>
        <c:baseTimeUnit val="days"/>
      </c:dateAx>
      <c:valAx>
        <c:axId val="1686439039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чило</a:t>
                </a:r>
                <a:r>
                  <a:rPr lang="ru-RU" baseline="0"/>
                  <a:t> газет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86438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Динамика!$A$2:$A$9</c:f>
              <c:numCache>
                <c:formatCode>General</c:formatCode>
                <c:ptCount val="8"/>
                <c:pt idx="0">
                  <c:v>2023</c:v>
                </c:pt>
                <c:pt idx="1">
                  <c:v>2022</c:v>
                </c:pt>
                <c:pt idx="2">
                  <c:v>2021</c:v>
                </c:pt>
                <c:pt idx="3">
                  <c:v>2020</c:v>
                </c:pt>
                <c:pt idx="4">
                  <c:v>2019</c:v>
                </c:pt>
                <c:pt idx="5">
                  <c:v>2015</c:v>
                </c:pt>
                <c:pt idx="6">
                  <c:v>2010</c:v>
                </c:pt>
                <c:pt idx="7">
                  <c:v>2005</c:v>
                </c:pt>
              </c:numCache>
            </c:numRef>
          </c:cat>
          <c:val>
            <c:numRef>
              <c:f>Динамика!$F$2:$F$8</c:f>
              <c:numCache>
                <c:formatCode>#,##0.00</c:formatCode>
                <c:ptCount val="7"/>
                <c:pt idx="0">
                  <c:v>72911.8</c:v>
                </c:pt>
                <c:pt idx="1">
                  <c:v>71216.899999999994</c:v>
                </c:pt>
                <c:pt idx="2">
                  <c:v>70817.899999999994</c:v>
                </c:pt>
                <c:pt idx="3">
                  <c:v>69550.3</c:v>
                </c:pt>
                <c:pt idx="4">
                  <c:v>71064.5</c:v>
                </c:pt>
                <c:pt idx="5">
                  <c:v>72424.899999999994</c:v>
                </c:pt>
                <c:pt idx="6">
                  <c:v>71493.100000000006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Динамика!#REF!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E5F-49C7-B76B-58C68E800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6435295"/>
        <c:axId val="1686449439"/>
      </c:lineChart>
      <c:dateAx>
        <c:axId val="1686435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86449439"/>
        <c:crosses val="autoZero"/>
        <c:auto val="0"/>
        <c:lblOffset val="100"/>
        <c:baseTimeUnit val="days"/>
      </c:dateAx>
      <c:valAx>
        <c:axId val="168644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86435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Динамика!$A$2:$A$9</c:f>
              <c:numCache>
                <c:formatCode>General</c:formatCode>
                <c:ptCount val="8"/>
                <c:pt idx="0">
                  <c:v>2023</c:v>
                </c:pt>
                <c:pt idx="1">
                  <c:v>2022</c:v>
                </c:pt>
                <c:pt idx="2">
                  <c:v>2021</c:v>
                </c:pt>
                <c:pt idx="3">
                  <c:v>2020</c:v>
                </c:pt>
                <c:pt idx="4">
                  <c:v>2019</c:v>
                </c:pt>
                <c:pt idx="5">
                  <c:v>2015</c:v>
                </c:pt>
                <c:pt idx="6">
                  <c:v>2010</c:v>
                </c:pt>
                <c:pt idx="7">
                  <c:v>2005</c:v>
                </c:pt>
              </c:numCache>
            </c:numRef>
          </c:cat>
          <c:val>
            <c:numRef>
              <c:f>Динамика!$I$2:$I$9</c:f>
              <c:numCache>
                <c:formatCode>0.00</c:formatCode>
                <c:ptCount val="8"/>
                <c:pt idx="0">
                  <c:v>8.57</c:v>
                </c:pt>
                <c:pt idx="1">
                  <c:v>8.56</c:v>
                </c:pt>
                <c:pt idx="2">
                  <c:v>8.5299999999999994</c:v>
                </c:pt>
                <c:pt idx="3">
                  <c:v>8.5399999999999991</c:v>
                </c:pt>
                <c:pt idx="4">
                  <c:v>8.57</c:v>
                </c:pt>
                <c:pt idx="5">
                  <c:v>8.57</c:v>
                </c:pt>
                <c:pt idx="6">
                  <c:v>8.36</c:v>
                </c:pt>
                <c:pt idx="7">
                  <c:v>8.3800000000000008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Динамика!#REF!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CE9-42C5-906D-05A9A299C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9190575"/>
        <c:axId val="1759190159"/>
      </c:lineChart>
      <c:dateAx>
        <c:axId val="1759190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9190159"/>
        <c:crosses val="autoZero"/>
        <c:auto val="0"/>
        <c:lblOffset val="100"/>
        <c:baseTimeUnit val="days"/>
      </c:dateAx>
      <c:valAx>
        <c:axId val="175919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9190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'расчёт 1 глава'!$E$1</c:f>
              <c:strCache>
                <c:ptCount val="1"/>
                <c:pt idx="0">
                  <c:v>ВЫПУСК ГАЗЕТ на 1 000 человек населения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'расчёт 1 глава'!$A$2:$A$83</c:f>
              <c:strCache>
                <c:ptCount val="82"/>
                <c:pt idx="0">
                  <c:v>Белгородская область</c:v>
                </c:pt>
                <c:pt idx="1">
                  <c:v>Брянская область</c:v>
                </c:pt>
                <c:pt idx="2">
                  <c:v>Владимирская область</c:v>
                </c:pt>
                <c:pt idx="3">
                  <c:v>Воронежская область</c:v>
                </c:pt>
                <c:pt idx="4">
                  <c:v>Ивановская область</c:v>
                </c:pt>
                <c:pt idx="5">
                  <c:v>Калужская область</c:v>
                </c:pt>
                <c:pt idx="6">
                  <c:v>Костромская область</c:v>
                </c:pt>
                <c:pt idx="7">
                  <c:v>Курская область</c:v>
                </c:pt>
                <c:pt idx="8">
                  <c:v>Липецкая область</c:v>
                </c:pt>
                <c:pt idx="9">
                  <c:v>Московская область</c:v>
                </c:pt>
                <c:pt idx="10">
                  <c:v>Орловская область</c:v>
                </c:pt>
                <c:pt idx="11">
                  <c:v>Рязанская область</c:v>
                </c:pt>
                <c:pt idx="12">
                  <c:v>Смоленская область</c:v>
                </c:pt>
                <c:pt idx="13">
                  <c:v>Тамбовская область</c:v>
                </c:pt>
                <c:pt idx="14">
                  <c:v>Тверская область</c:v>
                </c:pt>
                <c:pt idx="15">
                  <c:v>Тульская область</c:v>
                </c:pt>
                <c:pt idx="16">
                  <c:v>Ярославская область</c:v>
                </c:pt>
                <c:pt idx="17">
                  <c:v>г. Москва</c:v>
                </c:pt>
                <c:pt idx="18">
                  <c:v>Республика Карелия</c:v>
                </c:pt>
                <c:pt idx="19">
                  <c:v>Республика Коми</c:v>
                </c:pt>
                <c:pt idx="20">
                  <c:v>Архангельская область</c:v>
                </c:pt>
                <c:pt idx="21">
                  <c:v>Архангельская область без автономного округа</c:v>
                </c:pt>
                <c:pt idx="22">
                  <c:v>Вологодская область</c:v>
                </c:pt>
                <c:pt idx="23">
                  <c:v>Калинингpадская область</c:v>
                </c:pt>
                <c:pt idx="24">
                  <c:v>Ленинградская область</c:v>
                </c:pt>
                <c:pt idx="25">
                  <c:v>Мурманская область</c:v>
                </c:pt>
                <c:pt idx="26">
                  <c:v>Новгородская область</c:v>
                </c:pt>
                <c:pt idx="27">
                  <c:v>Псковская область</c:v>
                </c:pt>
                <c:pt idx="28">
                  <c:v>г. Санкт-Петербург</c:v>
                </c:pt>
                <c:pt idx="29">
                  <c:v>Республика Адыгея</c:v>
                </c:pt>
                <c:pt idx="30">
                  <c:v>Республика Крым</c:v>
                </c:pt>
                <c:pt idx="31">
                  <c:v>Краснодарский край</c:v>
                </c:pt>
                <c:pt idx="32">
                  <c:v>Астраханская область</c:v>
                </c:pt>
                <c:pt idx="33">
                  <c:v>Волгоградская область</c:v>
                </c:pt>
                <c:pt idx="34">
                  <c:v>Ростовская область</c:v>
                </c:pt>
                <c:pt idx="35">
                  <c:v>г. Севастополь</c:v>
                </c:pt>
                <c:pt idx="36">
                  <c:v>Республика Дагестан</c:v>
                </c:pt>
                <c:pt idx="37">
                  <c:v>Кабардино-Балкарская Республика</c:v>
                </c:pt>
                <c:pt idx="38">
                  <c:v>Карачаево-Черкесская Республика</c:v>
                </c:pt>
                <c:pt idx="39">
                  <c:v>Республика Северная Осетия </c:v>
                </c:pt>
                <c:pt idx="40">
                  <c:v>Чеченская Республика </c:v>
                </c:pt>
                <c:pt idx="41">
                  <c:v>Ставропольский край</c:v>
                </c:pt>
                <c:pt idx="42">
                  <c:v>Республика Башкортостан</c:v>
                </c:pt>
                <c:pt idx="43">
                  <c:v>Республика Марий Эл</c:v>
                </c:pt>
                <c:pt idx="44">
                  <c:v>Республика Мордовия</c:v>
                </c:pt>
                <c:pt idx="45">
                  <c:v>Республика Татарстан</c:v>
                </c:pt>
                <c:pt idx="46">
                  <c:v>Удмуртская Республика</c:v>
                </c:pt>
                <c:pt idx="47">
                  <c:v>Чувашская Республика</c:v>
                </c:pt>
                <c:pt idx="48">
                  <c:v>Пермский край</c:v>
                </c:pt>
                <c:pt idx="49">
                  <c:v>Кировская область</c:v>
                </c:pt>
                <c:pt idx="50">
                  <c:v>Нижегородская область</c:v>
                </c:pt>
                <c:pt idx="51">
                  <c:v>Оренбургская область</c:v>
                </c:pt>
                <c:pt idx="52">
                  <c:v>Пензенская область</c:v>
                </c:pt>
                <c:pt idx="53">
                  <c:v>Самарская область</c:v>
                </c:pt>
                <c:pt idx="54">
                  <c:v>Саратовская область</c:v>
                </c:pt>
                <c:pt idx="55">
                  <c:v>Ульяновская область</c:v>
                </c:pt>
                <c:pt idx="56">
                  <c:v>Свердловская область</c:v>
                </c:pt>
                <c:pt idx="57">
                  <c:v>Тюменская область</c:v>
                </c:pt>
                <c:pt idx="58">
                  <c:v>Ханты-Мансийский автономный округ </c:v>
                </c:pt>
                <c:pt idx="59">
                  <c:v>Тюменская область без автономных округов</c:v>
                </c:pt>
                <c:pt idx="60">
                  <c:v>Челябинская область</c:v>
                </c:pt>
                <c:pt idx="61">
                  <c:v>Республика Алтай</c:v>
                </c:pt>
                <c:pt idx="62">
                  <c:v>Республика Тыва</c:v>
                </c:pt>
                <c:pt idx="63">
                  <c:v>Республика Хакасия</c:v>
                </c:pt>
                <c:pt idx="64">
                  <c:v>Алтайский край</c:v>
                </c:pt>
                <c:pt idx="65">
                  <c:v>Красноярский край</c:v>
                </c:pt>
                <c:pt idx="66">
                  <c:v>Иркутская область</c:v>
                </c:pt>
                <c:pt idx="67">
                  <c:v>Кемеровская область</c:v>
                </c:pt>
                <c:pt idx="68">
                  <c:v>Новосибирская область</c:v>
                </c:pt>
                <c:pt idx="69">
                  <c:v>Омская область</c:v>
                </c:pt>
                <c:pt idx="70">
                  <c:v>Томская область</c:v>
                </c:pt>
                <c:pt idx="71">
                  <c:v>Республика Бурятия</c:v>
                </c:pt>
                <c:pt idx="72">
                  <c:v>Республика Саха (Якутия)</c:v>
                </c:pt>
                <c:pt idx="73">
                  <c:v>Забайкальский край</c:v>
                </c:pt>
                <c:pt idx="74">
                  <c:v>Камчатский край</c:v>
                </c:pt>
                <c:pt idx="75">
                  <c:v>Приморский край</c:v>
                </c:pt>
                <c:pt idx="76">
                  <c:v>Хабаровский край</c:v>
                </c:pt>
                <c:pt idx="77">
                  <c:v>Амурская область</c:v>
                </c:pt>
                <c:pt idx="78">
                  <c:v>Магаданская область</c:v>
                </c:pt>
                <c:pt idx="79">
                  <c:v>Сахалинская область</c:v>
                </c:pt>
                <c:pt idx="80">
                  <c:v>Еврейская автономная область</c:v>
                </c:pt>
                <c:pt idx="81">
                  <c:v>Чукотский автономный округ</c:v>
                </c:pt>
              </c:strCache>
            </c:strRef>
          </c:xVal>
          <c:yVal>
            <c:numRef>
              <c:f>'расчёт 1 глава'!$E$2:$E$83</c:f>
              <c:numCache>
                <c:formatCode>General</c:formatCode>
                <c:ptCount val="82"/>
                <c:pt idx="0">
                  <c:v>852</c:v>
                </c:pt>
                <c:pt idx="1">
                  <c:v>234</c:v>
                </c:pt>
                <c:pt idx="2">
                  <c:v>552</c:v>
                </c:pt>
                <c:pt idx="3">
                  <c:v>480</c:v>
                </c:pt>
                <c:pt idx="4">
                  <c:v>321</c:v>
                </c:pt>
                <c:pt idx="5">
                  <c:v>622</c:v>
                </c:pt>
                <c:pt idx="6">
                  <c:v>386</c:v>
                </c:pt>
                <c:pt idx="7">
                  <c:v>394</c:v>
                </c:pt>
                <c:pt idx="8">
                  <c:v>132</c:v>
                </c:pt>
                <c:pt idx="9">
                  <c:v>198</c:v>
                </c:pt>
                <c:pt idx="10">
                  <c:v>188</c:v>
                </c:pt>
                <c:pt idx="11">
                  <c:v>408</c:v>
                </c:pt>
                <c:pt idx="12">
                  <c:v>2592</c:v>
                </c:pt>
                <c:pt idx="13">
                  <c:v>154</c:v>
                </c:pt>
                <c:pt idx="14">
                  <c:v>307</c:v>
                </c:pt>
                <c:pt idx="15">
                  <c:v>191</c:v>
                </c:pt>
                <c:pt idx="16">
                  <c:v>509</c:v>
                </c:pt>
                <c:pt idx="17">
                  <c:v>2383</c:v>
                </c:pt>
                <c:pt idx="18">
                  <c:v>564</c:v>
                </c:pt>
                <c:pt idx="19">
                  <c:v>770</c:v>
                </c:pt>
                <c:pt idx="20">
                  <c:v>1250</c:v>
                </c:pt>
                <c:pt idx="21">
                  <c:v>1250</c:v>
                </c:pt>
                <c:pt idx="22">
                  <c:v>1061</c:v>
                </c:pt>
                <c:pt idx="23">
                  <c:v>319</c:v>
                </c:pt>
                <c:pt idx="24">
                  <c:v>130</c:v>
                </c:pt>
                <c:pt idx="25">
                  <c:v>837</c:v>
                </c:pt>
                <c:pt idx="26">
                  <c:v>717</c:v>
                </c:pt>
                <c:pt idx="27">
                  <c:v>353</c:v>
                </c:pt>
                <c:pt idx="28">
                  <c:v>1313</c:v>
                </c:pt>
                <c:pt idx="29">
                  <c:v>186</c:v>
                </c:pt>
                <c:pt idx="30">
                  <c:v>136</c:v>
                </c:pt>
                <c:pt idx="31">
                  <c:v>230</c:v>
                </c:pt>
                <c:pt idx="32">
                  <c:v>104</c:v>
                </c:pt>
                <c:pt idx="33">
                  <c:v>156</c:v>
                </c:pt>
                <c:pt idx="34">
                  <c:v>310</c:v>
                </c:pt>
                <c:pt idx="35">
                  <c:v>195</c:v>
                </c:pt>
                <c:pt idx="36">
                  <c:v>56</c:v>
                </c:pt>
                <c:pt idx="37">
                  <c:v>49</c:v>
                </c:pt>
                <c:pt idx="38">
                  <c:v>95</c:v>
                </c:pt>
                <c:pt idx="39">
                  <c:v>85</c:v>
                </c:pt>
                <c:pt idx="40">
                  <c:v>28</c:v>
                </c:pt>
                <c:pt idx="41">
                  <c:v>173</c:v>
                </c:pt>
                <c:pt idx="42">
                  <c:v>278</c:v>
                </c:pt>
                <c:pt idx="43">
                  <c:v>1618</c:v>
                </c:pt>
                <c:pt idx="44">
                  <c:v>225</c:v>
                </c:pt>
                <c:pt idx="45">
                  <c:v>349</c:v>
                </c:pt>
                <c:pt idx="46">
                  <c:v>520</c:v>
                </c:pt>
                <c:pt idx="47">
                  <c:v>509</c:v>
                </c:pt>
                <c:pt idx="48">
                  <c:v>370</c:v>
                </c:pt>
                <c:pt idx="49">
                  <c:v>605</c:v>
                </c:pt>
                <c:pt idx="50">
                  <c:v>1201</c:v>
                </c:pt>
                <c:pt idx="51">
                  <c:v>291</c:v>
                </c:pt>
                <c:pt idx="52">
                  <c:v>455</c:v>
                </c:pt>
                <c:pt idx="53">
                  <c:v>285</c:v>
                </c:pt>
                <c:pt idx="54">
                  <c:v>405</c:v>
                </c:pt>
                <c:pt idx="55">
                  <c:v>1143</c:v>
                </c:pt>
                <c:pt idx="56">
                  <c:v>375</c:v>
                </c:pt>
                <c:pt idx="57">
                  <c:v>204</c:v>
                </c:pt>
                <c:pt idx="58">
                  <c:v>222</c:v>
                </c:pt>
                <c:pt idx="59">
                  <c:v>193</c:v>
                </c:pt>
                <c:pt idx="60">
                  <c:v>450</c:v>
                </c:pt>
                <c:pt idx="61">
                  <c:v>318</c:v>
                </c:pt>
                <c:pt idx="62">
                  <c:v>73</c:v>
                </c:pt>
                <c:pt idx="63">
                  <c:v>788</c:v>
                </c:pt>
                <c:pt idx="64">
                  <c:v>294</c:v>
                </c:pt>
                <c:pt idx="65">
                  <c:v>314</c:v>
                </c:pt>
                <c:pt idx="66">
                  <c:v>354</c:v>
                </c:pt>
                <c:pt idx="67">
                  <c:v>122</c:v>
                </c:pt>
                <c:pt idx="68">
                  <c:v>363</c:v>
                </c:pt>
                <c:pt idx="69">
                  <c:v>266</c:v>
                </c:pt>
                <c:pt idx="70">
                  <c:v>416</c:v>
                </c:pt>
                <c:pt idx="71">
                  <c:v>342</c:v>
                </c:pt>
                <c:pt idx="72">
                  <c:v>135</c:v>
                </c:pt>
                <c:pt idx="73">
                  <c:v>163</c:v>
                </c:pt>
                <c:pt idx="74">
                  <c:v>487</c:v>
                </c:pt>
                <c:pt idx="75">
                  <c:v>150</c:v>
                </c:pt>
                <c:pt idx="76">
                  <c:v>193</c:v>
                </c:pt>
                <c:pt idx="77">
                  <c:v>208</c:v>
                </c:pt>
                <c:pt idx="78">
                  <c:v>280</c:v>
                </c:pt>
                <c:pt idx="79">
                  <c:v>160</c:v>
                </c:pt>
                <c:pt idx="80">
                  <c:v>173</c:v>
                </c:pt>
                <c:pt idx="81">
                  <c:v>108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7D-457B-B3A7-CDCCFEE83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857952"/>
        <c:axId val="1122858784"/>
      </c:scatterChart>
      <c:valAx>
        <c:axId val="1122857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2858784"/>
        <c:crosses val="autoZero"/>
        <c:crossBetween val="midCat"/>
      </c:valAx>
      <c:valAx>
        <c:axId val="112285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2857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'Корр анализ'!$AA$1</c:f>
              <c:strCache>
                <c:ptCount val="1"/>
                <c:pt idx="0">
                  <c:v>X9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'Корр анализ'!$Z$2:$Z$80</c:f>
              <c:numCache>
                <c:formatCode>General</c:formatCode>
                <c:ptCount val="79"/>
                <c:pt idx="0">
                  <c:v>47257</c:v>
                </c:pt>
                <c:pt idx="1">
                  <c:v>40927</c:v>
                </c:pt>
                <c:pt idx="2">
                  <c:v>38649</c:v>
                </c:pt>
                <c:pt idx="3">
                  <c:v>45087</c:v>
                </c:pt>
                <c:pt idx="4">
                  <c:v>41108</c:v>
                </c:pt>
                <c:pt idx="5">
                  <c:v>44564</c:v>
                </c:pt>
                <c:pt idx="6">
                  <c:v>43668</c:v>
                </c:pt>
                <c:pt idx="7">
                  <c:v>43719</c:v>
                </c:pt>
                <c:pt idx="8">
                  <c:v>45458</c:v>
                </c:pt>
                <c:pt idx="9">
                  <c:v>64870</c:v>
                </c:pt>
                <c:pt idx="10">
                  <c:v>43730</c:v>
                </c:pt>
                <c:pt idx="11">
                  <c:v>39905</c:v>
                </c:pt>
                <c:pt idx="12">
                  <c:v>42734</c:v>
                </c:pt>
                <c:pt idx="13">
                  <c:v>39229</c:v>
                </c:pt>
                <c:pt idx="14">
                  <c:v>41274</c:v>
                </c:pt>
                <c:pt idx="15">
                  <c:v>42375</c:v>
                </c:pt>
                <c:pt idx="16">
                  <c:v>46684</c:v>
                </c:pt>
                <c:pt idx="17">
                  <c:v>53068</c:v>
                </c:pt>
                <c:pt idx="18">
                  <c:v>56152</c:v>
                </c:pt>
                <c:pt idx="19">
                  <c:v>58967</c:v>
                </c:pt>
                <c:pt idx="20">
                  <c:v>55952</c:v>
                </c:pt>
                <c:pt idx="21">
                  <c:v>42708</c:v>
                </c:pt>
                <c:pt idx="22">
                  <c:v>43543</c:v>
                </c:pt>
                <c:pt idx="23">
                  <c:v>45989</c:v>
                </c:pt>
                <c:pt idx="24">
                  <c:v>75786</c:v>
                </c:pt>
                <c:pt idx="25">
                  <c:v>38903</c:v>
                </c:pt>
                <c:pt idx="26">
                  <c:v>39898</c:v>
                </c:pt>
                <c:pt idx="27">
                  <c:v>42684</c:v>
                </c:pt>
                <c:pt idx="28">
                  <c:v>32875</c:v>
                </c:pt>
                <c:pt idx="29">
                  <c:v>54627</c:v>
                </c:pt>
                <c:pt idx="30">
                  <c:v>36593</c:v>
                </c:pt>
                <c:pt idx="31">
                  <c:v>35575</c:v>
                </c:pt>
                <c:pt idx="32">
                  <c:v>46840</c:v>
                </c:pt>
                <c:pt idx="33">
                  <c:v>39686</c:v>
                </c:pt>
                <c:pt idx="34">
                  <c:v>38948</c:v>
                </c:pt>
                <c:pt idx="35">
                  <c:v>25619</c:v>
                </c:pt>
                <c:pt idx="36">
                  <c:v>35276</c:v>
                </c:pt>
                <c:pt idx="37">
                  <c:v>35920</c:v>
                </c:pt>
                <c:pt idx="38">
                  <c:v>32930</c:v>
                </c:pt>
                <c:pt idx="39">
                  <c:v>40022</c:v>
                </c:pt>
                <c:pt idx="40">
                  <c:v>31013</c:v>
                </c:pt>
                <c:pt idx="41">
                  <c:v>30647</c:v>
                </c:pt>
                <c:pt idx="42">
                  <c:v>52524</c:v>
                </c:pt>
                <c:pt idx="43">
                  <c:v>38939</c:v>
                </c:pt>
                <c:pt idx="44">
                  <c:v>34129</c:v>
                </c:pt>
                <c:pt idx="45">
                  <c:v>45639</c:v>
                </c:pt>
                <c:pt idx="46">
                  <c:v>38277</c:v>
                </c:pt>
                <c:pt idx="47">
                  <c:v>50601</c:v>
                </c:pt>
                <c:pt idx="48">
                  <c:v>36756</c:v>
                </c:pt>
                <c:pt idx="49">
                  <c:v>36429</c:v>
                </c:pt>
                <c:pt idx="50">
                  <c:v>42701</c:v>
                </c:pt>
                <c:pt idx="51">
                  <c:v>33348</c:v>
                </c:pt>
                <c:pt idx="52">
                  <c:v>35783</c:v>
                </c:pt>
                <c:pt idx="53">
                  <c:v>53413</c:v>
                </c:pt>
                <c:pt idx="54">
                  <c:v>69341</c:v>
                </c:pt>
                <c:pt idx="55">
                  <c:v>72634</c:v>
                </c:pt>
                <c:pt idx="56">
                  <c:v>43350</c:v>
                </c:pt>
                <c:pt idx="57">
                  <c:v>39703</c:v>
                </c:pt>
                <c:pt idx="58">
                  <c:v>34817</c:v>
                </c:pt>
                <c:pt idx="59">
                  <c:v>28934</c:v>
                </c:pt>
                <c:pt idx="60">
                  <c:v>34999</c:v>
                </c:pt>
                <c:pt idx="61">
                  <c:v>36431</c:v>
                </c:pt>
                <c:pt idx="62">
                  <c:v>50380</c:v>
                </c:pt>
                <c:pt idx="63">
                  <c:v>42483</c:v>
                </c:pt>
                <c:pt idx="64">
                  <c:v>39408</c:v>
                </c:pt>
                <c:pt idx="65">
                  <c:v>49936</c:v>
                </c:pt>
                <c:pt idx="66">
                  <c:v>40804</c:v>
                </c:pt>
                <c:pt idx="67">
                  <c:v>41600</c:v>
                </c:pt>
                <c:pt idx="68">
                  <c:v>38412</c:v>
                </c:pt>
                <c:pt idx="69">
                  <c:v>69031</c:v>
                </c:pt>
                <c:pt idx="70">
                  <c:v>42758</c:v>
                </c:pt>
                <c:pt idx="71">
                  <c:v>87054</c:v>
                </c:pt>
                <c:pt idx="72">
                  <c:v>54494</c:v>
                </c:pt>
                <c:pt idx="73">
                  <c:v>58092</c:v>
                </c:pt>
                <c:pt idx="74">
                  <c:v>54055</c:v>
                </c:pt>
                <c:pt idx="75">
                  <c:v>111157</c:v>
                </c:pt>
                <c:pt idx="76">
                  <c:v>87902</c:v>
                </c:pt>
                <c:pt idx="77">
                  <c:v>43479</c:v>
                </c:pt>
                <c:pt idx="78">
                  <c:v>156988</c:v>
                </c:pt>
              </c:numCache>
            </c:numRef>
          </c:xVal>
          <c:yVal>
            <c:numRef>
              <c:f>'Корр анализ'!$AA$2:$AA$80</c:f>
              <c:numCache>
                <c:formatCode>0.000</c:formatCode>
                <c:ptCount val="79"/>
                <c:pt idx="0">
                  <c:v>141.40067968281465</c:v>
                </c:pt>
                <c:pt idx="1">
                  <c:v>82.37044817927169</c:v>
                </c:pt>
                <c:pt idx="2">
                  <c:v>138.71287884571339</c:v>
                </c:pt>
                <c:pt idx="3">
                  <c:v>164.55529163367643</c:v>
                </c:pt>
                <c:pt idx="4">
                  <c:v>74.511535489568388</c:v>
                </c:pt>
                <c:pt idx="5">
                  <c:v>117.65256458255334</c:v>
                </c:pt>
                <c:pt idx="6">
                  <c:v>84.584142680558017</c:v>
                </c:pt>
                <c:pt idx="7">
                  <c:v>217.92817419172397</c:v>
                </c:pt>
                <c:pt idx="8">
                  <c:v>167.69685568395593</c:v>
                </c:pt>
                <c:pt idx="9">
                  <c:v>184.19197114884469</c:v>
                </c:pt>
                <c:pt idx="10">
                  <c:v>84.332129963898907</c:v>
                </c:pt>
                <c:pt idx="11">
                  <c:v>93.605618185178329</c:v>
                </c:pt>
                <c:pt idx="12">
                  <c:v>109.49074074074073</c:v>
                </c:pt>
                <c:pt idx="13">
                  <c:v>96.622398828819414</c:v>
                </c:pt>
                <c:pt idx="14">
                  <c:v>117.69609068933899</c:v>
                </c:pt>
                <c:pt idx="15">
                  <c:v>159.81238528991912</c:v>
                </c:pt>
                <c:pt idx="16">
                  <c:v>114.34826540922872</c:v>
                </c:pt>
                <c:pt idx="17">
                  <c:v>197.74766176751288</c:v>
                </c:pt>
                <c:pt idx="18">
                  <c:v>178.46239245073548</c:v>
                </c:pt>
                <c:pt idx="19">
                  <c:v>206.39214507564373</c:v>
                </c:pt>
                <c:pt idx="20">
                  <c:v>125.22230358824146</c:v>
                </c:pt>
                <c:pt idx="21">
                  <c:v>150.52612805421793</c:v>
                </c:pt>
                <c:pt idx="22">
                  <c:v>189.57345971563979</c:v>
                </c:pt>
                <c:pt idx="23">
                  <c:v>336.77178504764714</c:v>
                </c:pt>
                <c:pt idx="24">
                  <c:v>406.61182205971966</c:v>
                </c:pt>
                <c:pt idx="25">
                  <c:v>132.13160658032902</c:v>
                </c:pt>
                <c:pt idx="26">
                  <c:v>81.91361211495439</c:v>
                </c:pt>
                <c:pt idx="27">
                  <c:v>123.05233719536555</c:v>
                </c:pt>
                <c:pt idx="28">
                  <c:v>142.0790782927468</c:v>
                </c:pt>
                <c:pt idx="29">
                  <c:v>147.53985942053833</c:v>
                </c:pt>
                <c:pt idx="30">
                  <c:v>92.455621301775153</c:v>
                </c:pt>
                <c:pt idx="31">
                  <c:v>118.74974530339458</c:v>
                </c:pt>
                <c:pt idx="32">
                  <c:v>155.01505117399159</c:v>
                </c:pt>
                <c:pt idx="33">
                  <c:v>108.47101045727369</c:v>
                </c:pt>
                <c:pt idx="34">
                  <c:v>75.427940364439536</c:v>
                </c:pt>
                <c:pt idx="35">
                  <c:v>61.712577407644666</c:v>
                </c:pt>
                <c:pt idx="36">
                  <c:v>64.074237737516569</c:v>
                </c:pt>
                <c:pt idx="37">
                  <c:v>105.22248695988151</c:v>
                </c:pt>
                <c:pt idx="38">
                  <c:v>115.96964762135754</c:v>
                </c:pt>
                <c:pt idx="39">
                  <c:v>152.5477942081047</c:v>
                </c:pt>
                <c:pt idx="40">
                  <c:v>77.933711555688276</c:v>
                </c:pt>
                <c:pt idx="41">
                  <c:v>96.748922835879355</c:v>
                </c:pt>
                <c:pt idx="42">
                  <c:v>294.87884086934804</c:v>
                </c:pt>
                <c:pt idx="43">
                  <c:v>115.92081416422698</c:v>
                </c:pt>
                <c:pt idx="44">
                  <c:v>105.73215662753836</c:v>
                </c:pt>
                <c:pt idx="45">
                  <c:v>192.92269466597202</c:v>
                </c:pt>
                <c:pt idx="46">
                  <c:v>93.990618638817594</c:v>
                </c:pt>
                <c:pt idx="47">
                  <c:v>224.45511877920464</c:v>
                </c:pt>
                <c:pt idx="48">
                  <c:v>160.44184393284846</c:v>
                </c:pt>
                <c:pt idx="49">
                  <c:v>98.535717174985848</c:v>
                </c:pt>
                <c:pt idx="50">
                  <c:v>165.1640130443123</c:v>
                </c:pt>
                <c:pt idx="51">
                  <c:v>120.11571356699649</c:v>
                </c:pt>
                <c:pt idx="52">
                  <c:v>103.00136425648023</c:v>
                </c:pt>
                <c:pt idx="53">
                  <c:v>170.60174769697116</c:v>
                </c:pt>
                <c:pt idx="54">
                  <c:v>862.70175799321464</c:v>
                </c:pt>
                <c:pt idx="55">
                  <c:v>882.57360463794464</c:v>
                </c:pt>
                <c:pt idx="56">
                  <c:v>203.97424786430605</c:v>
                </c:pt>
                <c:pt idx="57">
                  <c:v>131.36816066906178</c:v>
                </c:pt>
                <c:pt idx="58">
                  <c:v>231.02466793168881</c:v>
                </c:pt>
                <c:pt idx="59">
                  <c:v>75.259259259259267</c:v>
                </c:pt>
                <c:pt idx="60">
                  <c:v>113.40401363120029</c:v>
                </c:pt>
                <c:pt idx="61">
                  <c:v>85.047038245166164</c:v>
                </c:pt>
                <c:pt idx="62">
                  <c:v>325.49804996310746</c:v>
                </c:pt>
                <c:pt idx="63">
                  <c:v>390.55996567260246</c:v>
                </c:pt>
                <c:pt idx="64">
                  <c:v>162.77426698590887</c:v>
                </c:pt>
                <c:pt idx="65">
                  <c:v>136.5836171356874</c:v>
                </c:pt>
                <c:pt idx="66">
                  <c:v>114.40514823167044</c:v>
                </c:pt>
                <c:pt idx="67">
                  <c:v>142.32317423806785</c:v>
                </c:pt>
                <c:pt idx="68">
                  <c:v>170.07922625784548</c:v>
                </c:pt>
                <c:pt idx="69">
                  <c:v>738.24498352800242</c:v>
                </c:pt>
                <c:pt idx="70">
                  <c:v>274.58350264120281</c:v>
                </c:pt>
                <c:pt idx="71">
                  <c:v>443.7521633783316</c:v>
                </c:pt>
                <c:pt idx="72">
                  <c:v>221.76705048715678</c:v>
                </c:pt>
                <c:pt idx="73">
                  <c:v>327.59564979266099</c:v>
                </c:pt>
                <c:pt idx="74">
                  <c:v>1001.3331555792562</c:v>
                </c:pt>
                <c:pt idx="75">
                  <c:v>727.88605697151422</c:v>
                </c:pt>
                <c:pt idx="76">
                  <c:v>667.39510489510474</c:v>
                </c:pt>
                <c:pt idx="77">
                  <c:v>200.960219478738</c:v>
                </c:pt>
                <c:pt idx="78">
                  <c:v>1837.5000000000002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70-465F-A171-70B04E679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5870687"/>
        <c:axId val="1865872351"/>
      </c:scatterChart>
      <c:valAx>
        <c:axId val="1865870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65872351"/>
        <c:crosses val="autoZero"/>
        <c:crossBetween val="midCat"/>
      </c:valAx>
      <c:valAx>
        <c:axId val="186587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65870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</cx:chartData>
  <cx:chart>
    <cx:title pos="t" align="ctr" overlay="0">
      <cx:tx>
        <cx:txData>
          <cx:v>Численность зрителей театров, на тыс чел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Численность зрителей театров, на тыс чел</a:t>
          </a:r>
        </a:p>
      </cx:txPr>
    </cx:title>
    <cx:plotArea>
      <cx:plotAreaRegion>
        <cx:series layoutId="boxWhisker" uniqueId="{B0B07A49-AAF3-4DC2-B685-F36222DBCEED}">
          <cx:tx>
            <cx:txData>
              <cx:f>_xlchart.v1.12</cx:f>
              <cx:v>Численность зрителей театров, на тыс чел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</cx:chartData>
  <cx:chart>
    <cx:title pos="t" align="ctr" overlay="0">
      <cx:tx>
        <cx:txData>
          <cx:v>Стадионы с трибунами на 1500 мест и более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Стадионы с трибунами на 1500 мест и более</a:t>
          </a:r>
        </a:p>
      </cx:txPr>
    </cx:title>
    <cx:plotArea>
      <cx:plotAreaRegion>
        <cx:series layoutId="boxWhisker" uniqueId="{3169EFEC-8B39-4383-B1C9-EFD0143509BD}">
          <cx:tx>
            <cx:txData>
              <cx:f>_xlchart.v1.14</cx:f>
              <cx:v>Стадионы с трибунами на 1500 мест и более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_xlchart.v1.19</cx:f>
      </cx:numDim>
    </cx:data>
  </cx:chartData>
  <cx:chart>
    <cx:title pos="t" align="ctr" overlay="0">
      <cx:tx>
        <cx:txData>
          <cx:v>Численность пользователей библиотек на 1000 чел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Численность пользователей библиотек на 1000 чел</a:t>
          </a:r>
        </a:p>
      </cx:txPr>
    </cx:title>
    <cx:plotArea>
      <cx:plotAreaRegion>
        <cx:series layoutId="boxWhisker" uniqueId="{951A1B45-1914-4B49-ABE4-5A9BCFD49221}">
          <cx:tx>
            <cx:txData>
              <cx:f>_xlchart.v1.18</cx:f>
              <cx:v>Численность пользователей библиотек на 1000 чел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>
      <cx:tx>
        <cx:txData>
          <cx:v>РЕАЛЬНЫЕ ДЕНЕЖНЫЕ ДОХОДЫ НАСЕЛЕНИЯ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РЕАЛЬНЫЕ ДЕНЕЖНЫЕ ДОХОДЫ НАСЕЛЕНИЯ</a:t>
          </a:r>
        </a:p>
      </cx:txPr>
    </cx:title>
    <cx:plotArea>
      <cx:plotAreaRegion>
        <cx:series layoutId="boxWhisker" uniqueId="{DCBD7831-0443-407A-A671-7E5FBCE87751}">
          <cx:tx>
            <cx:txData>
              <cx:f>_xlchart.v1.10</cx:f>
              <cx:v>РЕАЛЬНЫЕ ДЕНЕЖНЫЕ ДОХОДЫ НАСЕЛЕНИЯ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_xlchart.v1.17</cx:f>
      </cx:numDim>
    </cx:data>
  </cx:chartData>
  <cx:chart>
    <cx:title pos="t" align="ctr" overlay="0">
      <cx:tx>
        <cx:txData>
          <cx:v>ВЫПУСК ГАЗЕТ на 1 000 человек населения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ВЫПУСК ГАЗЕТ на 1 000 человек населения</a:t>
          </a:r>
        </a:p>
      </cx:txPr>
    </cx:title>
    <cx:plotArea>
      <cx:plotAreaRegion>
        <cx:series layoutId="boxWhisker" uniqueId="{5A876BFA-F48B-4708-896C-FA33FA59F7B3}">
          <cx:tx>
            <cx:txData>
              <cx:f>_xlchart.v1.16</cx:f>
              <cx:v>ВЫПУСК ГАЗЕТ на 1 000 человек населения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Численность детей, отдохнувших в них за лето на 1000  человек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Численность детей, отдохнувших в них за лето на 1000  человек</a:t>
          </a:r>
        </a:p>
      </cx:txPr>
    </cx:title>
    <cx:plotArea>
      <cx:plotAreaRegion>
        <cx:series layoutId="boxWhisker" uniqueId="{0C55C9E4-6CA5-4AA2-A8FC-AF189E351F44}">
          <cx:tx>
            <cx:txData>
              <cx:f>_xlchart.v1.4</cx:f>
              <cx:v>Численность детей, отдохнувших в них за лето на 1000  человек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СРЕДНЕГОДОВАЯ ЧИСЛЕННОСТЬ ЗАНЯТЫХ на 100 чел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СРЕДНЕГОДОВАЯ ЧИСЛЕННОСТЬ ЗАНЯТЫХ на 100 чел</a:t>
          </a:r>
        </a:p>
      </cx:txPr>
    </cx:title>
    <cx:plotArea>
      <cx:plotAreaRegion>
        <cx:series layoutId="boxWhisker" uniqueId="{73D6EA3B-0443-455A-B572-0684FC2410B9}">
          <cx:tx>
            <cx:txData>
              <cx:f>_xlchart.v1.8</cx:f>
              <cx:v>СРЕДНЕГОДОВАЯ ЧИСЛЕННОСТЬ ЗАНЯТЫХ на 100 чел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in="30"/>
        <cx:majorGridlines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ВРП на душу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ВРП на душу</a:t>
          </a:r>
        </a:p>
      </cx:txPr>
    </cx:title>
    <cx:plotArea>
      <cx:plotAreaRegion>
        <cx:series layoutId="boxWhisker" uniqueId="{705D5A9F-D35F-454B-991D-F1140B7774A0}">
          <cx:tx>
            <cx:txData>
              <cx:f>_xlchart.v1.0</cx:f>
              <cx:v>ВРП на душу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Численность населения тыс. чел.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Численность населения тыс. чел.</a:t>
          </a:r>
        </a:p>
      </cx:txPr>
    </cx:title>
    <cx:plotArea>
      <cx:plotAreaRegion>
        <cx:series layoutId="boxWhisker" uniqueId="{F0C2AD30-5458-444E-9186-DFBAF2561387}">
          <cx:tx>
            <cx:txData>
              <cx:f>_xlchart.v1.6</cx:f>
              <cx:v>Плотность населения чел/км2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Инвестиции основной капитал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Инвестиции основной капитал</a:t>
          </a:r>
        </a:p>
      </cx:txPr>
    </cx:title>
    <cx:plotArea>
      <cx:plotAreaRegion>
        <cx:series layoutId="boxWhisker" uniqueId="{FB960865-B8F5-4ABF-8281-B715423732E1}">
          <cx:tx>
            <cx:txData>
              <cx:f>_xlchart.v1.2</cx:f>
              <cx:v>Инвестиции основной капитал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8" Type="http://schemas.microsoft.com/office/2014/relationships/chartEx" Target="../charts/chartEx7.xml"/><Relationship Id="rId3" Type="http://schemas.microsoft.com/office/2014/relationships/chartEx" Target="../charts/chartEx2.xml"/><Relationship Id="rId7" Type="http://schemas.microsoft.com/office/2014/relationships/chartEx" Target="../charts/chartEx6.xml"/><Relationship Id="rId2" Type="http://schemas.microsoft.com/office/2014/relationships/chartEx" Target="../charts/chartEx1.xml"/><Relationship Id="rId1" Type="http://schemas.openxmlformats.org/officeDocument/2006/relationships/chart" Target="../charts/chart15.xml"/><Relationship Id="rId6" Type="http://schemas.microsoft.com/office/2014/relationships/chartEx" Target="../charts/chartEx5.xml"/><Relationship Id="rId11" Type="http://schemas.microsoft.com/office/2014/relationships/chartEx" Target="../charts/chartEx10.xml"/><Relationship Id="rId5" Type="http://schemas.microsoft.com/office/2014/relationships/chartEx" Target="../charts/chartEx4.xml"/><Relationship Id="rId10" Type="http://schemas.microsoft.com/office/2014/relationships/chartEx" Target="../charts/chartEx9.xml"/><Relationship Id="rId4" Type="http://schemas.microsoft.com/office/2014/relationships/chartEx" Target="../charts/chartEx3.xml"/><Relationship Id="rId9" Type="http://schemas.microsoft.com/office/2014/relationships/chartEx" Target="../charts/chartEx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487680</xdr:colOff>
      <xdr:row>5</xdr:row>
      <xdr:rowOff>15240</xdr:rowOff>
    </xdr:from>
    <xdr:to>
      <xdr:col>14</xdr:col>
      <xdr:colOff>182880</xdr:colOff>
      <xdr:row>16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568F6EA-D482-4A34-9ADE-BA0E9785F9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251460</xdr:colOff>
      <xdr:row>18</xdr:row>
      <xdr:rowOff>175260</xdr:rowOff>
    </xdr:from>
    <xdr:to>
      <xdr:col>21</xdr:col>
      <xdr:colOff>251461</xdr:colOff>
      <xdr:row>29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EB02224-F3D7-4DBB-9879-A43FD08FF1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45720</xdr:colOff>
      <xdr:row>20</xdr:row>
      <xdr:rowOff>45720</xdr:rowOff>
    </xdr:from>
    <xdr:to>
      <xdr:col>27</xdr:col>
      <xdr:colOff>45721</xdr:colOff>
      <xdr:row>30</xdr:row>
      <xdr:rowOff>45720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972B3E7-68C6-4623-9D6E-F68C0315DF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487681</xdr:colOff>
      <xdr:row>34</xdr:row>
      <xdr:rowOff>22860</xdr:rowOff>
    </xdr:from>
    <xdr:to>
      <xdr:col>21</xdr:col>
      <xdr:colOff>487681</xdr:colOff>
      <xdr:row>44</xdr:row>
      <xdr:rowOff>22860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48CDBD1-6B54-42AC-BF56-B27A8FB5FB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342901</xdr:colOff>
      <xdr:row>24</xdr:row>
      <xdr:rowOff>45720</xdr:rowOff>
    </xdr:from>
    <xdr:to>
      <xdr:col>32</xdr:col>
      <xdr:colOff>342901</xdr:colOff>
      <xdr:row>34</xdr:row>
      <xdr:rowOff>60960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D5C401F1-18C3-4A11-955D-7A0494EE65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129541</xdr:colOff>
      <xdr:row>35</xdr:row>
      <xdr:rowOff>45720</xdr:rowOff>
    </xdr:from>
    <xdr:to>
      <xdr:col>28</xdr:col>
      <xdr:colOff>129541</xdr:colOff>
      <xdr:row>45</xdr:row>
      <xdr:rowOff>53340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23D4E956-EB68-4019-AC9C-5102FBEF05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3</xdr:row>
      <xdr:rowOff>190500</xdr:rowOff>
    </xdr:from>
    <xdr:to>
      <xdr:col>16</xdr:col>
      <xdr:colOff>175260</xdr:colOff>
      <xdr:row>15</xdr:row>
      <xdr:rowOff>7620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AD0E3CE-DC33-4296-AA20-D16A581535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693420</xdr:colOff>
      <xdr:row>23</xdr:row>
      <xdr:rowOff>45720</xdr:rowOff>
    </xdr:from>
    <xdr:to>
      <xdr:col>13</xdr:col>
      <xdr:colOff>0</xdr:colOff>
      <xdr:row>32</xdr:row>
      <xdr:rowOff>129540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A67A610-2368-480B-85C2-20BDCC2CEA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68580</xdr:colOff>
      <xdr:row>9</xdr:row>
      <xdr:rowOff>175260</xdr:rowOff>
    </xdr:from>
    <xdr:to>
      <xdr:col>4</xdr:col>
      <xdr:colOff>327660</xdr:colOff>
      <xdr:row>20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38E6299-68CF-4434-81E5-AC5D734439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</xdr:colOff>
      <xdr:row>23</xdr:row>
      <xdr:rowOff>60960</xdr:rowOff>
    </xdr:from>
    <xdr:to>
      <xdr:col>5</xdr:col>
      <xdr:colOff>0</xdr:colOff>
      <xdr:row>37</xdr:row>
      <xdr:rowOff>38100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F6EFBB8-1FFF-4778-ACF9-E6D4374185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807720</xdr:colOff>
      <xdr:row>10</xdr:row>
      <xdr:rowOff>15240</xdr:rowOff>
    </xdr:from>
    <xdr:to>
      <xdr:col>6</xdr:col>
      <xdr:colOff>907773</xdr:colOff>
      <xdr:row>22</xdr:row>
      <xdr:rowOff>160020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317DE209-5A1F-49D0-A73A-B976FE4642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23</xdr:row>
      <xdr:rowOff>76200</xdr:rowOff>
    </xdr:from>
    <xdr:to>
      <xdr:col>7</xdr:col>
      <xdr:colOff>426720</xdr:colOff>
      <xdr:row>36</xdr:row>
      <xdr:rowOff>137160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E0B70426-B93F-4D1C-AE25-A050A35D9F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129540</xdr:colOff>
      <xdr:row>13</xdr:row>
      <xdr:rowOff>106680</xdr:rowOff>
    </xdr:from>
    <xdr:to>
      <xdr:col>13</xdr:col>
      <xdr:colOff>297180</xdr:colOff>
      <xdr:row>22</xdr:row>
      <xdr:rowOff>129540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F47130ED-4B4D-4FF3-9895-F26B9529D3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464820</xdr:colOff>
      <xdr:row>32</xdr:row>
      <xdr:rowOff>15240</xdr:rowOff>
    </xdr:from>
    <xdr:to>
      <xdr:col>14</xdr:col>
      <xdr:colOff>304800</xdr:colOff>
      <xdr:row>40</xdr:row>
      <xdr:rowOff>175260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DB4872B0-F240-4045-A1BF-E7823D0A1C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381000</xdr:colOff>
      <xdr:row>57</xdr:row>
      <xdr:rowOff>21771</xdr:rowOff>
    </xdr:from>
    <xdr:to>
      <xdr:col>15</xdr:col>
      <xdr:colOff>272142</xdr:colOff>
      <xdr:row>69</xdr:row>
      <xdr:rowOff>76200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1F0D3904-27E7-4916-9D26-58EC995FC4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391886</xdr:colOff>
      <xdr:row>57</xdr:row>
      <xdr:rowOff>48985</xdr:rowOff>
    </xdr:from>
    <xdr:to>
      <xdr:col>15</xdr:col>
      <xdr:colOff>283028</xdr:colOff>
      <xdr:row>69</xdr:row>
      <xdr:rowOff>103414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Диаграмма 5">
              <a:extLst>
                <a:ext uri="{FF2B5EF4-FFF2-40B4-BE49-F238E27FC236}">
                  <a16:creationId xmlns:a16="http://schemas.microsoft.com/office/drawing/2014/main" id="{5D91E812-4B54-452F-9F83-12806B3F15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31386" y="18855145"/>
              <a:ext cx="4554582" cy="43978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14</xdr:col>
      <xdr:colOff>1436914</xdr:colOff>
      <xdr:row>57</xdr:row>
      <xdr:rowOff>48985</xdr:rowOff>
    </xdr:from>
    <xdr:to>
      <xdr:col>19</xdr:col>
      <xdr:colOff>174171</xdr:colOff>
      <xdr:row>69</xdr:row>
      <xdr:rowOff>103414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Диаграмма 6">
              <a:extLst>
                <a:ext uri="{FF2B5EF4-FFF2-40B4-BE49-F238E27FC236}">
                  <a16:creationId xmlns:a16="http://schemas.microsoft.com/office/drawing/2014/main" id="{4896B094-43E5-4546-AF07-2A99E6D157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785374" y="18855145"/>
              <a:ext cx="5709557" cy="43978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19</xdr:col>
      <xdr:colOff>0</xdr:colOff>
      <xdr:row>57</xdr:row>
      <xdr:rowOff>59871</xdr:rowOff>
    </xdr:from>
    <xdr:to>
      <xdr:col>22</xdr:col>
      <xdr:colOff>968829</xdr:colOff>
      <xdr:row>69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Диаграмма 7">
              <a:extLst>
                <a:ext uri="{FF2B5EF4-FFF2-40B4-BE49-F238E27FC236}">
                  <a16:creationId xmlns:a16="http://schemas.microsoft.com/office/drawing/2014/main" id="{4B1EDCEE-F2EE-4DCF-BD57-F545911FE7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320760" y="18866031"/>
              <a:ext cx="4755969" cy="43978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15</xdr:col>
      <xdr:colOff>10887</xdr:colOff>
      <xdr:row>69</xdr:row>
      <xdr:rowOff>103414</xdr:rowOff>
    </xdr:from>
    <xdr:to>
      <xdr:col>18</xdr:col>
      <xdr:colOff>1382487</xdr:colOff>
      <xdr:row>82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Диаграмма 8">
              <a:extLst>
                <a:ext uri="{FF2B5EF4-FFF2-40B4-BE49-F238E27FC236}">
                  <a16:creationId xmlns:a16="http://schemas.microsoft.com/office/drawing/2014/main" id="{9CA34511-0690-43D6-884B-DE10B8C7CC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913827" y="23252974"/>
              <a:ext cx="5105400" cy="40647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22</xdr:col>
      <xdr:colOff>816428</xdr:colOff>
      <xdr:row>56</xdr:row>
      <xdr:rowOff>157844</xdr:rowOff>
    </xdr:from>
    <xdr:to>
      <xdr:col>26</xdr:col>
      <xdr:colOff>598714</xdr:colOff>
      <xdr:row>69</xdr:row>
      <xdr:rowOff>27215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Диаграмма 9">
              <a:extLst>
                <a:ext uri="{FF2B5EF4-FFF2-40B4-BE49-F238E27FC236}">
                  <a16:creationId xmlns:a16="http://schemas.microsoft.com/office/drawing/2014/main" id="{2F19C8CB-75D5-4DEE-8EFE-AE7476543E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924328" y="18674444"/>
              <a:ext cx="4575266" cy="45023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26</xdr:col>
      <xdr:colOff>653142</xdr:colOff>
      <xdr:row>56</xdr:row>
      <xdr:rowOff>157842</xdr:rowOff>
    </xdr:from>
    <xdr:to>
      <xdr:col>30</xdr:col>
      <xdr:colOff>740228</xdr:colOff>
      <xdr:row>69</xdr:row>
      <xdr:rowOff>27213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Диаграмма 10">
              <a:extLst>
                <a:ext uri="{FF2B5EF4-FFF2-40B4-BE49-F238E27FC236}">
                  <a16:creationId xmlns:a16="http://schemas.microsoft.com/office/drawing/2014/main" id="{1B0B0E0C-AE93-474B-AA00-AA030B127B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554022" y="18674442"/>
              <a:ext cx="4552406" cy="45023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11</xdr:col>
      <xdr:colOff>163286</xdr:colOff>
      <xdr:row>69</xdr:row>
      <xdr:rowOff>146957</xdr:rowOff>
    </xdr:from>
    <xdr:to>
      <xdr:col>15</xdr:col>
      <xdr:colOff>54428</xdr:colOff>
      <xdr:row>82</xdr:row>
      <xdr:rowOff>157843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Диаграмма 11">
              <a:extLst>
                <a:ext uri="{FF2B5EF4-FFF2-40B4-BE49-F238E27FC236}">
                  <a16:creationId xmlns:a16="http://schemas.microsoft.com/office/drawing/2014/main" id="{F7D1E05A-4533-4103-8526-C183FFD2D0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02786" y="23296517"/>
              <a:ext cx="4554582" cy="40647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19</xdr:col>
      <xdr:colOff>97972</xdr:colOff>
      <xdr:row>69</xdr:row>
      <xdr:rowOff>114299</xdr:rowOff>
    </xdr:from>
    <xdr:to>
      <xdr:col>22</xdr:col>
      <xdr:colOff>881743</xdr:colOff>
      <xdr:row>82</xdr:row>
      <xdr:rowOff>125185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Диаграмма 12">
              <a:extLst>
                <a:ext uri="{FF2B5EF4-FFF2-40B4-BE49-F238E27FC236}">
                  <a16:creationId xmlns:a16="http://schemas.microsoft.com/office/drawing/2014/main" id="{32B3D28F-53D2-445F-AEBF-34B5E09DE2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418732" y="23263859"/>
              <a:ext cx="4570911" cy="40647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22</xdr:col>
      <xdr:colOff>761999</xdr:colOff>
      <xdr:row>69</xdr:row>
      <xdr:rowOff>81643</xdr:rowOff>
    </xdr:from>
    <xdr:to>
      <xdr:col>26</xdr:col>
      <xdr:colOff>544285</xdr:colOff>
      <xdr:row>82</xdr:row>
      <xdr:rowOff>92529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Диаграмма 13">
              <a:extLst>
                <a:ext uri="{FF2B5EF4-FFF2-40B4-BE49-F238E27FC236}">
                  <a16:creationId xmlns:a16="http://schemas.microsoft.com/office/drawing/2014/main" id="{A711F08C-0505-4276-8232-A65FA64C4A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869899" y="23231203"/>
              <a:ext cx="4575266" cy="40647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26</xdr:col>
      <xdr:colOff>435429</xdr:colOff>
      <xdr:row>70</xdr:row>
      <xdr:rowOff>5443</xdr:rowOff>
    </xdr:from>
    <xdr:to>
      <xdr:col>30</xdr:col>
      <xdr:colOff>522515</xdr:colOff>
      <xdr:row>83</xdr:row>
      <xdr:rowOff>16329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Диаграмма 14">
              <a:extLst>
                <a:ext uri="{FF2B5EF4-FFF2-40B4-BE49-F238E27FC236}">
                  <a16:creationId xmlns:a16="http://schemas.microsoft.com/office/drawing/2014/main" id="{0F55E0FB-05BF-482E-B395-999466E5D5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336309" y="23444563"/>
              <a:ext cx="4552406" cy="42095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22860</xdr:colOff>
      <xdr:row>0</xdr:row>
      <xdr:rowOff>54429</xdr:rowOff>
    </xdr:from>
    <xdr:to>
      <xdr:col>38</xdr:col>
      <xdr:colOff>468086</xdr:colOff>
      <xdr:row>14</xdr:row>
      <xdr:rowOff>348343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91925E52-BFCC-48FE-98C7-699A9DD3EB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598715</xdr:colOff>
      <xdr:row>2</xdr:row>
      <xdr:rowOff>108857</xdr:rowOff>
    </xdr:from>
    <xdr:to>
      <xdr:col>38</xdr:col>
      <xdr:colOff>108858</xdr:colOff>
      <xdr:row>3</xdr:row>
      <xdr:rowOff>239485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010D097-A8EE-4E47-964D-25DAE8401E86}"/>
            </a:ext>
          </a:extLst>
        </xdr:cNvPr>
        <xdr:cNvSpPr txBox="1"/>
      </xdr:nvSpPr>
      <xdr:spPr>
        <a:xfrm>
          <a:off x="21934715" y="729343"/>
          <a:ext cx="1338943" cy="4789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Чукотский автономный округ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437E7-582B-4A38-9897-C73E373E43F4}">
  <dimension ref="A1:O112"/>
  <sheetViews>
    <sheetView workbookViewId="0">
      <selection activeCell="D3" sqref="D3:G3"/>
    </sheetView>
  </sheetViews>
  <sheetFormatPr defaultRowHeight="14.4" x14ac:dyDescent="0.3"/>
  <cols>
    <col min="3" max="3" width="10.109375" bestFit="1" customWidth="1"/>
    <col min="7" max="7" width="8.88671875" style="102"/>
  </cols>
  <sheetData>
    <row r="1" spans="1:15" ht="15" thickBot="1" x14ac:dyDescent="0.35">
      <c r="A1" s="238" t="s">
        <v>0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</row>
    <row r="2" spans="1:15" ht="15" customHeight="1" thickBot="1" x14ac:dyDescent="0.35">
      <c r="A2" s="64"/>
      <c r="B2" s="156" t="s">
        <v>1</v>
      </c>
      <c r="C2" s="157"/>
      <c r="D2" s="157"/>
      <c r="E2" s="157"/>
      <c r="F2" s="157"/>
      <c r="G2" s="157"/>
      <c r="H2" s="158"/>
      <c r="I2" s="231" t="s">
        <v>2</v>
      </c>
      <c r="J2" s="232"/>
      <c r="K2" s="232"/>
      <c r="L2" s="232"/>
      <c r="M2" s="232"/>
      <c r="N2" s="232"/>
      <c r="O2" s="233"/>
    </row>
    <row r="3" spans="1:15" x14ac:dyDescent="0.3">
      <c r="A3" s="65"/>
      <c r="B3" s="86">
        <v>2010</v>
      </c>
      <c r="C3" s="86">
        <v>2015</v>
      </c>
      <c r="D3" s="86">
        <v>2020</v>
      </c>
      <c r="E3" s="86">
        <v>2021</v>
      </c>
      <c r="F3" s="86">
        <v>2022</v>
      </c>
      <c r="G3" s="159">
        <v>2023</v>
      </c>
      <c r="H3" s="3" t="s">
        <v>3</v>
      </c>
      <c r="I3" s="86">
        <v>2010</v>
      </c>
      <c r="J3" s="86">
        <v>2015</v>
      </c>
      <c r="K3" s="86">
        <v>2020</v>
      </c>
      <c r="L3" s="86">
        <v>2021</v>
      </c>
      <c r="M3" s="86">
        <v>2022</v>
      </c>
      <c r="N3" s="86">
        <v>2023</v>
      </c>
      <c r="O3" s="2" t="s">
        <v>3</v>
      </c>
    </row>
    <row r="4" spans="1:15" ht="19.2" x14ac:dyDescent="0.3">
      <c r="A4" s="5" t="s">
        <v>4</v>
      </c>
      <c r="B4" s="6">
        <v>217</v>
      </c>
      <c r="C4" s="6">
        <v>260</v>
      </c>
      <c r="D4" s="6">
        <v>109</v>
      </c>
      <c r="E4" s="6">
        <v>173</v>
      </c>
      <c r="F4" s="6">
        <v>245</v>
      </c>
      <c r="G4" s="96">
        <v>284</v>
      </c>
      <c r="H4" s="6"/>
      <c r="I4" s="6">
        <v>567</v>
      </c>
      <c r="J4" s="6">
        <v>533</v>
      </c>
      <c r="K4" s="6">
        <v>400</v>
      </c>
      <c r="L4" s="6">
        <v>648</v>
      </c>
      <c r="M4" s="6">
        <v>827</v>
      </c>
      <c r="N4" s="6">
        <v>904</v>
      </c>
      <c r="O4" s="7"/>
    </row>
    <row r="5" spans="1:15" ht="19.2" x14ac:dyDescent="0.3">
      <c r="A5" s="8" t="s">
        <v>5</v>
      </c>
      <c r="B5" s="230">
        <v>262</v>
      </c>
      <c r="C5" s="230">
        <v>315</v>
      </c>
      <c r="D5" s="230">
        <v>131</v>
      </c>
      <c r="E5" s="230">
        <v>169</v>
      </c>
      <c r="F5" s="230">
        <v>255</v>
      </c>
      <c r="G5" s="229">
        <v>303</v>
      </c>
      <c r="H5" s="230">
        <v>2</v>
      </c>
      <c r="I5" s="230">
        <v>647</v>
      </c>
      <c r="J5" s="230">
        <v>831</v>
      </c>
      <c r="K5" s="230">
        <v>505</v>
      </c>
      <c r="L5" s="230">
        <v>683</v>
      </c>
      <c r="M5" s="230">
        <v>932</v>
      </c>
      <c r="N5" s="228">
        <v>1023</v>
      </c>
      <c r="O5" s="234">
        <v>2</v>
      </c>
    </row>
    <row r="6" spans="1:15" ht="19.2" x14ac:dyDescent="0.3">
      <c r="A6" s="8" t="s">
        <v>6</v>
      </c>
      <c r="B6" s="230"/>
      <c r="C6" s="230"/>
      <c r="D6" s="230"/>
      <c r="E6" s="230"/>
      <c r="F6" s="230"/>
      <c r="G6" s="229"/>
      <c r="H6" s="230"/>
      <c r="I6" s="230"/>
      <c r="J6" s="230"/>
      <c r="K6" s="230"/>
      <c r="L6" s="230"/>
      <c r="M6" s="230"/>
      <c r="N6" s="228"/>
      <c r="O6" s="234"/>
    </row>
    <row r="7" spans="1:15" ht="19.2" x14ac:dyDescent="0.3">
      <c r="A7" s="10" t="s">
        <v>7</v>
      </c>
      <c r="B7" s="11">
        <v>118</v>
      </c>
      <c r="C7" s="11">
        <v>134</v>
      </c>
      <c r="D7" s="11">
        <v>72</v>
      </c>
      <c r="E7" s="11">
        <v>111</v>
      </c>
      <c r="F7" s="11">
        <v>141</v>
      </c>
      <c r="G7" s="97">
        <v>152</v>
      </c>
      <c r="H7" s="11">
        <v>72</v>
      </c>
      <c r="I7" s="11">
        <v>436</v>
      </c>
      <c r="J7" s="11">
        <v>220</v>
      </c>
      <c r="K7" s="11">
        <v>361</v>
      </c>
      <c r="L7" s="11">
        <v>689</v>
      </c>
      <c r="M7" s="11">
        <v>782</v>
      </c>
      <c r="N7" s="11">
        <v>732</v>
      </c>
      <c r="O7" s="12">
        <v>29</v>
      </c>
    </row>
    <row r="8" spans="1:15" ht="19.2" x14ac:dyDescent="0.3">
      <c r="A8" s="10" t="s">
        <v>8</v>
      </c>
      <c r="B8" s="11">
        <v>139</v>
      </c>
      <c r="C8" s="11">
        <v>182</v>
      </c>
      <c r="D8" s="11">
        <v>81</v>
      </c>
      <c r="E8" s="11">
        <v>94</v>
      </c>
      <c r="F8" s="11">
        <v>148</v>
      </c>
      <c r="G8" s="97">
        <v>173</v>
      </c>
      <c r="H8" s="11">
        <v>66</v>
      </c>
      <c r="I8" s="11">
        <v>786</v>
      </c>
      <c r="J8" s="11">
        <v>450</v>
      </c>
      <c r="K8" s="11">
        <v>437</v>
      </c>
      <c r="L8" s="11">
        <v>449</v>
      </c>
      <c r="M8" s="11">
        <v>845</v>
      </c>
      <c r="N8" s="11">
        <v>677</v>
      </c>
      <c r="O8" s="12">
        <v>33</v>
      </c>
    </row>
    <row r="9" spans="1:15" ht="19.2" x14ac:dyDescent="0.3">
      <c r="A9" s="10" t="s">
        <v>9</v>
      </c>
      <c r="B9" s="11">
        <v>115</v>
      </c>
      <c r="C9" s="11">
        <v>135</v>
      </c>
      <c r="D9" s="11">
        <v>63</v>
      </c>
      <c r="E9" s="11">
        <v>66</v>
      </c>
      <c r="F9" s="11">
        <v>66</v>
      </c>
      <c r="G9" s="97">
        <v>78</v>
      </c>
      <c r="H9" s="11">
        <v>82</v>
      </c>
      <c r="I9" s="11" t="s">
        <v>10</v>
      </c>
      <c r="J9" s="13">
        <v>1103</v>
      </c>
      <c r="K9" s="11">
        <v>585</v>
      </c>
      <c r="L9" s="13">
        <v>1133</v>
      </c>
      <c r="M9" s="11" t="s">
        <v>11</v>
      </c>
      <c r="N9" s="13">
        <v>1292</v>
      </c>
      <c r="O9" s="12">
        <v>12</v>
      </c>
    </row>
    <row r="10" spans="1:15" ht="19.2" x14ac:dyDescent="0.3">
      <c r="A10" s="10" t="s">
        <v>12</v>
      </c>
      <c r="B10" s="11">
        <v>159</v>
      </c>
      <c r="C10" s="11">
        <v>177</v>
      </c>
      <c r="D10" s="11">
        <v>65</v>
      </c>
      <c r="E10" s="11">
        <v>87</v>
      </c>
      <c r="F10" s="11">
        <v>158</v>
      </c>
      <c r="G10" s="97">
        <v>228</v>
      </c>
      <c r="H10" s="11">
        <v>49</v>
      </c>
      <c r="I10" s="11">
        <v>220</v>
      </c>
      <c r="J10" s="11">
        <v>133</v>
      </c>
      <c r="K10" s="11">
        <v>175</v>
      </c>
      <c r="L10" s="11">
        <v>320</v>
      </c>
      <c r="M10" s="11">
        <v>386</v>
      </c>
      <c r="N10" s="11">
        <v>401</v>
      </c>
      <c r="O10" s="12">
        <v>58</v>
      </c>
    </row>
    <row r="11" spans="1:15" ht="19.2" x14ac:dyDescent="0.3">
      <c r="A11" s="10" t="s">
        <v>13</v>
      </c>
      <c r="B11" s="11">
        <v>233</v>
      </c>
      <c r="C11" s="11">
        <v>248</v>
      </c>
      <c r="D11" s="11">
        <v>86</v>
      </c>
      <c r="E11" s="11">
        <v>187</v>
      </c>
      <c r="F11" s="11">
        <v>324</v>
      </c>
      <c r="G11" s="97">
        <v>350</v>
      </c>
      <c r="H11" s="11">
        <v>10</v>
      </c>
      <c r="I11" s="11">
        <v>409</v>
      </c>
      <c r="J11" s="11">
        <v>205</v>
      </c>
      <c r="K11" s="11">
        <v>186</v>
      </c>
      <c r="L11" s="11">
        <v>411</v>
      </c>
      <c r="M11" s="11">
        <v>514</v>
      </c>
      <c r="N11" s="11">
        <v>619</v>
      </c>
      <c r="O11" s="12">
        <v>34</v>
      </c>
    </row>
    <row r="12" spans="1:15" ht="19.2" x14ac:dyDescent="0.3">
      <c r="A12" s="10" t="s">
        <v>14</v>
      </c>
      <c r="B12" s="11">
        <v>185</v>
      </c>
      <c r="C12" s="11">
        <v>203</v>
      </c>
      <c r="D12" s="11">
        <v>91</v>
      </c>
      <c r="E12" s="11">
        <v>173</v>
      </c>
      <c r="F12" s="11">
        <v>184</v>
      </c>
      <c r="G12" s="97">
        <v>205</v>
      </c>
      <c r="H12" s="11">
        <v>58</v>
      </c>
      <c r="I12" s="11">
        <v>464</v>
      </c>
      <c r="J12" s="11">
        <v>401</v>
      </c>
      <c r="K12" s="11">
        <v>391</v>
      </c>
      <c r="L12" s="11">
        <v>889</v>
      </c>
      <c r="M12" s="11" t="s">
        <v>15</v>
      </c>
      <c r="N12" s="13">
        <v>1108</v>
      </c>
      <c r="O12" s="12">
        <v>19</v>
      </c>
    </row>
    <row r="13" spans="1:15" ht="19.2" x14ac:dyDescent="0.3">
      <c r="A13" s="10" t="s">
        <v>16</v>
      </c>
      <c r="B13" s="11">
        <v>245</v>
      </c>
      <c r="C13" s="11">
        <v>335</v>
      </c>
      <c r="D13" s="11">
        <v>147</v>
      </c>
      <c r="E13" s="11">
        <v>161</v>
      </c>
      <c r="F13" s="11">
        <v>264</v>
      </c>
      <c r="G13" s="97">
        <v>257</v>
      </c>
      <c r="H13" s="11">
        <v>37</v>
      </c>
      <c r="I13" s="11" t="s">
        <v>571</v>
      </c>
      <c r="J13" s="11">
        <v>489</v>
      </c>
      <c r="K13" s="11">
        <v>598</v>
      </c>
      <c r="L13" s="11">
        <v>753</v>
      </c>
      <c r="M13" s="11" t="s">
        <v>17</v>
      </c>
      <c r="N13" s="13">
        <v>1124</v>
      </c>
      <c r="O13" s="12">
        <v>18</v>
      </c>
    </row>
    <row r="14" spans="1:15" ht="19.2" x14ac:dyDescent="0.3">
      <c r="A14" s="10" t="s">
        <v>18</v>
      </c>
      <c r="B14" s="11">
        <v>164</v>
      </c>
      <c r="C14" s="11">
        <v>187</v>
      </c>
      <c r="D14" s="11">
        <v>84</v>
      </c>
      <c r="E14" s="11">
        <v>75</v>
      </c>
      <c r="F14" s="11">
        <v>157</v>
      </c>
      <c r="G14" s="97">
        <v>234</v>
      </c>
      <c r="H14" s="11">
        <v>47</v>
      </c>
      <c r="I14" s="11">
        <v>309</v>
      </c>
      <c r="J14" s="11">
        <v>157</v>
      </c>
      <c r="K14" s="11">
        <v>243</v>
      </c>
      <c r="L14" s="11">
        <v>378</v>
      </c>
      <c r="M14" s="11">
        <v>496</v>
      </c>
      <c r="N14" s="11">
        <v>559</v>
      </c>
      <c r="O14" s="12">
        <v>39</v>
      </c>
    </row>
    <row r="15" spans="1:15" ht="19.2" x14ac:dyDescent="0.3">
      <c r="A15" s="10" t="s">
        <v>19</v>
      </c>
      <c r="B15" s="11">
        <v>138</v>
      </c>
      <c r="C15" s="11">
        <v>169</v>
      </c>
      <c r="D15" s="11">
        <v>60</v>
      </c>
      <c r="E15" s="11">
        <v>81</v>
      </c>
      <c r="F15" s="11">
        <v>160</v>
      </c>
      <c r="G15" s="97">
        <v>200</v>
      </c>
      <c r="H15" s="11">
        <v>61</v>
      </c>
      <c r="I15" s="11">
        <v>186</v>
      </c>
      <c r="J15" s="11">
        <v>174</v>
      </c>
      <c r="K15" s="11">
        <v>140</v>
      </c>
      <c r="L15" s="11">
        <v>156</v>
      </c>
      <c r="M15" s="11">
        <v>171</v>
      </c>
      <c r="N15" s="11">
        <v>198</v>
      </c>
      <c r="O15" s="12">
        <v>78</v>
      </c>
    </row>
    <row r="16" spans="1:15" ht="19.2" x14ac:dyDescent="0.3">
      <c r="A16" s="10" t="s">
        <v>20</v>
      </c>
      <c r="B16" s="11">
        <v>91</v>
      </c>
      <c r="C16" s="11">
        <v>140</v>
      </c>
      <c r="D16" s="11">
        <v>61</v>
      </c>
      <c r="E16" s="11">
        <v>81</v>
      </c>
      <c r="F16" s="11">
        <v>102</v>
      </c>
      <c r="G16" s="97">
        <v>104</v>
      </c>
      <c r="H16" s="11">
        <v>79</v>
      </c>
      <c r="I16" s="11">
        <v>378</v>
      </c>
      <c r="J16" s="11">
        <v>314</v>
      </c>
      <c r="K16" s="11">
        <v>368</v>
      </c>
      <c r="L16" s="11">
        <v>527</v>
      </c>
      <c r="M16" s="11">
        <v>646</v>
      </c>
      <c r="N16" s="11">
        <v>851</v>
      </c>
      <c r="O16" s="12">
        <v>23</v>
      </c>
    </row>
    <row r="17" spans="1:15" ht="19.2" x14ac:dyDescent="0.3">
      <c r="A17" s="10" t="s">
        <v>21</v>
      </c>
      <c r="B17" s="11">
        <v>238</v>
      </c>
      <c r="C17" s="11">
        <v>212</v>
      </c>
      <c r="D17" s="11">
        <v>92</v>
      </c>
      <c r="E17" s="11">
        <v>125</v>
      </c>
      <c r="F17" s="11">
        <v>256</v>
      </c>
      <c r="G17" s="97">
        <v>327</v>
      </c>
      <c r="H17" s="11">
        <v>16</v>
      </c>
      <c r="I17" s="11">
        <v>314</v>
      </c>
      <c r="J17" s="11">
        <v>265</v>
      </c>
      <c r="K17" s="11">
        <v>194</v>
      </c>
      <c r="L17" s="11">
        <v>312</v>
      </c>
      <c r="M17" s="11">
        <v>366</v>
      </c>
      <c r="N17" s="11">
        <v>405</v>
      </c>
      <c r="O17" s="12">
        <v>57</v>
      </c>
    </row>
    <row r="18" spans="1:15" ht="19.2" x14ac:dyDescent="0.3">
      <c r="A18" s="10" t="s">
        <v>22</v>
      </c>
      <c r="B18" s="11">
        <v>198</v>
      </c>
      <c r="C18" s="11">
        <v>232</v>
      </c>
      <c r="D18" s="11">
        <v>120</v>
      </c>
      <c r="E18" s="11">
        <v>128</v>
      </c>
      <c r="F18" s="11">
        <v>197</v>
      </c>
      <c r="G18" s="97">
        <v>264</v>
      </c>
      <c r="H18" s="11">
        <v>33</v>
      </c>
      <c r="I18" s="11">
        <v>494</v>
      </c>
      <c r="J18" s="11">
        <v>496</v>
      </c>
      <c r="K18" s="11">
        <v>462</v>
      </c>
      <c r="L18" s="11">
        <v>783</v>
      </c>
      <c r="M18" s="11">
        <v>905</v>
      </c>
      <c r="N18" s="13">
        <v>1142</v>
      </c>
      <c r="O18" s="12">
        <v>17</v>
      </c>
    </row>
    <row r="19" spans="1:15" ht="19.2" x14ac:dyDescent="0.3">
      <c r="A19" s="10" t="s">
        <v>23</v>
      </c>
      <c r="B19" s="11">
        <v>113</v>
      </c>
      <c r="C19" s="11">
        <v>115</v>
      </c>
      <c r="D19" s="11">
        <v>56</v>
      </c>
      <c r="E19" s="11">
        <v>72</v>
      </c>
      <c r="F19" s="11">
        <v>125</v>
      </c>
      <c r="G19" s="97">
        <v>169</v>
      </c>
      <c r="H19" s="11">
        <v>69</v>
      </c>
      <c r="I19" s="11">
        <v>441</v>
      </c>
      <c r="J19" s="11">
        <v>376</v>
      </c>
      <c r="K19" s="11">
        <v>276</v>
      </c>
      <c r="L19" s="11">
        <v>598</v>
      </c>
      <c r="M19" s="11">
        <v>850</v>
      </c>
      <c r="N19" s="11">
        <v>813</v>
      </c>
      <c r="O19" s="12">
        <v>25</v>
      </c>
    </row>
    <row r="20" spans="1:15" ht="19.2" x14ac:dyDescent="0.3">
      <c r="A20" s="10" t="s">
        <v>24</v>
      </c>
      <c r="B20" s="11">
        <v>138</v>
      </c>
      <c r="C20" s="11">
        <v>191</v>
      </c>
      <c r="D20" s="11">
        <v>94</v>
      </c>
      <c r="E20" s="11">
        <v>143</v>
      </c>
      <c r="F20" s="11">
        <v>209</v>
      </c>
      <c r="G20" s="97">
        <v>255</v>
      </c>
      <c r="H20" s="11">
        <v>39</v>
      </c>
      <c r="I20" s="11">
        <v>290</v>
      </c>
      <c r="J20" s="11">
        <v>162</v>
      </c>
      <c r="K20" s="11">
        <v>311</v>
      </c>
      <c r="L20" s="11">
        <v>430</v>
      </c>
      <c r="M20" s="11">
        <v>445</v>
      </c>
      <c r="N20" s="11">
        <v>619</v>
      </c>
      <c r="O20" s="12">
        <v>34</v>
      </c>
    </row>
    <row r="21" spans="1:15" ht="19.2" x14ac:dyDescent="0.3">
      <c r="A21" s="10" t="s">
        <v>25</v>
      </c>
      <c r="B21" s="11">
        <v>181</v>
      </c>
      <c r="C21" s="11">
        <v>227</v>
      </c>
      <c r="D21" s="11">
        <v>95</v>
      </c>
      <c r="E21" s="11">
        <v>171</v>
      </c>
      <c r="F21" s="11">
        <v>281</v>
      </c>
      <c r="G21" s="97">
        <v>350</v>
      </c>
      <c r="H21" s="11">
        <v>10</v>
      </c>
      <c r="I21" s="11">
        <v>334</v>
      </c>
      <c r="J21" s="11">
        <v>236</v>
      </c>
      <c r="K21" s="11">
        <v>402</v>
      </c>
      <c r="L21" s="11">
        <v>601</v>
      </c>
      <c r="M21" s="11">
        <v>672</v>
      </c>
      <c r="N21" s="11">
        <v>746</v>
      </c>
      <c r="O21" s="12">
        <v>27</v>
      </c>
    </row>
    <row r="22" spans="1:15" ht="19.2" x14ac:dyDescent="0.3">
      <c r="A22" s="10" t="s">
        <v>26</v>
      </c>
      <c r="B22" s="11">
        <v>209</v>
      </c>
      <c r="C22" s="11">
        <v>238</v>
      </c>
      <c r="D22" s="11">
        <v>82</v>
      </c>
      <c r="E22" s="11">
        <v>125</v>
      </c>
      <c r="F22" s="11">
        <v>187</v>
      </c>
      <c r="G22" s="97">
        <v>237</v>
      </c>
      <c r="H22" s="11">
        <v>45</v>
      </c>
      <c r="I22" s="11">
        <v>608</v>
      </c>
      <c r="J22" s="11">
        <v>613</v>
      </c>
      <c r="K22" s="11">
        <v>720</v>
      </c>
      <c r="L22" s="13">
        <v>1003</v>
      </c>
      <c r="M22" s="11" t="s">
        <v>27</v>
      </c>
      <c r="N22" s="13">
        <v>1506</v>
      </c>
      <c r="O22" s="12">
        <v>9</v>
      </c>
    </row>
    <row r="23" spans="1:15" ht="19.2" x14ac:dyDescent="0.3">
      <c r="A23" s="10" t="s">
        <v>28</v>
      </c>
      <c r="B23" s="11">
        <v>226</v>
      </c>
      <c r="C23" s="11">
        <v>269</v>
      </c>
      <c r="D23" s="11">
        <v>150</v>
      </c>
      <c r="E23" s="11">
        <v>202</v>
      </c>
      <c r="F23" s="11">
        <v>261</v>
      </c>
      <c r="G23" s="97">
        <v>287</v>
      </c>
      <c r="H23" s="11">
        <v>24</v>
      </c>
      <c r="I23" s="11" t="s">
        <v>29</v>
      </c>
      <c r="J23" s="11">
        <v>971</v>
      </c>
      <c r="K23" s="13">
        <v>1469</v>
      </c>
      <c r="L23" s="13">
        <v>2328</v>
      </c>
      <c r="M23" s="11" t="s">
        <v>30</v>
      </c>
      <c r="N23" s="13">
        <v>3070</v>
      </c>
      <c r="O23" s="12">
        <v>3</v>
      </c>
    </row>
    <row r="24" spans="1:15" x14ac:dyDescent="0.3">
      <c r="A24" s="10" t="s">
        <v>31</v>
      </c>
      <c r="B24" s="11">
        <v>527</v>
      </c>
      <c r="C24" s="11">
        <v>611</v>
      </c>
      <c r="D24" s="11">
        <v>240</v>
      </c>
      <c r="E24" s="11">
        <v>294</v>
      </c>
      <c r="F24" s="11">
        <v>452</v>
      </c>
      <c r="G24" s="97">
        <v>538</v>
      </c>
      <c r="H24" s="11">
        <v>3</v>
      </c>
      <c r="I24" s="11">
        <v>993</v>
      </c>
      <c r="J24" s="13">
        <v>1839</v>
      </c>
      <c r="K24" s="11">
        <v>697</v>
      </c>
      <c r="L24" s="11">
        <v>748</v>
      </c>
      <c r="M24" s="11" t="s">
        <v>32</v>
      </c>
      <c r="N24" s="13">
        <v>1256</v>
      </c>
      <c r="O24" s="12">
        <v>13</v>
      </c>
    </row>
    <row r="25" spans="1:15" ht="19.2" x14ac:dyDescent="0.3">
      <c r="A25" s="8" t="s">
        <v>33</v>
      </c>
      <c r="B25" s="230">
        <v>279</v>
      </c>
      <c r="C25" s="230">
        <v>395</v>
      </c>
      <c r="D25" s="230">
        <v>179</v>
      </c>
      <c r="E25" s="230">
        <v>286</v>
      </c>
      <c r="F25" s="230">
        <v>390</v>
      </c>
      <c r="G25" s="229">
        <v>459</v>
      </c>
      <c r="H25" s="230">
        <v>1</v>
      </c>
      <c r="I25" s="230" t="s">
        <v>34</v>
      </c>
      <c r="J25" s="228">
        <v>1506</v>
      </c>
      <c r="K25" s="228">
        <v>1100</v>
      </c>
      <c r="L25" s="228">
        <v>1933</v>
      </c>
      <c r="M25" s="230" t="s">
        <v>35</v>
      </c>
      <c r="N25" s="228">
        <v>2822</v>
      </c>
      <c r="O25" s="234">
        <v>1</v>
      </c>
    </row>
    <row r="26" spans="1:15" ht="19.2" x14ac:dyDescent="0.3">
      <c r="A26" s="8" t="s">
        <v>6</v>
      </c>
      <c r="B26" s="230"/>
      <c r="C26" s="230"/>
      <c r="D26" s="230"/>
      <c r="E26" s="230"/>
      <c r="F26" s="230"/>
      <c r="G26" s="229"/>
      <c r="H26" s="230"/>
      <c r="I26" s="230"/>
      <c r="J26" s="228"/>
      <c r="K26" s="228"/>
      <c r="L26" s="228"/>
      <c r="M26" s="230"/>
      <c r="N26" s="228"/>
      <c r="O26" s="234"/>
    </row>
    <row r="27" spans="1:15" ht="19.2" x14ac:dyDescent="0.3">
      <c r="A27" s="10" t="s">
        <v>36</v>
      </c>
      <c r="B27" s="11">
        <v>166</v>
      </c>
      <c r="C27" s="11">
        <v>241</v>
      </c>
      <c r="D27" s="11">
        <v>142</v>
      </c>
      <c r="E27" s="11">
        <v>228</v>
      </c>
      <c r="F27" s="11">
        <v>269</v>
      </c>
      <c r="G27" s="97">
        <v>375</v>
      </c>
      <c r="H27" s="11">
        <v>8</v>
      </c>
      <c r="I27" s="11">
        <v>683</v>
      </c>
      <c r="J27" s="11">
        <v>278</v>
      </c>
      <c r="K27" s="11">
        <v>556</v>
      </c>
      <c r="L27" s="11">
        <v>899</v>
      </c>
      <c r="M27" s="11" t="s">
        <v>37</v>
      </c>
      <c r="N27" s="13">
        <v>1311</v>
      </c>
      <c r="O27" s="12">
        <v>11</v>
      </c>
    </row>
    <row r="28" spans="1:15" ht="19.2" x14ac:dyDescent="0.3">
      <c r="A28" s="10" t="s">
        <v>38</v>
      </c>
      <c r="B28" s="11">
        <v>163</v>
      </c>
      <c r="C28" s="11">
        <v>188</v>
      </c>
      <c r="D28" s="11">
        <v>101</v>
      </c>
      <c r="E28" s="11">
        <v>165</v>
      </c>
      <c r="F28" s="11">
        <v>232</v>
      </c>
      <c r="G28" s="97">
        <v>279</v>
      </c>
      <c r="H28" s="11">
        <v>26</v>
      </c>
      <c r="I28" s="11">
        <v>388</v>
      </c>
      <c r="J28" s="11">
        <v>204</v>
      </c>
      <c r="K28" s="11">
        <v>220</v>
      </c>
      <c r="L28" s="11">
        <v>330</v>
      </c>
      <c r="M28" s="11" t="s">
        <v>39</v>
      </c>
      <c r="N28" s="11">
        <v>446</v>
      </c>
      <c r="O28" s="12">
        <v>50</v>
      </c>
    </row>
    <row r="29" spans="1:15" ht="19.2" x14ac:dyDescent="0.3">
      <c r="A29" s="10" t="s">
        <v>40</v>
      </c>
      <c r="B29" s="11">
        <v>136</v>
      </c>
      <c r="C29" s="11">
        <v>190</v>
      </c>
      <c r="D29" s="11">
        <v>106</v>
      </c>
      <c r="E29" s="11">
        <v>176</v>
      </c>
      <c r="F29" s="11">
        <v>203</v>
      </c>
      <c r="G29" s="97">
        <v>256</v>
      </c>
      <c r="H29" s="11"/>
      <c r="I29" s="11">
        <v>550</v>
      </c>
      <c r="J29" s="11">
        <v>546</v>
      </c>
      <c r="K29" s="11">
        <v>429</v>
      </c>
      <c r="L29" s="11">
        <v>941</v>
      </c>
      <c r="M29" s="11" t="s">
        <v>41</v>
      </c>
      <c r="N29" s="13">
        <v>1201</v>
      </c>
      <c r="O29" s="12"/>
    </row>
    <row r="30" spans="1:15" ht="19.2" x14ac:dyDescent="0.3">
      <c r="A30" s="14" t="s">
        <v>42</v>
      </c>
      <c r="B30" s="11"/>
      <c r="C30" s="11"/>
      <c r="D30" s="11"/>
      <c r="E30" s="11"/>
      <c r="F30" s="11"/>
      <c r="G30" s="97"/>
      <c r="H30" s="11"/>
      <c r="I30" s="11"/>
      <c r="J30" s="11"/>
      <c r="K30" s="11"/>
      <c r="L30" s="11"/>
      <c r="M30" s="11"/>
      <c r="N30" s="11"/>
      <c r="O30" s="12"/>
    </row>
    <row r="31" spans="1:15" ht="28.8" x14ac:dyDescent="0.3">
      <c r="A31" s="15" t="s">
        <v>43</v>
      </c>
      <c r="B31" s="11" t="s">
        <v>44</v>
      </c>
      <c r="C31" s="11" t="s">
        <v>44</v>
      </c>
      <c r="D31" s="11" t="s">
        <v>44</v>
      </c>
      <c r="E31" s="11" t="s">
        <v>44</v>
      </c>
      <c r="F31" s="11" t="s">
        <v>44</v>
      </c>
      <c r="G31" s="97" t="s">
        <v>44</v>
      </c>
      <c r="H31" s="11"/>
      <c r="I31" s="11">
        <v>522</v>
      </c>
      <c r="J31" s="11">
        <v>439</v>
      </c>
      <c r="K31" s="11">
        <v>149</v>
      </c>
      <c r="L31" s="11">
        <v>378</v>
      </c>
      <c r="M31" s="11">
        <v>452</v>
      </c>
      <c r="N31" s="11">
        <v>438</v>
      </c>
      <c r="O31" s="12">
        <v>51</v>
      </c>
    </row>
    <row r="32" spans="1:15" ht="57.6" x14ac:dyDescent="0.3">
      <c r="A32" s="15" t="s">
        <v>45</v>
      </c>
      <c r="B32" s="11">
        <v>141</v>
      </c>
      <c r="C32" s="11">
        <v>198</v>
      </c>
      <c r="D32" s="11">
        <v>110</v>
      </c>
      <c r="E32" s="11">
        <v>184</v>
      </c>
      <c r="F32" s="11">
        <v>211</v>
      </c>
      <c r="G32" s="97">
        <v>267</v>
      </c>
      <c r="H32" s="11">
        <v>31</v>
      </c>
      <c r="I32" s="11">
        <v>551</v>
      </c>
      <c r="J32" s="11">
        <v>550</v>
      </c>
      <c r="K32" s="11">
        <v>440</v>
      </c>
      <c r="L32" s="11">
        <v>964</v>
      </c>
      <c r="M32" s="11" t="s">
        <v>46</v>
      </c>
      <c r="N32" s="13">
        <v>1234</v>
      </c>
      <c r="O32" s="12">
        <v>14</v>
      </c>
    </row>
    <row r="33" spans="1:15" ht="19.2" x14ac:dyDescent="0.3">
      <c r="A33" s="10" t="s">
        <v>47</v>
      </c>
      <c r="B33" s="11">
        <v>154</v>
      </c>
      <c r="C33" s="11">
        <v>164</v>
      </c>
      <c r="D33" s="11">
        <v>79</v>
      </c>
      <c r="E33" s="11">
        <v>148</v>
      </c>
      <c r="F33" s="11">
        <v>218</v>
      </c>
      <c r="G33" s="97">
        <v>264</v>
      </c>
      <c r="H33" s="11">
        <v>33</v>
      </c>
      <c r="I33" s="11">
        <v>895</v>
      </c>
      <c r="J33" s="11">
        <v>600</v>
      </c>
      <c r="K33" s="11">
        <v>595</v>
      </c>
      <c r="L33" s="11">
        <v>979</v>
      </c>
      <c r="M33" s="11" t="s">
        <v>48</v>
      </c>
      <c r="N33" s="13">
        <v>1196</v>
      </c>
      <c r="O33" s="12">
        <v>15</v>
      </c>
    </row>
    <row r="34" spans="1:15" ht="28.8" x14ac:dyDescent="0.3">
      <c r="A34" s="10" t="s">
        <v>1064</v>
      </c>
      <c r="B34" s="11">
        <v>154</v>
      </c>
      <c r="C34" s="11">
        <v>209</v>
      </c>
      <c r="D34" s="11">
        <v>80</v>
      </c>
      <c r="E34" s="11">
        <v>111</v>
      </c>
      <c r="F34" s="11">
        <v>183</v>
      </c>
      <c r="G34" s="97">
        <v>211</v>
      </c>
      <c r="H34" s="11">
        <v>56</v>
      </c>
      <c r="I34" s="11">
        <v>981</v>
      </c>
      <c r="J34" s="11">
        <v>854</v>
      </c>
      <c r="K34" s="11">
        <v>965</v>
      </c>
      <c r="L34" s="13">
        <v>1957</v>
      </c>
      <c r="M34" s="11" t="s">
        <v>50</v>
      </c>
      <c r="N34" s="13">
        <v>2318</v>
      </c>
      <c r="O34" s="12">
        <v>4</v>
      </c>
    </row>
    <row r="35" spans="1:15" ht="19.2" x14ac:dyDescent="0.3">
      <c r="A35" s="10" t="s">
        <v>51</v>
      </c>
      <c r="B35" s="11">
        <v>145</v>
      </c>
      <c r="C35" s="11">
        <v>119</v>
      </c>
      <c r="D35" s="11">
        <v>54</v>
      </c>
      <c r="E35" s="11">
        <v>95</v>
      </c>
      <c r="F35" s="11">
        <v>122</v>
      </c>
      <c r="G35" s="97">
        <v>126</v>
      </c>
      <c r="H35" s="11">
        <v>75</v>
      </c>
      <c r="I35" s="11">
        <v>731</v>
      </c>
      <c r="J35" s="11">
        <v>261</v>
      </c>
      <c r="K35" s="11">
        <v>448</v>
      </c>
      <c r="L35" s="11">
        <v>575</v>
      </c>
      <c r="M35" s="11">
        <v>696</v>
      </c>
      <c r="N35" s="11">
        <v>848</v>
      </c>
      <c r="O35" s="12">
        <v>24</v>
      </c>
    </row>
    <row r="36" spans="1:15" ht="19.2" x14ac:dyDescent="0.3">
      <c r="A36" s="10" t="s">
        <v>52</v>
      </c>
      <c r="B36" s="11">
        <v>139</v>
      </c>
      <c r="C36" s="11">
        <v>138</v>
      </c>
      <c r="D36" s="11">
        <v>65</v>
      </c>
      <c r="E36" s="11">
        <v>141</v>
      </c>
      <c r="F36" s="11">
        <v>205</v>
      </c>
      <c r="G36" s="97">
        <v>214</v>
      </c>
      <c r="H36" s="11">
        <v>54</v>
      </c>
      <c r="I36" s="11">
        <v>389</v>
      </c>
      <c r="J36" s="11">
        <v>359</v>
      </c>
      <c r="K36" s="11">
        <v>182</v>
      </c>
      <c r="L36" s="11">
        <v>356</v>
      </c>
      <c r="M36" s="11">
        <v>455</v>
      </c>
      <c r="N36" s="11">
        <v>540</v>
      </c>
      <c r="O36" s="12">
        <v>44</v>
      </c>
    </row>
    <row r="37" spans="1:15" ht="19.2" x14ac:dyDescent="0.3">
      <c r="A37" s="10" t="s">
        <v>53</v>
      </c>
      <c r="B37" s="11">
        <v>106</v>
      </c>
      <c r="C37" s="11">
        <v>130</v>
      </c>
      <c r="D37" s="11">
        <v>50</v>
      </c>
      <c r="E37" s="11">
        <v>60</v>
      </c>
      <c r="F37" s="11">
        <v>127</v>
      </c>
      <c r="G37" s="97">
        <v>115</v>
      </c>
      <c r="H37" s="11">
        <v>78</v>
      </c>
      <c r="I37" s="11" t="s">
        <v>48</v>
      </c>
      <c r="J37" s="13">
        <v>1129</v>
      </c>
      <c r="K37" s="11">
        <v>862</v>
      </c>
      <c r="L37" s="13">
        <v>1438</v>
      </c>
      <c r="M37" s="11" t="s">
        <v>54</v>
      </c>
      <c r="N37" s="13">
        <v>2200</v>
      </c>
      <c r="O37" s="12">
        <v>6</v>
      </c>
    </row>
    <row r="38" spans="1:15" ht="19.2" x14ac:dyDescent="0.3">
      <c r="A38" s="10" t="s">
        <v>55</v>
      </c>
      <c r="B38" s="11">
        <v>151</v>
      </c>
      <c r="C38" s="11">
        <v>145</v>
      </c>
      <c r="D38" s="11">
        <v>61</v>
      </c>
      <c r="E38" s="11">
        <v>80</v>
      </c>
      <c r="F38" s="11">
        <v>172</v>
      </c>
      <c r="G38" s="97">
        <v>204</v>
      </c>
      <c r="H38" s="11">
        <v>59</v>
      </c>
      <c r="I38" s="11">
        <v>954</v>
      </c>
      <c r="J38" s="13">
        <v>1027</v>
      </c>
      <c r="K38" s="13">
        <v>1645</v>
      </c>
      <c r="L38" s="13">
        <v>2329</v>
      </c>
      <c r="M38" s="11" t="s">
        <v>56</v>
      </c>
      <c r="N38" s="13">
        <v>3211</v>
      </c>
      <c r="O38" s="12">
        <v>2</v>
      </c>
    </row>
    <row r="39" spans="1:15" ht="19.2" x14ac:dyDescent="0.3">
      <c r="A39" s="10" t="s">
        <v>57</v>
      </c>
      <c r="B39" s="11">
        <v>517</v>
      </c>
      <c r="C39" s="11">
        <v>766</v>
      </c>
      <c r="D39" s="11">
        <v>444</v>
      </c>
      <c r="E39" s="11">
        <v>520</v>
      </c>
      <c r="F39" s="11">
        <v>695</v>
      </c>
      <c r="G39" s="97">
        <v>822</v>
      </c>
      <c r="H39" s="11">
        <v>1</v>
      </c>
      <c r="I39" s="11" t="s">
        <v>58</v>
      </c>
      <c r="J39" s="13">
        <v>3066</v>
      </c>
      <c r="K39" s="13">
        <v>1834</v>
      </c>
      <c r="L39" s="13">
        <v>3298</v>
      </c>
      <c r="M39" s="11" t="s">
        <v>59</v>
      </c>
      <c r="N39" s="13">
        <v>4987</v>
      </c>
      <c r="O39" s="12">
        <v>1</v>
      </c>
    </row>
    <row r="40" spans="1:15" x14ac:dyDescent="0.3">
      <c r="A40" s="8" t="s">
        <v>60</v>
      </c>
      <c r="B40" s="230">
        <v>124</v>
      </c>
      <c r="C40" s="230">
        <v>158</v>
      </c>
      <c r="D40" s="230">
        <v>67</v>
      </c>
      <c r="E40" s="230">
        <v>105</v>
      </c>
      <c r="F40" s="230">
        <v>153</v>
      </c>
      <c r="G40" s="229">
        <v>183</v>
      </c>
      <c r="H40" s="230">
        <v>7</v>
      </c>
      <c r="I40" s="230">
        <v>519</v>
      </c>
      <c r="J40" s="230">
        <v>388</v>
      </c>
      <c r="K40" s="230">
        <v>450</v>
      </c>
      <c r="L40" s="230">
        <v>672</v>
      </c>
      <c r="M40" s="230">
        <v>661</v>
      </c>
      <c r="N40" s="230">
        <v>671</v>
      </c>
      <c r="O40" s="234">
        <v>4</v>
      </c>
    </row>
    <row r="41" spans="1:15" ht="19.2" x14ac:dyDescent="0.3">
      <c r="A41" s="8" t="s">
        <v>6</v>
      </c>
      <c r="B41" s="230"/>
      <c r="C41" s="230"/>
      <c r="D41" s="230"/>
      <c r="E41" s="230"/>
      <c r="F41" s="230"/>
      <c r="G41" s="229"/>
      <c r="H41" s="230"/>
      <c r="I41" s="230"/>
      <c r="J41" s="230"/>
      <c r="K41" s="230"/>
      <c r="L41" s="230"/>
      <c r="M41" s="230"/>
      <c r="N41" s="230"/>
      <c r="O41" s="234"/>
    </row>
    <row r="42" spans="1:15" ht="19.2" x14ac:dyDescent="0.3">
      <c r="A42" s="10" t="s">
        <v>61</v>
      </c>
      <c r="B42" s="11">
        <v>96</v>
      </c>
      <c r="C42" s="11">
        <v>105</v>
      </c>
      <c r="D42" s="11">
        <v>33</v>
      </c>
      <c r="E42" s="11">
        <v>104</v>
      </c>
      <c r="F42" s="11">
        <v>151</v>
      </c>
      <c r="G42" s="97">
        <v>181</v>
      </c>
      <c r="H42" s="11">
        <v>63</v>
      </c>
      <c r="I42" s="11">
        <v>141</v>
      </c>
      <c r="J42" s="11">
        <v>82</v>
      </c>
      <c r="K42" s="11">
        <v>102</v>
      </c>
      <c r="L42" s="11">
        <v>162</v>
      </c>
      <c r="M42" s="11">
        <v>277</v>
      </c>
      <c r="N42" s="11">
        <v>287</v>
      </c>
      <c r="O42" s="12">
        <v>70</v>
      </c>
    </row>
    <row r="43" spans="1:15" ht="19.2" x14ac:dyDescent="0.3">
      <c r="A43" s="10" t="s">
        <v>62</v>
      </c>
      <c r="B43" s="11">
        <v>113</v>
      </c>
      <c r="C43" s="11">
        <v>103</v>
      </c>
      <c r="D43" s="11">
        <v>31</v>
      </c>
      <c r="E43" s="11">
        <v>62</v>
      </c>
      <c r="F43" s="11">
        <v>201</v>
      </c>
      <c r="G43" s="97">
        <v>245</v>
      </c>
      <c r="H43" s="11">
        <v>43</v>
      </c>
      <c r="I43" s="11">
        <v>126</v>
      </c>
      <c r="J43" s="11">
        <v>39</v>
      </c>
      <c r="K43" s="11">
        <v>42</v>
      </c>
      <c r="L43" s="11">
        <v>129</v>
      </c>
      <c r="M43" s="11">
        <v>131</v>
      </c>
      <c r="N43" s="11">
        <v>190</v>
      </c>
      <c r="O43" s="12">
        <v>80</v>
      </c>
    </row>
    <row r="44" spans="1:15" ht="19.2" x14ac:dyDescent="0.3">
      <c r="A44" s="10" t="s">
        <v>63</v>
      </c>
      <c r="B44" s="11"/>
      <c r="C44" s="11">
        <v>177</v>
      </c>
      <c r="D44" s="11">
        <v>63</v>
      </c>
      <c r="E44" s="11">
        <v>131</v>
      </c>
      <c r="F44" s="11">
        <v>180</v>
      </c>
      <c r="G44" s="97">
        <v>228</v>
      </c>
      <c r="H44" s="11">
        <v>49</v>
      </c>
      <c r="I44" s="11"/>
      <c r="J44" s="11">
        <v>604</v>
      </c>
      <c r="K44" s="13">
        <v>1224</v>
      </c>
      <c r="L44" s="13">
        <v>1650</v>
      </c>
      <c r="M44" s="11" t="s">
        <v>64</v>
      </c>
      <c r="N44" s="11">
        <v>944</v>
      </c>
      <c r="O44" s="12">
        <v>21</v>
      </c>
    </row>
    <row r="45" spans="1:15" ht="19.2" x14ac:dyDescent="0.3">
      <c r="A45" s="10" t="s">
        <v>65</v>
      </c>
      <c r="B45" s="11">
        <v>86</v>
      </c>
      <c r="C45" s="11">
        <v>103</v>
      </c>
      <c r="D45" s="11">
        <v>25</v>
      </c>
      <c r="E45" s="11">
        <v>38</v>
      </c>
      <c r="F45" s="11">
        <v>74</v>
      </c>
      <c r="G45" s="97">
        <v>103</v>
      </c>
      <c r="H45" s="11">
        <v>80</v>
      </c>
      <c r="I45" s="11">
        <v>397</v>
      </c>
      <c r="J45" s="11">
        <v>226</v>
      </c>
      <c r="K45" s="11">
        <v>159</v>
      </c>
      <c r="L45" s="11">
        <v>308</v>
      </c>
      <c r="M45" s="11">
        <v>337</v>
      </c>
      <c r="N45" s="11">
        <v>368</v>
      </c>
      <c r="O45" s="12">
        <v>21</v>
      </c>
    </row>
    <row r="46" spans="1:15" ht="19.2" x14ac:dyDescent="0.3">
      <c r="A46" s="10" t="s">
        <v>66</v>
      </c>
      <c r="B46" s="11">
        <v>214</v>
      </c>
      <c r="C46" s="11">
        <v>339</v>
      </c>
      <c r="D46" s="11">
        <v>154</v>
      </c>
      <c r="E46" s="11">
        <v>201</v>
      </c>
      <c r="F46" s="11">
        <v>298</v>
      </c>
      <c r="G46" s="97">
        <v>283</v>
      </c>
      <c r="H46" s="11">
        <v>25</v>
      </c>
      <c r="I46" s="11">
        <v>359</v>
      </c>
      <c r="J46" s="11">
        <v>184</v>
      </c>
      <c r="K46" s="11">
        <v>164</v>
      </c>
      <c r="L46" s="11">
        <v>185</v>
      </c>
      <c r="M46" s="11">
        <v>424</v>
      </c>
      <c r="N46" s="11">
        <v>417</v>
      </c>
      <c r="O46" s="12">
        <v>54</v>
      </c>
    </row>
    <row r="47" spans="1:15" ht="19.2" x14ac:dyDescent="0.3">
      <c r="A47" s="10" t="s">
        <v>67</v>
      </c>
      <c r="B47" s="11">
        <v>153</v>
      </c>
      <c r="C47" s="11">
        <v>185</v>
      </c>
      <c r="D47" s="11">
        <v>67</v>
      </c>
      <c r="E47" s="11">
        <v>150</v>
      </c>
      <c r="F47" s="11">
        <v>181</v>
      </c>
      <c r="G47" s="97">
        <v>214</v>
      </c>
      <c r="H47" s="11">
        <v>54</v>
      </c>
      <c r="I47" s="11" t="s">
        <v>68</v>
      </c>
      <c r="J47" s="11">
        <v>919</v>
      </c>
      <c r="K47" s="11">
        <v>771</v>
      </c>
      <c r="L47" s="13">
        <v>1121</v>
      </c>
      <c r="M47" s="11" t="s">
        <v>69</v>
      </c>
      <c r="N47" s="13">
        <v>1641</v>
      </c>
      <c r="O47" s="12">
        <v>7</v>
      </c>
    </row>
    <row r="48" spans="1:15" ht="19.2" x14ac:dyDescent="0.3">
      <c r="A48" s="10" t="s">
        <v>70</v>
      </c>
      <c r="B48" s="11">
        <v>133</v>
      </c>
      <c r="C48" s="11">
        <v>151</v>
      </c>
      <c r="D48" s="11">
        <v>97</v>
      </c>
      <c r="E48" s="11">
        <v>126</v>
      </c>
      <c r="F48" s="11">
        <v>179</v>
      </c>
      <c r="G48" s="97">
        <v>204</v>
      </c>
      <c r="H48" s="11">
        <v>59</v>
      </c>
      <c r="I48" s="11">
        <v>351</v>
      </c>
      <c r="J48" s="11">
        <v>197</v>
      </c>
      <c r="K48" s="11">
        <v>206</v>
      </c>
      <c r="L48" s="11">
        <v>367</v>
      </c>
      <c r="M48" s="11">
        <v>402</v>
      </c>
      <c r="N48" s="11">
        <v>413</v>
      </c>
      <c r="O48" s="12">
        <v>56</v>
      </c>
    </row>
    <row r="49" spans="1:15" ht="28.8" x14ac:dyDescent="0.3">
      <c r="A49" s="10" t="s">
        <v>71</v>
      </c>
      <c r="B49" s="11"/>
      <c r="C49" s="11">
        <v>354</v>
      </c>
      <c r="D49" s="11">
        <v>176</v>
      </c>
      <c r="E49" s="11">
        <v>209</v>
      </c>
      <c r="F49" s="11">
        <v>306</v>
      </c>
      <c r="G49" s="97">
        <v>358</v>
      </c>
      <c r="H49" s="11">
        <v>9</v>
      </c>
      <c r="I49" s="11"/>
      <c r="J49" s="13">
        <v>1288</v>
      </c>
      <c r="K49" s="13">
        <v>2302</v>
      </c>
      <c r="L49" s="13">
        <v>2997</v>
      </c>
      <c r="M49" s="11" t="s">
        <v>72</v>
      </c>
      <c r="N49" s="13">
        <v>1536</v>
      </c>
      <c r="O49" s="12">
        <v>8</v>
      </c>
    </row>
    <row r="50" spans="1:15" ht="19.2" x14ac:dyDescent="0.3">
      <c r="A50" s="8" t="s">
        <v>73</v>
      </c>
      <c r="B50" s="230">
        <v>91</v>
      </c>
      <c r="C50" s="230">
        <v>119</v>
      </c>
      <c r="D50" s="230">
        <v>42</v>
      </c>
      <c r="E50" s="230">
        <v>104</v>
      </c>
      <c r="F50" s="230">
        <v>125</v>
      </c>
      <c r="G50" s="229">
        <v>150</v>
      </c>
      <c r="H50" s="230">
        <v>8</v>
      </c>
      <c r="I50" s="230">
        <v>174</v>
      </c>
      <c r="J50" s="230">
        <v>125</v>
      </c>
      <c r="K50" s="230">
        <v>116</v>
      </c>
      <c r="L50" s="230">
        <v>222</v>
      </c>
      <c r="M50" s="230">
        <v>285</v>
      </c>
      <c r="N50" s="230">
        <v>304</v>
      </c>
      <c r="O50" s="234">
        <v>8</v>
      </c>
    </row>
    <row r="51" spans="1:15" ht="19.2" x14ac:dyDescent="0.3">
      <c r="A51" s="8" t="s">
        <v>6</v>
      </c>
      <c r="B51" s="230"/>
      <c r="C51" s="230"/>
      <c r="D51" s="230"/>
      <c r="E51" s="230"/>
      <c r="F51" s="230"/>
      <c r="G51" s="229"/>
      <c r="H51" s="230"/>
      <c r="I51" s="230"/>
      <c r="J51" s="230"/>
      <c r="K51" s="230"/>
      <c r="L51" s="230"/>
      <c r="M51" s="230"/>
      <c r="N51" s="230"/>
      <c r="O51" s="234"/>
    </row>
    <row r="52" spans="1:15" ht="19.2" x14ac:dyDescent="0.3">
      <c r="A52" s="10" t="s">
        <v>74</v>
      </c>
      <c r="B52" s="11">
        <v>108</v>
      </c>
      <c r="C52" s="11">
        <v>108</v>
      </c>
      <c r="D52" s="11">
        <v>35</v>
      </c>
      <c r="E52" s="11">
        <v>78</v>
      </c>
      <c r="F52" s="11">
        <v>113</v>
      </c>
      <c r="G52" s="97">
        <v>122</v>
      </c>
      <c r="H52" s="11">
        <v>76</v>
      </c>
      <c r="I52" s="11">
        <v>171</v>
      </c>
      <c r="J52" s="11">
        <v>106</v>
      </c>
      <c r="K52" s="11">
        <v>63</v>
      </c>
      <c r="L52" s="11">
        <v>97</v>
      </c>
      <c r="M52" s="11">
        <v>170</v>
      </c>
      <c r="N52" s="11">
        <v>183</v>
      </c>
      <c r="O52" s="12">
        <v>81</v>
      </c>
    </row>
    <row r="53" spans="1:15" ht="19.2" x14ac:dyDescent="0.3">
      <c r="A53" s="10" t="s">
        <v>75</v>
      </c>
      <c r="B53" s="11">
        <v>65</v>
      </c>
      <c r="C53" s="11">
        <v>190</v>
      </c>
      <c r="D53" s="11">
        <v>49</v>
      </c>
      <c r="E53" s="11">
        <v>14</v>
      </c>
      <c r="F53" s="11">
        <v>136</v>
      </c>
      <c r="G53" s="97">
        <v>218</v>
      </c>
      <c r="H53" s="11">
        <v>53</v>
      </c>
      <c r="I53" s="11">
        <v>654</v>
      </c>
      <c r="J53" s="11">
        <v>459</v>
      </c>
      <c r="K53" s="11">
        <v>207</v>
      </c>
      <c r="L53" s="11">
        <v>414</v>
      </c>
      <c r="M53" s="11">
        <v>658</v>
      </c>
      <c r="N53" s="11">
        <v>693</v>
      </c>
      <c r="O53" s="12">
        <v>31</v>
      </c>
    </row>
    <row r="54" spans="1:15" ht="28.8" x14ac:dyDescent="0.3">
      <c r="A54" s="10" t="s">
        <v>76</v>
      </c>
      <c r="B54" s="11">
        <v>92</v>
      </c>
      <c r="C54" s="11">
        <v>107</v>
      </c>
      <c r="D54" s="11">
        <v>37</v>
      </c>
      <c r="E54" s="11">
        <v>143</v>
      </c>
      <c r="F54" s="11">
        <v>151</v>
      </c>
      <c r="G54" s="97">
        <v>210</v>
      </c>
      <c r="H54" s="11">
        <v>57</v>
      </c>
      <c r="I54" s="11">
        <v>101</v>
      </c>
      <c r="J54" s="11">
        <v>96</v>
      </c>
      <c r="K54" s="11">
        <v>116</v>
      </c>
      <c r="L54" s="11">
        <v>306</v>
      </c>
      <c r="M54" s="11">
        <v>344</v>
      </c>
      <c r="N54" s="11">
        <v>375</v>
      </c>
      <c r="O54" s="12">
        <v>61</v>
      </c>
    </row>
    <row r="55" spans="1:15" ht="28.8" x14ac:dyDescent="0.3">
      <c r="A55" s="10" t="s">
        <v>77</v>
      </c>
      <c r="B55" s="11">
        <v>73</v>
      </c>
      <c r="C55" s="11">
        <v>75</v>
      </c>
      <c r="D55" s="11">
        <v>19</v>
      </c>
      <c r="E55" s="11">
        <v>44</v>
      </c>
      <c r="F55" s="11">
        <v>102</v>
      </c>
      <c r="G55" s="97">
        <v>99</v>
      </c>
      <c r="H55" s="11">
        <v>81</v>
      </c>
      <c r="I55" s="11">
        <v>47</v>
      </c>
      <c r="J55" s="11">
        <v>25</v>
      </c>
      <c r="K55" s="11">
        <v>11</v>
      </c>
      <c r="L55" s="11">
        <v>55</v>
      </c>
      <c r="M55" s="11">
        <v>77</v>
      </c>
      <c r="N55" s="11">
        <v>129</v>
      </c>
      <c r="O55" s="12">
        <v>85</v>
      </c>
    </row>
    <row r="56" spans="1:15" ht="28.8" x14ac:dyDescent="0.3">
      <c r="A56" s="10" t="s">
        <v>1066</v>
      </c>
      <c r="B56" s="11">
        <v>192</v>
      </c>
      <c r="C56" s="11">
        <v>242</v>
      </c>
      <c r="D56" s="11">
        <v>76</v>
      </c>
      <c r="E56" s="11">
        <v>182</v>
      </c>
      <c r="F56" s="11">
        <v>269</v>
      </c>
      <c r="G56" s="97">
        <v>317</v>
      </c>
      <c r="H56" s="11">
        <v>20</v>
      </c>
      <c r="I56" s="11">
        <v>54</v>
      </c>
      <c r="J56" s="11">
        <v>36</v>
      </c>
      <c r="K56" s="11">
        <v>71</v>
      </c>
      <c r="L56" s="11">
        <v>152</v>
      </c>
      <c r="M56" s="11">
        <v>140</v>
      </c>
      <c r="N56" s="11">
        <v>180</v>
      </c>
      <c r="O56" s="12">
        <v>82</v>
      </c>
    </row>
    <row r="57" spans="1:15" ht="19.2" x14ac:dyDescent="0.3">
      <c r="A57" s="10" t="s">
        <v>78</v>
      </c>
      <c r="B57" s="11">
        <v>28</v>
      </c>
      <c r="C57" s="11">
        <v>154</v>
      </c>
      <c r="D57" s="11">
        <v>67</v>
      </c>
      <c r="E57" s="11">
        <v>205</v>
      </c>
      <c r="F57" s="11">
        <v>92</v>
      </c>
      <c r="G57" s="97">
        <v>154</v>
      </c>
      <c r="H57" s="11">
        <v>71</v>
      </c>
      <c r="I57" s="11">
        <v>13</v>
      </c>
      <c r="J57" s="11">
        <v>141</v>
      </c>
      <c r="K57" s="11">
        <v>141</v>
      </c>
      <c r="L57" s="11">
        <v>217</v>
      </c>
      <c r="M57" s="11">
        <v>289</v>
      </c>
      <c r="N57" s="11">
        <v>268</v>
      </c>
      <c r="O57" s="12">
        <v>72</v>
      </c>
    </row>
    <row r="58" spans="1:15" ht="19.8" thickBot="1" x14ac:dyDescent="0.35">
      <c r="A58" s="16" t="s">
        <v>79</v>
      </c>
      <c r="B58" s="17">
        <v>84</v>
      </c>
      <c r="C58" s="17">
        <v>84</v>
      </c>
      <c r="D58" s="17">
        <v>33</v>
      </c>
      <c r="E58" s="17">
        <v>76</v>
      </c>
      <c r="F58" s="17">
        <v>117</v>
      </c>
      <c r="G58" s="98">
        <v>117</v>
      </c>
      <c r="H58" s="17">
        <v>77</v>
      </c>
      <c r="I58" s="17">
        <v>253</v>
      </c>
      <c r="J58" s="17">
        <v>131</v>
      </c>
      <c r="K58" s="17">
        <v>173</v>
      </c>
      <c r="L58" s="17">
        <v>345</v>
      </c>
      <c r="M58" s="17">
        <v>392</v>
      </c>
      <c r="N58" s="17">
        <v>425</v>
      </c>
      <c r="O58" s="18">
        <v>52</v>
      </c>
    </row>
    <row r="59" spans="1:15" ht="19.2" x14ac:dyDescent="0.3">
      <c r="A59" s="20" t="s">
        <v>80</v>
      </c>
      <c r="B59" s="235">
        <v>210</v>
      </c>
      <c r="C59" s="235">
        <v>243</v>
      </c>
      <c r="D59" s="235">
        <v>100</v>
      </c>
      <c r="E59" s="235">
        <v>179</v>
      </c>
      <c r="F59" s="235">
        <v>256</v>
      </c>
      <c r="G59" s="236">
        <v>294</v>
      </c>
      <c r="H59" s="235">
        <v>4</v>
      </c>
      <c r="I59" s="235">
        <v>332</v>
      </c>
      <c r="J59" s="235">
        <v>283</v>
      </c>
      <c r="K59" s="235">
        <v>258</v>
      </c>
      <c r="L59" s="235">
        <v>471</v>
      </c>
      <c r="M59" s="235">
        <v>637</v>
      </c>
      <c r="N59" s="235">
        <v>710</v>
      </c>
      <c r="O59" s="237">
        <v>3</v>
      </c>
    </row>
    <row r="60" spans="1:15" ht="19.2" x14ac:dyDescent="0.3">
      <c r="A60" s="8" t="s">
        <v>6</v>
      </c>
      <c r="B60" s="230"/>
      <c r="C60" s="230"/>
      <c r="D60" s="230"/>
      <c r="E60" s="230"/>
      <c r="F60" s="230"/>
      <c r="G60" s="229"/>
      <c r="H60" s="230"/>
      <c r="I60" s="230"/>
      <c r="J60" s="230"/>
      <c r="K60" s="230"/>
      <c r="L60" s="230"/>
      <c r="M60" s="230"/>
      <c r="N60" s="230"/>
      <c r="O60" s="234"/>
    </row>
    <row r="61" spans="1:15" ht="28.8" x14ac:dyDescent="0.3">
      <c r="A61" s="10" t="s">
        <v>81</v>
      </c>
      <c r="B61" s="11">
        <v>199</v>
      </c>
      <c r="C61" s="11">
        <v>210</v>
      </c>
      <c r="D61" s="11">
        <v>78</v>
      </c>
      <c r="E61" s="11">
        <v>198</v>
      </c>
      <c r="F61" s="11">
        <v>245</v>
      </c>
      <c r="G61" s="97">
        <v>257</v>
      </c>
      <c r="H61" s="11">
        <v>37</v>
      </c>
      <c r="I61" s="11">
        <v>136</v>
      </c>
      <c r="J61" s="11">
        <v>97</v>
      </c>
      <c r="K61" s="11">
        <v>100</v>
      </c>
      <c r="L61" s="11">
        <v>254</v>
      </c>
      <c r="M61" s="11">
        <v>297</v>
      </c>
      <c r="N61" s="11">
        <v>295</v>
      </c>
      <c r="O61" s="12">
        <v>69</v>
      </c>
    </row>
    <row r="62" spans="1:15" ht="19.2" x14ac:dyDescent="0.3">
      <c r="A62" s="10" t="s">
        <v>82</v>
      </c>
      <c r="B62" s="11">
        <v>302</v>
      </c>
      <c r="C62" s="11">
        <v>373</v>
      </c>
      <c r="D62" s="11">
        <v>182</v>
      </c>
      <c r="E62" s="11">
        <v>296</v>
      </c>
      <c r="F62" s="11">
        <v>462</v>
      </c>
      <c r="G62" s="97">
        <v>561</v>
      </c>
      <c r="H62" s="11">
        <v>2</v>
      </c>
      <c r="I62" s="11">
        <v>553</v>
      </c>
      <c r="J62" s="11">
        <v>338</v>
      </c>
      <c r="K62" s="11">
        <v>387</v>
      </c>
      <c r="L62" s="11">
        <v>784</v>
      </c>
      <c r="M62" s="11">
        <v>784</v>
      </c>
      <c r="N62" s="11">
        <v>868</v>
      </c>
      <c r="O62" s="12">
        <v>22</v>
      </c>
    </row>
    <row r="63" spans="1:15" ht="19.2" x14ac:dyDescent="0.3">
      <c r="A63" s="10" t="s">
        <v>83</v>
      </c>
      <c r="B63" s="11">
        <v>181</v>
      </c>
      <c r="C63" s="11">
        <v>254</v>
      </c>
      <c r="D63" s="11">
        <v>87</v>
      </c>
      <c r="E63" s="11">
        <v>178</v>
      </c>
      <c r="F63" s="11">
        <v>279</v>
      </c>
      <c r="G63" s="97">
        <v>324</v>
      </c>
      <c r="H63" s="11">
        <v>18</v>
      </c>
      <c r="I63" s="11">
        <v>266</v>
      </c>
      <c r="J63" s="11">
        <v>161</v>
      </c>
      <c r="K63" s="11">
        <v>127</v>
      </c>
      <c r="L63" s="11">
        <v>277</v>
      </c>
      <c r="M63" s="11">
        <v>318</v>
      </c>
      <c r="N63" s="11">
        <v>334</v>
      </c>
      <c r="O63" s="12">
        <v>66</v>
      </c>
    </row>
    <row r="64" spans="1:15" ht="19.2" x14ac:dyDescent="0.3">
      <c r="A64" s="10" t="s">
        <v>84</v>
      </c>
      <c r="B64" s="11">
        <v>219</v>
      </c>
      <c r="C64" s="11">
        <v>285</v>
      </c>
      <c r="D64" s="11">
        <v>139</v>
      </c>
      <c r="E64" s="11">
        <v>217</v>
      </c>
      <c r="F64" s="11">
        <v>282</v>
      </c>
      <c r="G64" s="97">
        <v>341</v>
      </c>
      <c r="H64" s="11">
        <v>15</v>
      </c>
      <c r="I64" s="11">
        <v>455</v>
      </c>
      <c r="J64" s="11">
        <v>733</v>
      </c>
      <c r="K64" s="11">
        <v>731</v>
      </c>
      <c r="L64" s="13">
        <v>1284</v>
      </c>
      <c r="M64" s="11">
        <v>1806</v>
      </c>
      <c r="N64" s="13">
        <v>2230</v>
      </c>
      <c r="O64" s="12">
        <v>5</v>
      </c>
    </row>
    <row r="65" spans="1:15" ht="19.2" x14ac:dyDescent="0.3">
      <c r="A65" s="10" t="s">
        <v>85</v>
      </c>
      <c r="B65" s="11">
        <v>250</v>
      </c>
      <c r="C65" s="11">
        <v>279</v>
      </c>
      <c r="D65" s="11">
        <v>113</v>
      </c>
      <c r="E65" s="11">
        <v>184</v>
      </c>
      <c r="F65" s="11">
        <v>278</v>
      </c>
      <c r="G65" s="97">
        <v>312</v>
      </c>
      <c r="H65" s="11">
        <v>22</v>
      </c>
      <c r="I65" s="11">
        <v>472</v>
      </c>
      <c r="J65" s="11">
        <v>236</v>
      </c>
      <c r="K65" s="11">
        <v>296</v>
      </c>
      <c r="L65" s="11">
        <v>449</v>
      </c>
      <c r="M65" s="11">
        <v>539</v>
      </c>
      <c r="N65" s="11">
        <v>572</v>
      </c>
      <c r="O65" s="12">
        <v>37</v>
      </c>
    </row>
    <row r="66" spans="1:15" ht="19.2" x14ac:dyDescent="0.3">
      <c r="A66" s="10" t="s">
        <v>86</v>
      </c>
      <c r="B66" s="11">
        <v>278</v>
      </c>
      <c r="C66" s="11">
        <v>319</v>
      </c>
      <c r="D66" s="11">
        <v>126</v>
      </c>
      <c r="E66" s="11">
        <v>307</v>
      </c>
      <c r="F66" s="11">
        <v>379</v>
      </c>
      <c r="G66" s="97">
        <v>388</v>
      </c>
      <c r="H66" s="11">
        <v>6</v>
      </c>
      <c r="I66" s="11">
        <v>229</v>
      </c>
      <c r="J66" s="11">
        <v>179</v>
      </c>
      <c r="K66" s="11">
        <v>63</v>
      </c>
      <c r="L66" s="11">
        <v>233</v>
      </c>
      <c r="M66" s="11">
        <v>307</v>
      </c>
      <c r="N66" s="11">
        <v>347</v>
      </c>
      <c r="O66" s="12">
        <v>64</v>
      </c>
    </row>
    <row r="67" spans="1:15" ht="19.2" x14ac:dyDescent="0.3">
      <c r="A67" s="10" t="s">
        <v>87</v>
      </c>
      <c r="B67" s="11">
        <v>262</v>
      </c>
      <c r="C67" s="11">
        <v>336</v>
      </c>
      <c r="D67" s="11">
        <v>122</v>
      </c>
      <c r="E67" s="11">
        <v>255</v>
      </c>
      <c r="F67" s="11">
        <v>325</v>
      </c>
      <c r="G67" s="97">
        <v>349</v>
      </c>
      <c r="H67" s="11">
        <v>13</v>
      </c>
      <c r="I67" s="11">
        <v>403</v>
      </c>
      <c r="J67" s="11">
        <v>255</v>
      </c>
      <c r="K67" s="11">
        <v>201</v>
      </c>
      <c r="L67" s="11">
        <v>336</v>
      </c>
      <c r="M67" s="11">
        <v>443</v>
      </c>
      <c r="N67" s="11">
        <v>396</v>
      </c>
      <c r="O67" s="12">
        <v>60</v>
      </c>
    </row>
    <row r="68" spans="1:15" ht="19.2" x14ac:dyDescent="0.3">
      <c r="A68" s="10" t="s">
        <v>88</v>
      </c>
      <c r="B68" s="11">
        <v>181</v>
      </c>
      <c r="C68" s="11">
        <v>161</v>
      </c>
      <c r="D68" s="11">
        <v>65</v>
      </c>
      <c r="E68" s="11">
        <v>144</v>
      </c>
      <c r="F68" s="11">
        <v>202</v>
      </c>
      <c r="G68" s="97">
        <v>236</v>
      </c>
      <c r="H68" s="11">
        <v>46</v>
      </c>
      <c r="I68" s="11">
        <v>530</v>
      </c>
      <c r="J68" s="11">
        <v>426</v>
      </c>
      <c r="K68" s="11">
        <v>235</v>
      </c>
      <c r="L68" s="11">
        <v>373</v>
      </c>
      <c r="M68" s="11">
        <v>595</v>
      </c>
      <c r="N68" s="11">
        <v>558</v>
      </c>
      <c r="O68" s="12">
        <v>40</v>
      </c>
    </row>
    <row r="69" spans="1:15" ht="19.2" x14ac:dyDescent="0.3">
      <c r="A69" s="10" t="s">
        <v>89</v>
      </c>
      <c r="B69" s="11">
        <v>192</v>
      </c>
      <c r="C69" s="11">
        <v>229</v>
      </c>
      <c r="D69" s="11">
        <v>82</v>
      </c>
      <c r="E69" s="11">
        <v>140</v>
      </c>
      <c r="F69" s="11">
        <v>261</v>
      </c>
      <c r="G69" s="97">
        <v>317</v>
      </c>
      <c r="H69" s="11">
        <v>20</v>
      </c>
      <c r="I69" s="11">
        <v>348</v>
      </c>
      <c r="J69" s="11">
        <v>328</v>
      </c>
      <c r="K69" s="11">
        <v>242</v>
      </c>
      <c r="L69" s="11">
        <v>437</v>
      </c>
      <c r="M69" s="11">
        <v>783</v>
      </c>
      <c r="N69" s="11">
        <v>752</v>
      </c>
      <c r="O69" s="12">
        <v>26</v>
      </c>
    </row>
    <row r="70" spans="1:15" ht="19.2" x14ac:dyDescent="0.3">
      <c r="A70" s="10" t="s">
        <v>90</v>
      </c>
      <c r="B70" s="11">
        <v>150</v>
      </c>
      <c r="C70" s="11">
        <v>158</v>
      </c>
      <c r="D70" s="11">
        <v>70</v>
      </c>
      <c r="E70" s="11">
        <v>121</v>
      </c>
      <c r="F70" s="11">
        <v>185</v>
      </c>
      <c r="G70" s="97">
        <v>220</v>
      </c>
      <c r="H70" s="11">
        <v>52</v>
      </c>
      <c r="I70" s="11">
        <v>100</v>
      </c>
      <c r="J70" s="11">
        <v>80</v>
      </c>
      <c r="K70" s="11">
        <v>76</v>
      </c>
      <c r="L70" s="11">
        <v>194</v>
      </c>
      <c r="M70" s="11">
        <v>237</v>
      </c>
      <c r="N70" s="11">
        <v>255</v>
      </c>
      <c r="O70" s="12">
        <v>74</v>
      </c>
    </row>
    <row r="71" spans="1:15" ht="19.2" x14ac:dyDescent="0.3">
      <c r="A71" s="10" t="s">
        <v>91</v>
      </c>
      <c r="B71" s="11">
        <v>144</v>
      </c>
      <c r="C71" s="11">
        <v>135</v>
      </c>
      <c r="D71" s="11">
        <v>67</v>
      </c>
      <c r="E71" s="11">
        <v>58</v>
      </c>
      <c r="F71" s="11">
        <v>139</v>
      </c>
      <c r="G71" s="97">
        <v>175</v>
      </c>
      <c r="H71" s="11">
        <v>65</v>
      </c>
      <c r="I71" s="11">
        <v>376</v>
      </c>
      <c r="J71" s="11">
        <v>190</v>
      </c>
      <c r="K71" s="11">
        <v>222</v>
      </c>
      <c r="L71" s="11">
        <v>339</v>
      </c>
      <c r="M71" s="11">
        <v>505</v>
      </c>
      <c r="N71" s="11">
        <v>521</v>
      </c>
      <c r="O71" s="12">
        <v>45</v>
      </c>
    </row>
    <row r="72" spans="1:15" ht="19.2" x14ac:dyDescent="0.3">
      <c r="A72" s="10" t="s">
        <v>92</v>
      </c>
      <c r="B72" s="11">
        <v>186</v>
      </c>
      <c r="C72" s="11">
        <v>255</v>
      </c>
      <c r="D72" s="11">
        <v>135</v>
      </c>
      <c r="E72" s="11">
        <v>177</v>
      </c>
      <c r="F72" s="11">
        <v>244</v>
      </c>
      <c r="G72" s="97">
        <v>277</v>
      </c>
      <c r="H72" s="11">
        <v>28</v>
      </c>
      <c r="I72" s="11">
        <v>260</v>
      </c>
      <c r="J72" s="11">
        <v>206</v>
      </c>
      <c r="K72" s="11">
        <v>198</v>
      </c>
      <c r="L72" s="11">
        <v>334</v>
      </c>
      <c r="M72" s="11">
        <v>397</v>
      </c>
      <c r="N72" s="11">
        <v>415</v>
      </c>
      <c r="O72" s="12">
        <v>55</v>
      </c>
    </row>
    <row r="73" spans="1:15" ht="19.2" x14ac:dyDescent="0.3">
      <c r="A73" s="10" t="s">
        <v>93</v>
      </c>
      <c r="B73" s="11">
        <v>264</v>
      </c>
      <c r="C73" s="11">
        <v>236</v>
      </c>
      <c r="D73" s="11">
        <v>66</v>
      </c>
      <c r="E73" s="11">
        <v>116</v>
      </c>
      <c r="F73" s="11">
        <v>208</v>
      </c>
      <c r="G73" s="97">
        <v>266</v>
      </c>
      <c r="H73" s="11">
        <v>32</v>
      </c>
      <c r="I73" s="11">
        <v>325</v>
      </c>
      <c r="J73" s="11">
        <v>190</v>
      </c>
      <c r="K73" s="11">
        <v>150</v>
      </c>
      <c r="L73" s="11">
        <v>283</v>
      </c>
      <c r="M73" s="11">
        <v>315</v>
      </c>
      <c r="N73" s="11">
        <v>461</v>
      </c>
      <c r="O73" s="12">
        <v>49</v>
      </c>
    </row>
    <row r="74" spans="1:15" ht="19.2" x14ac:dyDescent="0.3">
      <c r="A74" s="10" t="s">
        <v>94</v>
      </c>
      <c r="B74" s="11">
        <v>159</v>
      </c>
      <c r="C74" s="11">
        <v>180</v>
      </c>
      <c r="D74" s="11">
        <v>72</v>
      </c>
      <c r="E74" s="11">
        <v>100</v>
      </c>
      <c r="F74" s="11">
        <v>177</v>
      </c>
      <c r="G74" s="97">
        <v>189</v>
      </c>
      <c r="H74" s="11">
        <v>62</v>
      </c>
      <c r="I74" s="11">
        <v>567</v>
      </c>
      <c r="J74" s="11">
        <v>300</v>
      </c>
      <c r="K74" s="11">
        <v>282</v>
      </c>
      <c r="L74" s="11">
        <v>486</v>
      </c>
      <c r="M74" s="11">
        <v>557</v>
      </c>
      <c r="N74" s="11">
        <v>565</v>
      </c>
      <c r="O74" s="12">
        <v>38</v>
      </c>
    </row>
    <row r="75" spans="1:15" x14ac:dyDescent="0.3">
      <c r="A75" s="8" t="s">
        <v>95</v>
      </c>
      <c r="B75" s="230">
        <v>209</v>
      </c>
      <c r="C75" s="230">
        <v>231</v>
      </c>
      <c r="D75" s="230">
        <v>94</v>
      </c>
      <c r="E75" s="230">
        <v>174</v>
      </c>
      <c r="F75" s="230">
        <v>223</v>
      </c>
      <c r="G75" s="229">
        <v>248</v>
      </c>
      <c r="H75" s="230">
        <v>6</v>
      </c>
      <c r="I75" s="230">
        <v>287</v>
      </c>
      <c r="J75" s="230">
        <v>191</v>
      </c>
      <c r="K75" s="230">
        <v>187</v>
      </c>
      <c r="L75" s="230">
        <v>449</v>
      </c>
      <c r="M75" s="230">
        <v>548</v>
      </c>
      <c r="N75" s="230">
        <v>546</v>
      </c>
      <c r="O75" s="234">
        <v>5</v>
      </c>
    </row>
    <row r="76" spans="1:15" ht="19.2" x14ac:dyDescent="0.3">
      <c r="A76" s="8" t="s">
        <v>6</v>
      </c>
      <c r="B76" s="230"/>
      <c r="C76" s="230"/>
      <c r="D76" s="230"/>
      <c r="E76" s="230"/>
      <c r="F76" s="230"/>
      <c r="G76" s="229"/>
      <c r="H76" s="230"/>
      <c r="I76" s="230"/>
      <c r="J76" s="230"/>
      <c r="K76" s="230"/>
      <c r="L76" s="230"/>
      <c r="M76" s="230"/>
      <c r="N76" s="230"/>
      <c r="O76" s="234"/>
    </row>
    <row r="77" spans="1:15" ht="19.2" x14ac:dyDescent="0.3">
      <c r="A77" s="10" t="s">
        <v>96</v>
      </c>
      <c r="B77" s="11">
        <v>148</v>
      </c>
      <c r="C77" s="11">
        <v>152</v>
      </c>
      <c r="D77" s="11">
        <v>56</v>
      </c>
      <c r="E77" s="11">
        <v>81</v>
      </c>
      <c r="F77" s="11">
        <v>139</v>
      </c>
      <c r="G77" s="97">
        <v>171</v>
      </c>
      <c r="H77" s="11">
        <v>68</v>
      </c>
      <c r="I77" s="11">
        <v>307</v>
      </c>
      <c r="J77" s="11">
        <v>254</v>
      </c>
      <c r="K77" s="11">
        <v>150</v>
      </c>
      <c r="L77" s="11">
        <v>360</v>
      </c>
      <c r="M77" s="11">
        <v>379</v>
      </c>
      <c r="N77" s="11">
        <v>425</v>
      </c>
      <c r="O77" s="12">
        <v>52</v>
      </c>
    </row>
    <row r="78" spans="1:15" ht="19.2" x14ac:dyDescent="0.3">
      <c r="A78" s="10" t="s">
        <v>97</v>
      </c>
      <c r="B78" s="11">
        <v>253</v>
      </c>
      <c r="C78" s="11">
        <v>301</v>
      </c>
      <c r="D78" s="11">
        <v>127</v>
      </c>
      <c r="E78" s="11">
        <v>215</v>
      </c>
      <c r="F78" s="11">
        <v>283</v>
      </c>
      <c r="G78" s="97">
        <v>325</v>
      </c>
      <c r="H78" s="11">
        <v>17</v>
      </c>
      <c r="I78" s="11">
        <v>377</v>
      </c>
      <c r="J78" s="11">
        <v>210</v>
      </c>
      <c r="K78" s="11">
        <v>230</v>
      </c>
      <c r="L78" s="11">
        <v>425</v>
      </c>
      <c r="M78" s="11">
        <v>554</v>
      </c>
      <c r="N78" s="11">
        <v>589</v>
      </c>
      <c r="O78" s="12">
        <v>36</v>
      </c>
    </row>
    <row r="79" spans="1:15" ht="19.2" x14ac:dyDescent="0.3">
      <c r="A79" s="10" t="s">
        <v>98</v>
      </c>
      <c r="B79" s="11">
        <v>160</v>
      </c>
      <c r="C79" s="11">
        <v>168</v>
      </c>
      <c r="D79" s="11">
        <v>60</v>
      </c>
      <c r="E79" s="11">
        <v>150</v>
      </c>
      <c r="F79" s="11">
        <v>170</v>
      </c>
      <c r="G79" s="97">
        <v>200</v>
      </c>
      <c r="H79" s="11"/>
      <c r="I79" s="11">
        <v>279</v>
      </c>
      <c r="J79" s="11">
        <v>243</v>
      </c>
      <c r="K79" s="11">
        <v>245</v>
      </c>
      <c r="L79" s="11">
        <v>742</v>
      </c>
      <c r="M79" s="11">
        <v>892</v>
      </c>
      <c r="N79" s="11">
        <v>809</v>
      </c>
      <c r="O79" s="12"/>
    </row>
    <row r="80" spans="1:15" ht="19.2" x14ac:dyDescent="0.3">
      <c r="A80" s="14" t="s">
        <v>42</v>
      </c>
      <c r="B80" s="11"/>
      <c r="C80" s="11"/>
      <c r="D80" s="11"/>
      <c r="E80" s="11"/>
      <c r="F80" s="11"/>
      <c r="G80" s="97"/>
      <c r="H80" s="11"/>
      <c r="I80" s="11"/>
      <c r="J80" s="11"/>
      <c r="K80" s="11"/>
      <c r="L80" s="11"/>
      <c r="M80" s="11"/>
      <c r="N80" s="11"/>
      <c r="O80" s="12"/>
    </row>
    <row r="81" spans="1:15" ht="48" x14ac:dyDescent="0.3">
      <c r="A81" s="78" t="s">
        <v>1069</v>
      </c>
      <c r="B81" s="11">
        <v>136</v>
      </c>
      <c r="C81" s="11">
        <v>158</v>
      </c>
      <c r="D81" s="11">
        <v>31</v>
      </c>
      <c r="E81" s="11">
        <v>72</v>
      </c>
      <c r="F81" s="11">
        <v>135</v>
      </c>
      <c r="G81" s="97">
        <v>162</v>
      </c>
      <c r="H81" s="11">
        <v>70</v>
      </c>
      <c r="I81" s="11">
        <v>291</v>
      </c>
      <c r="J81" s="11">
        <v>182</v>
      </c>
      <c r="K81" s="11">
        <v>76</v>
      </c>
      <c r="L81" s="11">
        <v>225</v>
      </c>
      <c r="M81" s="11">
        <v>307</v>
      </c>
      <c r="N81" s="11">
        <v>278</v>
      </c>
      <c r="O81" s="12">
        <v>71</v>
      </c>
    </row>
    <row r="82" spans="1:15" ht="38.4" x14ac:dyDescent="0.3">
      <c r="A82" s="15" t="s">
        <v>101</v>
      </c>
      <c r="B82" s="11" t="s">
        <v>44</v>
      </c>
      <c r="C82" s="11" t="s">
        <v>44</v>
      </c>
      <c r="D82" s="11" t="s">
        <v>44</v>
      </c>
      <c r="E82" s="11" t="s">
        <v>44</v>
      </c>
      <c r="F82" s="11" t="s">
        <v>44</v>
      </c>
      <c r="G82" s="97" t="s">
        <v>44</v>
      </c>
      <c r="H82" s="11"/>
      <c r="I82" s="11">
        <v>281</v>
      </c>
      <c r="J82" s="11">
        <v>216</v>
      </c>
      <c r="K82" s="11">
        <v>284</v>
      </c>
      <c r="L82" s="11">
        <v>444</v>
      </c>
      <c r="M82" s="11">
        <v>459</v>
      </c>
      <c r="N82" s="11">
        <v>490</v>
      </c>
      <c r="O82" s="12">
        <v>48</v>
      </c>
    </row>
    <row r="83" spans="1:15" ht="38.4" x14ac:dyDescent="0.3">
      <c r="A83" s="10" t="s">
        <v>922</v>
      </c>
      <c r="B83" s="11">
        <v>250</v>
      </c>
      <c r="C83" s="11">
        <v>238</v>
      </c>
      <c r="D83" s="11">
        <v>111</v>
      </c>
      <c r="E83" s="11">
        <v>283</v>
      </c>
      <c r="F83" s="11">
        <v>262</v>
      </c>
      <c r="G83" s="97">
        <v>304</v>
      </c>
      <c r="H83" s="11">
        <v>23</v>
      </c>
      <c r="I83" s="11">
        <v>263</v>
      </c>
      <c r="J83" s="11">
        <v>319</v>
      </c>
      <c r="K83" s="11">
        <v>413</v>
      </c>
      <c r="L83" s="11">
        <v>1389</v>
      </c>
      <c r="M83" s="11">
        <v>1658</v>
      </c>
      <c r="N83" s="13">
        <v>1485</v>
      </c>
      <c r="O83" s="12">
        <v>10</v>
      </c>
    </row>
    <row r="84" spans="1:15" ht="19.2" x14ac:dyDescent="0.3">
      <c r="A84" s="10" t="s">
        <v>103</v>
      </c>
      <c r="B84" s="11">
        <v>217</v>
      </c>
      <c r="C84" s="11">
        <v>229</v>
      </c>
      <c r="D84" s="11">
        <v>99</v>
      </c>
      <c r="E84" s="11">
        <v>170</v>
      </c>
      <c r="F84" s="11">
        <v>226</v>
      </c>
      <c r="G84" s="97">
        <v>225</v>
      </c>
      <c r="H84" s="11">
        <v>51</v>
      </c>
      <c r="I84" s="11">
        <v>178</v>
      </c>
      <c r="J84" s="11">
        <v>98</v>
      </c>
      <c r="K84" s="11">
        <v>80</v>
      </c>
      <c r="L84" s="11">
        <v>173</v>
      </c>
      <c r="M84" s="11">
        <v>191</v>
      </c>
      <c r="N84" s="11">
        <v>221</v>
      </c>
      <c r="O84" s="12">
        <v>77</v>
      </c>
    </row>
    <row r="85" spans="1:15" x14ac:dyDescent="0.3">
      <c r="A85" s="8" t="s">
        <v>104</v>
      </c>
      <c r="B85" s="230">
        <v>243</v>
      </c>
      <c r="C85" s="230">
        <v>263</v>
      </c>
      <c r="D85" s="230">
        <v>108</v>
      </c>
      <c r="E85" s="230">
        <v>186</v>
      </c>
      <c r="F85" s="230">
        <v>271</v>
      </c>
      <c r="G85" s="229">
        <v>299</v>
      </c>
      <c r="H85" s="230">
        <v>3</v>
      </c>
      <c r="I85" s="230">
        <v>381</v>
      </c>
      <c r="J85" s="230">
        <v>247</v>
      </c>
      <c r="K85" s="230">
        <v>190</v>
      </c>
      <c r="L85" s="230">
        <v>342</v>
      </c>
      <c r="M85" s="230">
        <v>432</v>
      </c>
      <c r="N85" s="230">
        <v>459</v>
      </c>
      <c r="O85" s="234">
        <v>6</v>
      </c>
    </row>
    <row r="86" spans="1:15" ht="19.2" x14ac:dyDescent="0.3">
      <c r="A86" s="8" t="s">
        <v>6</v>
      </c>
      <c r="B86" s="230"/>
      <c r="C86" s="230"/>
      <c r="D86" s="230"/>
      <c r="E86" s="230"/>
      <c r="F86" s="230"/>
      <c r="G86" s="229"/>
      <c r="H86" s="230"/>
      <c r="I86" s="230"/>
      <c r="J86" s="230"/>
      <c r="K86" s="230"/>
      <c r="L86" s="230"/>
      <c r="M86" s="230"/>
      <c r="N86" s="230"/>
      <c r="O86" s="234"/>
    </row>
    <row r="87" spans="1:15" ht="19.2" x14ac:dyDescent="0.3">
      <c r="A87" s="10" t="s">
        <v>105</v>
      </c>
      <c r="B87" s="11">
        <v>39</v>
      </c>
      <c r="C87" s="11">
        <v>86</v>
      </c>
      <c r="D87" s="11">
        <v>30</v>
      </c>
      <c r="E87" s="11">
        <v>65</v>
      </c>
      <c r="F87" s="11">
        <v>76</v>
      </c>
      <c r="G87" s="97">
        <v>135</v>
      </c>
      <c r="H87" s="11">
        <v>74</v>
      </c>
      <c r="I87" s="11">
        <v>25</v>
      </c>
      <c r="J87" s="11">
        <v>156</v>
      </c>
      <c r="K87" s="11">
        <v>51</v>
      </c>
      <c r="L87" s="11">
        <v>244</v>
      </c>
      <c r="M87" s="11">
        <v>312</v>
      </c>
      <c r="N87" s="11">
        <v>345</v>
      </c>
      <c r="O87" s="12">
        <v>65</v>
      </c>
    </row>
    <row r="88" spans="1:15" ht="19.2" x14ac:dyDescent="0.3">
      <c r="A88" s="10" t="s">
        <v>106</v>
      </c>
      <c r="B88" s="11">
        <v>48</v>
      </c>
      <c r="C88" s="11">
        <v>97</v>
      </c>
      <c r="D88" s="11">
        <v>77</v>
      </c>
      <c r="E88" s="11">
        <v>236</v>
      </c>
      <c r="F88" s="11">
        <v>315</v>
      </c>
      <c r="G88" s="97">
        <v>420</v>
      </c>
      <c r="H88" s="11">
        <v>4</v>
      </c>
      <c r="I88" s="11">
        <v>148</v>
      </c>
      <c r="J88" s="11">
        <v>81</v>
      </c>
      <c r="K88" s="11">
        <v>54</v>
      </c>
      <c r="L88" s="11">
        <v>146</v>
      </c>
      <c r="M88" s="11">
        <v>143</v>
      </c>
      <c r="N88" s="11">
        <v>158</v>
      </c>
      <c r="O88" s="12">
        <v>84</v>
      </c>
    </row>
    <row r="89" spans="1:15" ht="19.2" x14ac:dyDescent="0.3">
      <c r="A89" s="10" t="s">
        <v>107</v>
      </c>
      <c r="B89" s="11">
        <v>181</v>
      </c>
      <c r="C89" s="11">
        <v>248</v>
      </c>
      <c r="D89" s="11">
        <v>90</v>
      </c>
      <c r="E89" s="11">
        <v>203</v>
      </c>
      <c r="F89" s="11">
        <v>210</v>
      </c>
      <c r="G89" s="97">
        <v>258</v>
      </c>
      <c r="H89" s="11">
        <v>36</v>
      </c>
      <c r="I89" s="11">
        <v>439</v>
      </c>
      <c r="J89" s="11">
        <v>390</v>
      </c>
      <c r="K89" s="11">
        <v>317</v>
      </c>
      <c r="L89" s="11">
        <v>600</v>
      </c>
      <c r="M89" s="11">
        <v>677</v>
      </c>
      <c r="N89" s="11">
        <v>695</v>
      </c>
      <c r="O89" s="12">
        <v>30</v>
      </c>
    </row>
    <row r="90" spans="1:15" ht="19.2" x14ac:dyDescent="0.3">
      <c r="A90" s="10" t="s">
        <v>108</v>
      </c>
      <c r="B90" s="11">
        <v>157</v>
      </c>
      <c r="C90" s="11">
        <v>167</v>
      </c>
      <c r="D90" s="11">
        <v>80</v>
      </c>
      <c r="E90" s="11">
        <v>150</v>
      </c>
      <c r="F90" s="11">
        <v>220</v>
      </c>
      <c r="G90" s="97">
        <v>234</v>
      </c>
      <c r="H90" s="11">
        <v>47</v>
      </c>
      <c r="I90" s="11">
        <v>244</v>
      </c>
      <c r="J90" s="11">
        <v>101</v>
      </c>
      <c r="K90" s="11">
        <v>97</v>
      </c>
      <c r="L90" s="11">
        <v>202</v>
      </c>
      <c r="M90" s="11">
        <v>222</v>
      </c>
      <c r="N90" s="11">
        <v>228</v>
      </c>
      <c r="O90" s="12">
        <v>76</v>
      </c>
    </row>
    <row r="91" spans="1:15" ht="19.2" x14ac:dyDescent="0.3">
      <c r="A91" s="10" t="s">
        <v>109</v>
      </c>
      <c r="B91" s="11">
        <v>291</v>
      </c>
      <c r="C91" s="11">
        <v>318</v>
      </c>
      <c r="D91" s="11">
        <v>124</v>
      </c>
      <c r="E91" s="11">
        <v>209</v>
      </c>
      <c r="F91" s="11">
        <v>357</v>
      </c>
      <c r="G91" s="97">
        <v>385</v>
      </c>
      <c r="H91" s="11">
        <v>7</v>
      </c>
      <c r="I91" s="11">
        <v>610</v>
      </c>
      <c r="J91" s="11">
        <v>395</v>
      </c>
      <c r="K91" s="11">
        <v>237</v>
      </c>
      <c r="L91" s="11">
        <v>497</v>
      </c>
      <c r="M91" s="11">
        <v>695</v>
      </c>
      <c r="N91" s="11">
        <v>736</v>
      </c>
      <c r="O91" s="12">
        <v>28</v>
      </c>
    </row>
    <row r="92" spans="1:15" ht="19.2" x14ac:dyDescent="0.3">
      <c r="A92" s="10" t="s">
        <v>110</v>
      </c>
      <c r="B92" s="11">
        <v>200</v>
      </c>
      <c r="C92" s="11">
        <v>239</v>
      </c>
      <c r="D92" s="11">
        <v>66</v>
      </c>
      <c r="E92" s="11">
        <v>118</v>
      </c>
      <c r="F92" s="11">
        <v>217</v>
      </c>
      <c r="G92" s="97">
        <v>251</v>
      </c>
      <c r="H92" s="11">
        <v>40</v>
      </c>
      <c r="I92" s="11">
        <v>403</v>
      </c>
      <c r="J92" s="11">
        <v>265</v>
      </c>
      <c r="K92" s="11">
        <v>148</v>
      </c>
      <c r="L92" s="11">
        <v>239</v>
      </c>
      <c r="M92" s="11">
        <v>354</v>
      </c>
      <c r="N92" s="11">
        <v>357</v>
      </c>
      <c r="O92" s="12">
        <v>63</v>
      </c>
    </row>
    <row r="93" spans="1:15" ht="19.2" x14ac:dyDescent="0.3">
      <c r="A93" s="10" t="s">
        <v>111</v>
      </c>
      <c r="B93" s="11">
        <v>149</v>
      </c>
      <c r="C93" s="11">
        <v>193</v>
      </c>
      <c r="D93" s="11">
        <v>67</v>
      </c>
      <c r="E93" s="11">
        <v>148</v>
      </c>
      <c r="F93" s="11">
        <v>173</v>
      </c>
      <c r="G93" s="97">
        <v>178</v>
      </c>
      <c r="H93" s="11">
        <v>64</v>
      </c>
      <c r="I93" s="11">
        <v>465</v>
      </c>
      <c r="J93" s="11">
        <v>278</v>
      </c>
      <c r="K93" s="11">
        <v>320</v>
      </c>
      <c r="L93" s="11">
        <v>448</v>
      </c>
      <c r="M93" s="11">
        <v>475</v>
      </c>
      <c r="N93" s="11">
        <v>496</v>
      </c>
      <c r="O93" s="12">
        <v>47</v>
      </c>
    </row>
    <row r="94" spans="1:15" ht="19.2" x14ac:dyDescent="0.3">
      <c r="A94" s="10" t="s">
        <v>112</v>
      </c>
      <c r="B94" s="11">
        <v>352</v>
      </c>
      <c r="C94" s="11">
        <v>327</v>
      </c>
      <c r="D94" s="11">
        <v>173</v>
      </c>
      <c r="E94" s="11">
        <v>273</v>
      </c>
      <c r="F94" s="11">
        <v>335</v>
      </c>
      <c r="G94" s="97">
        <v>394</v>
      </c>
      <c r="H94" s="11">
        <v>5</v>
      </c>
      <c r="I94" s="11">
        <v>207</v>
      </c>
      <c r="J94" s="11">
        <v>141</v>
      </c>
      <c r="K94" s="11">
        <v>108</v>
      </c>
      <c r="L94" s="11">
        <v>178</v>
      </c>
      <c r="M94" s="11">
        <v>201</v>
      </c>
      <c r="N94" s="11">
        <v>261</v>
      </c>
      <c r="O94" s="12">
        <v>73</v>
      </c>
    </row>
    <row r="95" spans="1:15" ht="19.2" x14ac:dyDescent="0.3">
      <c r="A95" s="10" t="s">
        <v>113</v>
      </c>
      <c r="B95" s="11">
        <v>360</v>
      </c>
      <c r="C95" s="11">
        <v>354</v>
      </c>
      <c r="D95" s="11">
        <v>156</v>
      </c>
      <c r="E95" s="11">
        <v>227</v>
      </c>
      <c r="F95" s="11">
        <v>323</v>
      </c>
      <c r="G95" s="97">
        <v>342</v>
      </c>
      <c r="H95" s="11">
        <v>14</v>
      </c>
      <c r="I95" s="11">
        <v>423</v>
      </c>
      <c r="J95" s="11">
        <v>268</v>
      </c>
      <c r="K95" s="11">
        <v>231</v>
      </c>
      <c r="L95" s="11">
        <v>485</v>
      </c>
      <c r="M95" s="11">
        <v>608</v>
      </c>
      <c r="N95" s="11">
        <v>549</v>
      </c>
      <c r="O95" s="12">
        <v>41</v>
      </c>
    </row>
    <row r="96" spans="1:15" ht="19.2" x14ac:dyDescent="0.3">
      <c r="A96" s="10" t="s">
        <v>114</v>
      </c>
      <c r="B96" s="11">
        <v>284</v>
      </c>
      <c r="C96" s="11">
        <v>320</v>
      </c>
      <c r="D96" s="11">
        <v>99</v>
      </c>
      <c r="E96" s="11">
        <v>149</v>
      </c>
      <c r="F96" s="11">
        <v>299</v>
      </c>
      <c r="G96" s="97">
        <v>278</v>
      </c>
      <c r="H96" s="11">
        <v>27</v>
      </c>
      <c r="I96" s="11">
        <v>285</v>
      </c>
      <c r="J96" s="11">
        <v>274</v>
      </c>
      <c r="K96" s="11">
        <v>181</v>
      </c>
      <c r="L96" s="11">
        <v>307</v>
      </c>
      <c r="M96" s="11">
        <v>521</v>
      </c>
      <c r="N96" s="11">
        <v>683</v>
      </c>
      <c r="O96" s="12">
        <v>32</v>
      </c>
    </row>
    <row r="97" spans="1:15" ht="19.2" x14ac:dyDescent="0.3">
      <c r="A97" s="8" t="s">
        <v>115</v>
      </c>
      <c r="B97" s="230">
        <v>190</v>
      </c>
      <c r="C97" s="230">
        <v>233</v>
      </c>
      <c r="D97" s="230">
        <v>101</v>
      </c>
      <c r="E97" s="230">
        <v>176</v>
      </c>
      <c r="F97" s="230">
        <v>236</v>
      </c>
      <c r="G97" s="229">
        <v>260</v>
      </c>
      <c r="H97" s="230">
        <v>5</v>
      </c>
      <c r="I97" s="230">
        <v>377</v>
      </c>
      <c r="J97" s="230">
        <v>249</v>
      </c>
      <c r="K97" s="230">
        <v>192</v>
      </c>
      <c r="L97" s="230">
        <v>321</v>
      </c>
      <c r="M97" s="230">
        <v>366</v>
      </c>
      <c r="N97" s="230">
        <v>405</v>
      </c>
      <c r="O97" s="234">
        <v>7</v>
      </c>
    </row>
    <row r="98" spans="1:15" ht="19.2" x14ac:dyDescent="0.3">
      <c r="A98" s="8" t="s">
        <v>6</v>
      </c>
      <c r="B98" s="230"/>
      <c r="C98" s="230"/>
      <c r="D98" s="230"/>
      <c r="E98" s="230"/>
      <c r="F98" s="230"/>
      <c r="G98" s="229"/>
      <c r="H98" s="230"/>
      <c r="I98" s="230"/>
      <c r="J98" s="230"/>
      <c r="K98" s="230"/>
      <c r="L98" s="230"/>
      <c r="M98" s="230"/>
      <c r="N98" s="230"/>
      <c r="O98" s="234"/>
    </row>
    <row r="99" spans="1:15" ht="19.2" x14ac:dyDescent="0.3">
      <c r="A99" s="10" t="s">
        <v>116</v>
      </c>
      <c r="B99" s="11">
        <v>182</v>
      </c>
      <c r="C99" s="11">
        <v>236</v>
      </c>
      <c r="D99" s="11">
        <v>73</v>
      </c>
      <c r="E99" s="11">
        <v>158</v>
      </c>
      <c r="F99" s="11">
        <v>250</v>
      </c>
      <c r="G99" s="97">
        <v>263</v>
      </c>
      <c r="H99" s="11">
        <v>35</v>
      </c>
      <c r="I99" s="11">
        <v>436</v>
      </c>
      <c r="J99" s="11">
        <v>354</v>
      </c>
      <c r="K99" s="11">
        <v>198</v>
      </c>
      <c r="L99" s="11">
        <v>343</v>
      </c>
      <c r="M99" s="11">
        <v>378</v>
      </c>
      <c r="N99" s="11">
        <v>401</v>
      </c>
      <c r="O99" s="12">
        <v>58</v>
      </c>
    </row>
    <row r="100" spans="1:15" ht="28.8" x14ac:dyDescent="0.3">
      <c r="A100" s="10" t="s">
        <v>117</v>
      </c>
      <c r="B100" s="11">
        <v>183</v>
      </c>
      <c r="C100" s="11">
        <v>209</v>
      </c>
      <c r="D100" s="11">
        <v>68</v>
      </c>
      <c r="E100" s="11">
        <v>142</v>
      </c>
      <c r="F100" s="11">
        <v>194</v>
      </c>
      <c r="G100" s="97">
        <v>242</v>
      </c>
      <c r="H100" s="11">
        <v>44</v>
      </c>
      <c r="I100" s="11">
        <v>433</v>
      </c>
      <c r="J100" s="11">
        <v>284</v>
      </c>
      <c r="K100" s="11">
        <v>213</v>
      </c>
      <c r="L100" s="11">
        <v>413</v>
      </c>
      <c r="M100" s="11">
        <v>503</v>
      </c>
      <c r="N100" s="11">
        <v>500</v>
      </c>
      <c r="O100" s="12">
        <v>46</v>
      </c>
    </row>
    <row r="101" spans="1:15" ht="19.2" x14ac:dyDescent="0.3">
      <c r="A101" s="10" t="s">
        <v>118</v>
      </c>
      <c r="B101" s="11">
        <v>229</v>
      </c>
      <c r="C101" s="11">
        <v>265</v>
      </c>
      <c r="D101" s="11">
        <v>112</v>
      </c>
      <c r="E101" s="11">
        <v>211</v>
      </c>
      <c r="F101" s="11">
        <v>222</v>
      </c>
      <c r="G101" s="97">
        <v>276</v>
      </c>
      <c r="H101" s="11">
        <v>29</v>
      </c>
      <c r="I101" s="11">
        <v>195</v>
      </c>
      <c r="J101" s="11">
        <v>98</v>
      </c>
      <c r="K101" s="11">
        <v>113</v>
      </c>
      <c r="L101" s="11">
        <v>246</v>
      </c>
      <c r="M101" s="11">
        <v>301</v>
      </c>
      <c r="N101" s="11">
        <v>324</v>
      </c>
      <c r="O101" s="12">
        <v>67</v>
      </c>
    </row>
    <row r="102" spans="1:15" ht="19.2" x14ac:dyDescent="0.3">
      <c r="A102" s="10" t="s">
        <v>119</v>
      </c>
      <c r="B102" s="11">
        <v>186</v>
      </c>
      <c r="C102" s="11">
        <v>232</v>
      </c>
      <c r="D102" s="11">
        <v>118</v>
      </c>
      <c r="E102" s="11">
        <v>145</v>
      </c>
      <c r="F102" s="11">
        <v>263</v>
      </c>
      <c r="G102" s="97">
        <v>271</v>
      </c>
      <c r="H102" s="11">
        <v>30</v>
      </c>
      <c r="I102" s="11">
        <v>250</v>
      </c>
      <c r="J102" s="11">
        <v>186</v>
      </c>
      <c r="K102" s="11">
        <v>514</v>
      </c>
      <c r="L102" s="11">
        <v>553</v>
      </c>
      <c r="M102" s="11">
        <v>592</v>
      </c>
      <c r="N102" s="11">
        <v>548</v>
      </c>
      <c r="O102" s="12">
        <v>42</v>
      </c>
    </row>
    <row r="103" spans="1:15" ht="19.2" x14ac:dyDescent="0.3">
      <c r="A103" s="10" t="s">
        <v>120</v>
      </c>
      <c r="B103" s="11">
        <v>183</v>
      </c>
      <c r="C103" s="11">
        <v>275</v>
      </c>
      <c r="D103" s="11">
        <v>147</v>
      </c>
      <c r="E103" s="11">
        <v>230</v>
      </c>
      <c r="F103" s="11">
        <v>306</v>
      </c>
      <c r="G103" s="97">
        <v>318</v>
      </c>
      <c r="H103" s="11">
        <v>19</v>
      </c>
      <c r="I103" s="11">
        <v>484</v>
      </c>
      <c r="J103" s="11">
        <v>211</v>
      </c>
      <c r="K103" s="11">
        <v>88</v>
      </c>
      <c r="L103" s="11">
        <v>160</v>
      </c>
      <c r="M103" s="11">
        <v>176</v>
      </c>
      <c r="N103" s="11">
        <v>235</v>
      </c>
      <c r="O103" s="12">
        <v>75</v>
      </c>
    </row>
    <row r="104" spans="1:15" ht="19.2" x14ac:dyDescent="0.3">
      <c r="A104" s="10" t="s">
        <v>121</v>
      </c>
      <c r="B104" s="11">
        <v>222</v>
      </c>
      <c r="C104" s="11">
        <v>237</v>
      </c>
      <c r="D104" s="11">
        <v>104</v>
      </c>
      <c r="E104" s="11">
        <v>180</v>
      </c>
      <c r="F104" s="11">
        <v>236</v>
      </c>
      <c r="G104" s="97">
        <v>246</v>
      </c>
      <c r="H104" s="11">
        <v>41</v>
      </c>
      <c r="I104" s="11">
        <v>332</v>
      </c>
      <c r="J104" s="11">
        <v>238</v>
      </c>
      <c r="K104" s="11">
        <v>123</v>
      </c>
      <c r="L104" s="11">
        <v>232</v>
      </c>
      <c r="M104" s="11">
        <v>292</v>
      </c>
      <c r="N104" s="11">
        <v>302</v>
      </c>
      <c r="O104" s="12">
        <v>68</v>
      </c>
    </row>
    <row r="105" spans="1:15" ht="19.2" x14ac:dyDescent="0.3">
      <c r="A105" s="10" t="s">
        <v>122</v>
      </c>
      <c r="B105" s="11">
        <v>139</v>
      </c>
      <c r="C105" s="11">
        <v>176</v>
      </c>
      <c r="D105" s="11">
        <v>52</v>
      </c>
      <c r="E105" s="11">
        <v>107</v>
      </c>
      <c r="F105" s="11">
        <v>149</v>
      </c>
      <c r="G105" s="97">
        <v>172</v>
      </c>
      <c r="H105" s="11">
        <v>67</v>
      </c>
      <c r="I105" s="11">
        <v>407</v>
      </c>
      <c r="J105" s="11">
        <v>338</v>
      </c>
      <c r="K105" s="11">
        <v>256</v>
      </c>
      <c r="L105" s="11">
        <v>406</v>
      </c>
      <c r="M105" s="11">
        <v>439</v>
      </c>
      <c r="N105" s="11">
        <v>546</v>
      </c>
      <c r="O105" s="12">
        <v>43</v>
      </c>
    </row>
    <row r="106" spans="1:15" ht="19.2" x14ac:dyDescent="0.3">
      <c r="A106" s="10" t="s">
        <v>123</v>
      </c>
      <c r="B106" s="11">
        <v>282</v>
      </c>
      <c r="C106" s="11">
        <v>330</v>
      </c>
      <c r="D106" s="11">
        <v>139</v>
      </c>
      <c r="E106" s="11">
        <v>173</v>
      </c>
      <c r="F106" s="11">
        <v>292</v>
      </c>
      <c r="G106" s="97">
        <v>350</v>
      </c>
      <c r="H106" s="11">
        <v>10</v>
      </c>
      <c r="I106" s="11">
        <v>124</v>
      </c>
      <c r="J106" s="11">
        <v>57</v>
      </c>
      <c r="K106" s="11">
        <v>105</v>
      </c>
      <c r="L106" s="11">
        <v>152</v>
      </c>
      <c r="M106" s="11">
        <v>141</v>
      </c>
      <c r="N106" s="11">
        <v>196</v>
      </c>
      <c r="O106" s="12">
        <v>79</v>
      </c>
    </row>
    <row r="107" spans="1:15" ht="19.2" x14ac:dyDescent="0.3">
      <c r="A107" s="10" t="s">
        <v>124</v>
      </c>
      <c r="B107" s="11">
        <v>195</v>
      </c>
      <c r="C107" s="11">
        <v>172</v>
      </c>
      <c r="D107" s="11">
        <v>113</v>
      </c>
      <c r="E107" s="11">
        <v>182</v>
      </c>
      <c r="F107" s="11">
        <v>225</v>
      </c>
      <c r="G107" s="97">
        <v>246</v>
      </c>
      <c r="H107" s="11">
        <v>41</v>
      </c>
      <c r="I107" s="11">
        <v>403</v>
      </c>
      <c r="J107" s="11">
        <v>404</v>
      </c>
      <c r="K107" s="11">
        <v>644</v>
      </c>
      <c r="L107" s="11">
        <v>916</v>
      </c>
      <c r="M107" s="11">
        <v>994</v>
      </c>
      <c r="N107" s="13">
        <v>1077</v>
      </c>
      <c r="O107" s="12">
        <v>20</v>
      </c>
    </row>
    <row r="108" spans="1:15" ht="28.8" x14ac:dyDescent="0.3">
      <c r="A108" s="10" t="s">
        <v>125</v>
      </c>
      <c r="B108" s="11">
        <v>73</v>
      </c>
      <c r="C108" s="11">
        <v>74</v>
      </c>
      <c r="D108" s="11">
        <v>36</v>
      </c>
      <c r="E108" s="11">
        <v>155</v>
      </c>
      <c r="F108" s="11">
        <v>132</v>
      </c>
      <c r="G108" s="97">
        <v>138</v>
      </c>
      <c r="H108" s="11">
        <v>73</v>
      </c>
      <c r="I108" s="11">
        <v>209</v>
      </c>
      <c r="J108" s="11">
        <v>254</v>
      </c>
      <c r="K108" s="11">
        <v>76</v>
      </c>
      <c r="L108" s="11">
        <v>118</v>
      </c>
      <c r="M108" s="11">
        <v>174</v>
      </c>
      <c r="N108" s="11">
        <v>180</v>
      </c>
      <c r="O108" s="12">
        <v>82</v>
      </c>
    </row>
    <row r="109" spans="1:15" ht="28.8" x14ac:dyDescent="0.3">
      <c r="A109" s="10" t="s">
        <v>126</v>
      </c>
      <c r="B109" s="11" t="s">
        <v>44</v>
      </c>
      <c r="C109" s="11" t="s">
        <v>44</v>
      </c>
      <c r="D109" s="11" t="s">
        <v>44</v>
      </c>
      <c r="E109" s="11" t="s">
        <v>44</v>
      </c>
      <c r="F109" s="11" t="s">
        <v>44</v>
      </c>
      <c r="G109" s="97" t="s">
        <v>44</v>
      </c>
      <c r="H109" s="11"/>
      <c r="I109" s="11">
        <v>601</v>
      </c>
      <c r="J109" s="11">
        <v>493</v>
      </c>
      <c r="K109" s="11">
        <v>416</v>
      </c>
      <c r="L109" s="11">
        <v>691</v>
      </c>
      <c r="M109" s="11">
        <v>581</v>
      </c>
      <c r="N109" s="13">
        <v>1162</v>
      </c>
      <c r="O109" s="12">
        <v>16</v>
      </c>
    </row>
    <row r="110" spans="1:15" x14ac:dyDescent="0.3">
      <c r="A110" s="44" t="s">
        <v>127</v>
      </c>
      <c r="B110" s="45"/>
      <c r="C110" s="45"/>
      <c r="D110" s="45"/>
      <c r="E110" s="45"/>
      <c r="F110" s="45"/>
      <c r="G110" s="99"/>
      <c r="H110" s="45"/>
      <c r="I110" s="45"/>
      <c r="J110" s="45"/>
      <c r="K110" s="45"/>
      <c r="L110" s="45"/>
      <c r="M110" s="45"/>
      <c r="N110" s="45"/>
      <c r="O110" s="46"/>
    </row>
    <row r="111" spans="1:15" ht="14.4" customHeight="1" x14ac:dyDescent="0.3">
      <c r="A111" s="47" t="s">
        <v>128</v>
      </c>
      <c r="B111" s="48"/>
      <c r="C111" s="48"/>
      <c r="D111" s="48"/>
      <c r="E111" s="48"/>
      <c r="F111" s="48"/>
      <c r="G111" s="100"/>
      <c r="H111" s="48"/>
      <c r="I111" s="48"/>
      <c r="J111" s="48"/>
      <c r="K111" s="48"/>
      <c r="L111" s="48"/>
      <c r="M111" s="48"/>
      <c r="N111" s="48"/>
      <c r="O111" s="49"/>
    </row>
    <row r="112" spans="1:15" ht="15" customHeight="1" thickBot="1" x14ac:dyDescent="0.35">
      <c r="A112" s="50" t="s">
        <v>129</v>
      </c>
      <c r="B112" s="51"/>
      <c r="C112" s="51"/>
      <c r="D112" s="51"/>
      <c r="E112" s="51"/>
      <c r="F112" s="51"/>
      <c r="G112" s="101"/>
      <c r="H112" s="51"/>
      <c r="I112" s="51"/>
      <c r="J112" s="51"/>
      <c r="K112" s="51"/>
      <c r="L112" s="51"/>
      <c r="M112" s="51"/>
      <c r="N112" s="51"/>
      <c r="O112" s="52"/>
    </row>
  </sheetData>
  <mergeCells count="114">
    <mergeCell ref="A1:O1"/>
    <mergeCell ref="M97:M98"/>
    <mergeCell ref="N97:N98"/>
    <mergeCell ref="O97:O98"/>
    <mergeCell ref="G97:G98"/>
    <mergeCell ref="H97:H98"/>
    <mergeCell ref="I97:I98"/>
    <mergeCell ref="J97:J98"/>
    <mergeCell ref="K97:K98"/>
    <mergeCell ref="L97:L98"/>
    <mergeCell ref="K85:K86"/>
    <mergeCell ref="L85:L86"/>
    <mergeCell ref="M85:M86"/>
    <mergeCell ref="N85:N86"/>
    <mergeCell ref="O85:O86"/>
    <mergeCell ref="B97:B98"/>
    <mergeCell ref="C97:C98"/>
    <mergeCell ref="D97:D98"/>
    <mergeCell ref="E97:E98"/>
    <mergeCell ref="F97:F98"/>
    <mergeCell ref="B85:B86"/>
    <mergeCell ref="C85:C86"/>
    <mergeCell ref="D85:D86"/>
    <mergeCell ref="E85:E86"/>
    <mergeCell ref="F85:F86"/>
    <mergeCell ref="G85:G86"/>
    <mergeCell ref="H85:H86"/>
    <mergeCell ref="I85:I86"/>
    <mergeCell ref="J85:J86"/>
    <mergeCell ref="K59:K60"/>
    <mergeCell ref="L59:L60"/>
    <mergeCell ref="M59:M60"/>
    <mergeCell ref="N59:N60"/>
    <mergeCell ref="K75:K76"/>
    <mergeCell ref="L75:L76"/>
    <mergeCell ref="M75:M76"/>
    <mergeCell ref="N75:N76"/>
    <mergeCell ref="O75:O76"/>
    <mergeCell ref="B75:B76"/>
    <mergeCell ref="C75:C76"/>
    <mergeCell ref="D75:D76"/>
    <mergeCell ref="E75:E76"/>
    <mergeCell ref="F75:F76"/>
    <mergeCell ref="G75:G76"/>
    <mergeCell ref="H75:H76"/>
    <mergeCell ref="I75:I76"/>
    <mergeCell ref="J75:J76"/>
    <mergeCell ref="B50:B51"/>
    <mergeCell ref="C50:C51"/>
    <mergeCell ref="D50:D51"/>
    <mergeCell ref="E50:E51"/>
    <mergeCell ref="F50:F51"/>
    <mergeCell ref="M50:M51"/>
    <mergeCell ref="N50:N51"/>
    <mergeCell ref="O50:O51"/>
    <mergeCell ref="B59:B60"/>
    <mergeCell ref="C59:C60"/>
    <mergeCell ref="D59:D60"/>
    <mergeCell ref="E59:E60"/>
    <mergeCell ref="F59:F60"/>
    <mergeCell ref="G59:G60"/>
    <mergeCell ref="H59:H60"/>
    <mergeCell ref="G50:G51"/>
    <mergeCell ref="H50:H51"/>
    <mergeCell ref="I50:I51"/>
    <mergeCell ref="J50:J51"/>
    <mergeCell ref="K50:K51"/>
    <mergeCell ref="L50:L51"/>
    <mergeCell ref="O59:O60"/>
    <mergeCell ref="I59:I60"/>
    <mergeCell ref="J59:J60"/>
    <mergeCell ref="K40:K41"/>
    <mergeCell ref="L40:L41"/>
    <mergeCell ref="M40:M41"/>
    <mergeCell ref="N40:N41"/>
    <mergeCell ref="O40:O41"/>
    <mergeCell ref="B25:B26"/>
    <mergeCell ref="C25:C26"/>
    <mergeCell ref="D25:D26"/>
    <mergeCell ref="B40:B41"/>
    <mergeCell ref="C40:C41"/>
    <mergeCell ref="D40:D41"/>
    <mergeCell ref="E40:E41"/>
    <mergeCell ref="F40:F41"/>
    <mergeCell ref="G40:G41"/>
    <mergeCell ref="H40:H41"/>
    <mergeCell ref="I40:I41"/>
    <mergeCell ref="J40:J41"/>
    <mergeCell ref="E25:E26"/>
    <mergeCell ref="F25:F26"/>
    <mergeCell ref="G25:G26"/>
    <mergeCell ref="H25:H26"/>
    <mergeCell ref="O25:O26"/>
    <mergeCell ref="I25:I26"/>
    <mergeCell ref="J25:J26"/>
    <mergeCell ref="K25:K26"/>
    <mergeCell ref="L25:L26"/>
    <mergeCell ref="G5:G6"/>
    <mergeCell ref="H5:H6"/>
    <mergeCell ref="I2:O2"/>
    <mergeCell ref="B5:B6"/>
    <mergeCell ref="C5:C6"/>
    <mergeCell ref="D5:D6"/>
    <mergeCell ref="E5:E6"/>
    <mergeCell ref="F5:F6"/>
    <mergeCell ref="M5:M6"/>
    <mergeCell ref="N5:N6"/>
    <mergeCell ref="O5:O6"/>
    <mergeCell ref="I5:I6"/>
    <mergeCell ref="J5:J6"/>
    <mergeCell ref="K5:K6"/>
    <mergeCell ref="L5:L6"/>
    <mergeCell ref="M25:M26"/>
    <mergeCell ref="N25:N2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B3AD8-87B6-4092-9C0E-8A59E891127E}">
  <dimension ref="A1:Z112"/>
  <sheetViews>
    <sheetView workbookViewId="0">
      <selection activeCell="G11" sqref="G11"/>
    </sheetView>
  </sheetViews>
  <sheetFormatPr defaultRowHeight="14.4" x14ac:dyDescent="0.3"/>
  <sheetData>
    <row r="1" spans="1:26" ht="15" thickBot="1" x14ac:dyDescent="0.35">
      <c r="A1" s="249" t="s">
        <v>497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249"/>
      <c r="R1" s="249"/>
      <c r="S1" s="249"/>
      <c r="T1" s="249"/>
      <c r="U1" s="249"/>
      <c r="V1" s="249"/>
      <c r="W1" s="249"/>
      <c r="X1" s="249"/>
      <c r="Y1" s="249"/>
      <c r="Z1" s="249"/>
    </row>
    <row r="2" spans="1:26" ht="15" thickBot="1" x14ac:dyDescent="0.35">
      <c r="A2" s="239"/>
      <c r="B2" s="242" t="s">
        <v>130</v>
      </c>
      <c r="C2" s="243"/>
      <c r="D2" s="243"/>
      <c r="E2" s="243"/>
      <c r="F2" s="243"/>
      <c r="G2" s="244"/>
      <c r="H2" s="242" t="s">
        <v>132</v>
      </c>
      <c r="I2" s="243"/>
      <c r="J2" s="243"/>
      <c r="K2" s="243"/>
      <c r="L2" s="243"/>
      <c r="M2" s="244"/>
      <c r="N2" s="24"/>
    </row>
    <row r="3" spans="1:26" ht="15" thickBot="1" x14ac:dyDescent="0.35">
      <c r="A3" s="240"/>
      <c r="B3" s="245" t="s">
        <v>131</v>
      </c>
      <c r="C3" s="246"/>
      <c r="D3" s="246"/>
      <c r="E3" s="246"/>
      <c r="F3" s="246"/>
      <c r="G3" s="247"/>
      <c r="H3" s="245" t="s">
        <v>133</v>
      </c>
      <c r="I3" s="246"/>
      <c r="J3" s="246"/>
      <c r="K3" s="246"/>
      <c r="L3" s="246"/>
      <c r="M3" s="247"/>
      <c r="N3" s="231" t="s">
        <v>263</v>
      </c>
      <c r="O3" s="232"/>
      <c r="P3" s="232"/>
      <c r="Q3" s="232"/>
      <c r="R3" s="232"/>
      <c r="S3" s="233"/>
      <c r="T3" s="231" t="s">
        <v>264</v>
      </c>
      <c r="U3" s="232"/>
      <c r="V3" s="232"/>
      <c r="W3" s="232"/>
      <c r="X3" s="232"/>
      <c r="Y3" s="233"/>
      <c r="Z3" s="239"/>
    </row>
    <row r="4" spans="1:26" ht="15" thickBot="1" x14ac:dyDescent="0.35">
      <c r="A4" s="241"/>
      <c r="B4" s="21">
        <v>2010</v>
      </c>
      <c r="C4" s="19">
        <v>2015</v>
      </c>
      <c r="D4" s="4">
        <v>2020</v>
      </c>
      <c r="E4" s="4">
        <v>2021</v>
      </c>
      <c r="F4" s="4">
        <v>2022</v>
      </c>
      <c r="G4" s="4">
        <v>2023</v>
      </c>
      <c r="H4" s="4">
        <v>2010</v>
      </c>
      <c r="I4" s="4">
        <v>2015</v>
      </c>
      <c r="J4" s="4">
        <v>2020</v>
      </c>
      <c r="K4" s="4">
        <v>2021</v>
      </c>
      <c r="L4" s="4">
        <v>2022</v>
      </c>
      <c r="M4" s="4">
        <v>2023</v>
      </c>
      <c r="N4" s="19">
        <v>2010</v>
      </c>
      <c r="O4" s="4">
        <v>2015</v>
      </c>
      <c r="P4" s="4">
        <v>2020</v>
      </c>
      <c r="Q4" s="4">
        <v>2021</v>
      </c>
      <c r="R4" s="4">
        <v>2022</v>
      </c>
      <c r="S4" s="4">
        <v>2023</v>
      </c>
      <c r="T4" s="4">
        <v>2010</v>
      </c>
      <c r="U4" s="4">
        <v>2015</v>
      </c>
      <c r="V4" s="4">
        <v>2020</v>
      </c>
      <c r="W4" s="4">
        <v>2021</v>
      </c>
      <c r="X4" s="4">
        <v>2022</v>
      </c>
      <c r="Y4" s="4">
        <v>2023</v>
      </c>
      <c r="Z4" s="241"/>
    </row>
    <row r="5" spans="1:26" ht="19.2" x14ac:dyDescent="0.3">
      <c r="A5" s="5" t="s">
        <v>4</v>
      </c>
      <c r="B5" s="6" t="s">
        <v>134</v>
      </c>
      <c r="C5" s="6" t="s">
        <v>135</v>
      </c>
      <c r="D5" s="6" t="s">
        <v>136</v>
      </c>
      <c r="E5" s="9">
        <v>1676</v>
      </c>
      <c r="F5" s="9">
        <v>1632</v>
      </c>
      <c r="G5" s="9">
        <v>1623</v>
      </c>
      <c r="H5" s="6" t="s">
        <v>137</v>
      </c>
      <c r="I5" s="6" t="s">
        <v>138</v>
      </c>
      <c r="J5" s="6" t="s">
        <v>139</v>
      </c>
      <c r="K5" s="9">
        <v>157206</v>
      </c>
      <c r="L5" s="9">
        <v>158944</v>
      </c>
      <c r="M5" s="9">
        <v>161662</v>
      </c>
      <c r="N5" s="6" t="s">
        <v>265</v>
      </c>
      <c r="O5" s="6" t="s">
        <v>266</v>
      </c>
      <c r="P5" s="6" t="s">
        <v>267</v>
      </c>
      <c r="Q5" s="9">
        <v>76105</v>
      </c>
      <c r="R5" s="9">
        <v>76873</v>
      </c>
      <c r="S5" s="9">
        <v>77777</v>
      </c>
      <c r="T5" s="6" t="s">
        <v>268</v>
      </c>
      <c r="U5" s="6" t="s">
        <v>269</v>
      </c>
      <c r="V5" s="6" t="s">
        <v>270</v>
      </c>
      <c r="W5" s="9">
        <v>6442</v>
      </c>
      <c r="X5" s="9">
        <v>6575</v>
      </c>
      <c r="Y5" s="9">
        <v>6765</v>
      </c>
      <c r="Z5" s="25" t="s">
        <v>4</v>
      </c>
    </row>
    <row r="6" spans="1:26" ht="19.2" x14ac:dyDescent="0.3">
      <c r="A6" s="8" t="s">
        <v>5</v>
      </c>
      <c r="B6" s="230">
        <v>531</v>
      </c>
      <c r="C6" s="230">
        <v>465</v>
      </c>
      <c r="D6" s="230">
        <v>414</v>
      </c>
      <c r="E6" s="230">
        <v>410</v>
      </c>
      <c r="F6" s="230">
        <v>397</v>
      </c>
      <c r="G6" s="230">
        <v>395</v>
      </c>
      <c r="H6" s="230" t="s">
        <v>140</v>
      </c>
      <c r="I6" s="230" t="s">
        <v>141</v>
      </c>
      <c r="J6" s="230" t="s">
        <v>142</v>
      </c>
      <c r="K6" s="228">
        <v>46416</v>
      </c>
      <c r="L6" s="230" t="s">
        <v>143</v>
      </c>
      <c r="M6" s="228">
        <v>48554</v>
      </c>
      <c r="N6" s="230" t="s">
        <v>271</v>
      </c>
      <c r="O6" s="230" t="s">
        <v>272</v>
      </c>
      <c r="P6" s="230" t="s">
        <v>273</v>
      </c>
      <c r="Q6" s="228">
        <v>18354</v>
      </c>
      <c r="R6" s="228">
        <v>18562</v>
      </c>
      <c r="S6" s="228">
        <v>18795</v>
      </c>
      <c r="T6" s="230" t="s">
        <v>274</v>
      </c>
      <c r="U6" s="230" t="s">
        <v>275</v>
      </c>
      <c r="V6" s="230" t="s">
        <v>276</v>
      </c>
      <c r="W6" s="228">
        <v>1774</v>
      </c>
      <c r="X6" s="228">
        <v>1808</v>
      </c>
      <c r="Y6" s="228">
        <v>1880</v>
      </c>
      <c r="Z6" s="26" t="s">
        <v>5</v>
      </c>
    </row>
    <row r="7" spans="1:26" ht="19.2" x14ac:dyDescent="0.3">
      <c r="A7" s="8" t="s">
        <v>6</v>
      </c>
      <c r="B7" s="230"/>
      <c r="C7" s="230"/>
      <c r="D7" s="230"/>
      <c r="E7" s="230"/>
      <c r="F7" s="230"/>
      <c r="G7" s="230"/>
      <c r="H7" s="230"/>
      <c r="I7" s="230"/>
      <c r="J7" s="230"/>
      <c r="K7" s="228"/>
      <c r="L7" s="230"/>
      <c r="M7" s="228"/>
      <c r="N7" s="230"/>
      <c r="O7" s="230"/>
      <c r="P7" s="230"/>
      <c r="Q7" s="228"/>
      <c r="R7" s="228"/>
      <c r="S7" s="228"/>
      <c r="T7" s="230"/>
      <c r="U7" s="230"/>
      <c r="V7" s="230"/>
      <c r="W7" s="228"/>
      <c r="X7" s="228"/>
      <c r="Y7" s="228"/>
      <c r="Z7" s="26" t="s">
        <v>6</v>
      </c>
    </row>
    <row r="8" spans="1:26" ht="19.2" x14ac:dyDescent="0.3">
      <c r="A8" s="10" t="s">
        <v>7</v>
      </c>
      <c r="B8" s="11">
        <v>19</v>
      </c>
      <c r="C8" s="11">
        <v>25</v>
      </c>
      <c r="D8" s="11">
        <v>24</v>
      </c>
      <c r="E8" s="11">
        <v>24</v>
      </c>
      <c r="F8" s="11">
        <v>22</v>
      </c>
      <c r="G8" s="11">
        <v>23</v>
      </c>
      <c r="H8" s="11" t="s">
        <v>144</v>
      </c>
      <c r="I8" s="11" t="s">
        <v>145</v>
      </c>
      <c r="J8" s="11" t="s">
        <v>146</v>
      </c>
      <c r="K8" s="13">
        <v>3321</v>
      </c>
      <c r="L8" s="11" t="s">
        <v>147</v>
      </c>
      <c r="M8" s="13">
        <v>3268</v>
      </c>
      <c r="N8" s="11">
        <v>800</v>
      </c>
      <c r="O8" s="11">
        <v>819</v>
      </c>
      <c r="P8" s="11">
        <v>875</v>
      </c>
      <c r="Q8" s="11">
        <v>887</v>
      </c>
      <c r="R8" s="11">
        <v>899</v>
      </c>
      <c r="S8" s="11">
        <v>909</v>
      </c>
      <c r="T8" s="11">
        <v>129</v>
      </c>
      <c r="U8" s="11">
        <v>142</v>
      </c>
      <c r="V8" s="11">
        <v>159</v>
      </c>
      <c r="W8" s="11">
        <v>154</v>
      </c>
      <c r="X8" s="11">
        <v>156</v>
      </c>
      <c r="Y8" s="11">
        <v>149</v>
      </c>
      <c r="Z8" s="27" t="s">
        <v>7</v>
      </c>
    </row>
    <row r="9" spans="1:26" ht="19.2" x14ac:dyDescent="0.3">
      <c r="A9" s="10" t="s">
        <v>8</v>
      </c>
      <c r="B9" s="11">
        <v>19</v>
      </c>
      <c r="C9" s="11">
        <v>30</v>
      </c>
      <c r="D9" s="11">
        <v>21</v>
      </c>
      <c r="E9" s="11">
        <v>17</v>
      </c>
      <c r="F9" s="11">
        <v>16</v>
      </c>
      <c r="G9" s="11">
        <v>18</v>
      </c>
      <c r="H9" s="11" t="s">
        <v>148</v>
      </c>
      <c r="I9" s="11" t="s">
        <v>149</v>
      </c>
      <c r="J9" s="11" t="s">
        <v>150</v>
      </c>
      <c r="K9" s="13">
        <v>1394</v>
      </c>
      <c r="L9" s="11" t="s">
        <v>151</v>
      </c>
      <c r="M9" s="13">
        <v>1437</v>
      </c>
      <c r="N9" s="11">
        <v>682</v>
      </c>
      <c r="O9" s="11">
        <v>675</v>
      </c>
      <c r="P9" s="11">
        <v>646</v>
      </c>
      <c r="Q9" s="11">
        <v>667</v>
      </c>
      <c r="R9" s="11">
        <v>686</v>
      </c>
      <c r="S9" s="11">
        <v>688</v>
      </c>
      <c r="T9" s="11">
        <v>38</v>
      </c>
      <c r="U9" s="11">
        <v>50</v>
      </c>
      <c r="V9" s="11">
        <v>49</v>
      </c>
      <c r="W9" s="11">
        <v>53</v>
      </c>
      <c r="X9" s="11">
        <v>56</v>
      </c>
      <c r="Y9" s="11">
        <v>57</v>
      </c>
      <c r="Z9" s="27" t="s">
        <v>8</v>
      </c>
    </row>
    <row r="10" spans="1:26" ht="19.2" x14ac:dyDescent="0.3">
      <c r="A10" s="10" t="s">
        <v>9</v>
      </c>
      <c r="B10" s="11">
        <v>33</v>
      </c>
      <c r="C10" s="11">
        <v>33</v>
      </c>
      <c r="D10" s="11">
        <v>33</v>
      </c>
      <c r="E10" s="11">
        <v>33</v>
      </c>
      <c r="F10" s="11">
        <v>30</v>
      </c>
      <c r="G10" s="11">
        <v>28</v>
      </c>
      <c r="H10" s="11" t="s">
        <v>152</v>
      </c>
      <c r="I10" s="11" t="s">
        <v>153</v>
      </c>
      <c r="J10" s="11" t="s">
        <v>154</v>
      </c>
      <c r="K10" s="13">
        <v>1778</v>
      </c>
      <c r="L10" s="11" t="s">
        <v>155</v>
      </c>
      <c r="M10" s="13">
        <v>1758</v>
      </c>
      <c r="N10" s="11">
        <v>673</v>
      </c>
      <c r="O10" s="11">
        <v>716</v>
      </c>
      <c r="P10" s="11">
        <v>811</v>
      </c>
      <c r="Q10" s="11">
        <v>821</v>
      </c>
      <c r="R10" s="11">
        <v>847</v>
      </c>
      <c r="S10" s="11">
        <v>857</v>
      </c>
      <c r="T10" s="11">
        <v>43</v>
      </c>
      <c r="U10" s="11">
        <v>57</v>
      </c>
      <c r="V10" s="11">
        <v>68</v>
      </c>
      <c r="W10" s="11">
        <v>69</v>
      </c>
      <c r="X10" s="11">
        <v>71</v>
      </c>
      <c r="Y10" s="11">
        <v>71</v>
      </c>
      <c r="Z10" s="27" t="s">
        <v>9</v>
      </c>
    </row>
    <row r="11" spans="1:26" ht="19.2" x14ac:dyDescent="0.3">
      <c r="A11" s="10" t="s">
        <v>12</v>
      </c>
      <c r="B11" s="11">
        <v>29</v>
      </c>
      <c r="C11" s="11">
        <v>25</v>
      </c>
      <c r="D11" s="11">
        <v>10</v>
      </c>
      <c r="E11" s="11">
        <v>10</v>
      </c>
      <c r="F11" s="11">
        <v>10</v>
      </c>
      <c r="G11" s="11">
        <v>10</v>
      </c>
      <c r="H11" s="11" t="s">
        <v>156</v>
      </c>
      <c r="I11" s="11" t="s">
        <v>157</v>
      </c>
      <c r="J11" s="11" t="s">
        <v>158</v>
      </c>
      <c r="K11" s="13">
        <v>4509</v>
      </c>
      <c r="L11" s="11" t="s">
        <v>159</v>
      </c>
      <c r="M11" s="13">
        <v>4331</v>
      </c>
      <c r="N11" s="11" t="s">
        <v>277</v>
      </c>
      <c r="O11" s="11" t="s">
        <v>278</v>
      </c>
      <c r="P11" s="11" t="s">
        <v>279</v>
      </c>
      <c r="Q11" s="13">
        <v>1337</v>
      </c>
      <c r="R11" s="11" t="s">
        <v>280</v>
      </c>
      <c r="S11" s="13">
        <v>1350</v>
      </c>
      <c r="T11" s="11">
        <v>52</v>
      </c>
      <c r="U11" s="11">
        <v>83</v>
      </c>
      <c r="V11" s="11">
        <v>66</v>
      </c>
      <c r="W11" s="11">
        <v>63</v>
      </c>
      <c r="X11" s="11">
        <v>72</v>
      </c>
      <c r="Y11" s="11">
        <v>72</v>
      </c>
      <c r="Z11" s="27" t="s">
        <v>12</v>
      </c>
    </row>
    <row r="12" spans="1:26" ht="19.2" x14ac:dyDescent="0.3">
      <c r="A12" s="10" t="s">
        <v>13</v>
      </c>
      <c r="B12" s="11">
        <v>25</v>
      </c>
      <c r="C12" s="11">
        <v>21</v>
      </c>
      <c r="D12" s="11">
        <v>16</v>
      </c>
      <c r="E12" s="11">
        <v>16</v>
      </c>
      <c r="F12" s="11">
        <v>14</v>
      </c>
      <c r="G12" s="11">
        <v>14</v>
      </c>
      <c r="H12" s="11">
        <v>667</v>
      </c>
      <c r="I12" s="11" t="s">
        <v>160</v>
      </c>
      <c r="J12" s="11" t="s">
        <v>161</v>
      </c>
      <c r="K12" s="13">
        <v>1066</v>
      </c>
      <c r="L12" s="11" t="s">
        <v>162</v>
      </c>
      <c r="M12" s="13">
        <v>1023</v>
      </c>
      <c r="N12" s="11">
        <v>407</v>
      </c>
      <c r="O12" s="11">
        <v>518</v>
      </c>
      <c r="P12" s="11">
        <v>529</v>
      </c>
      <c r="Q12" s="11">
        <v>537</v>
      </c>
      <c r="R12" s="11">
        <v>542</v>
      </c>
      <c r="S12" s="11">
        <v>553</v>
      </c>
      <c r="T12" s="11">
        <v>24</v>
      </c>
      <c r="U12" s="11">
        <v>30</v>
      </c>
      <c r="V12" s="11">
        <v>35</v>
      </c>
      <c r="W12" s="11">
        <v>37</v>
      </c>
      <c r="X12" s="11">
        <v>38</v>
      </c>
      <c r="Y12" s="11">
        <v>38</v>
      </c>
      <c r="Z12" s="27" t="s">
        <v>13</v>
      </c>
    </row>
    <row r="13" spans="1:26" ht="19.2" x14ac:dyDescent="0.3">
      <c r="A13" s="10" t="s">
        <v>14</v>
      </c>
      <c r="B13" s="11">
        <v>25</v>
      </c>
      <c r="C13" s="11">
        <v>18</v>
      </c>
      <c r="D13" s="11">
        <v>15</v>
      </c>
      <c r="E13" s="11">
        <v>15</v>
      </c>
      <c r="F13" s="11">
        <v>15</v>
      </c>
      <c r="G13" s="11">
        <v>15</v>
      </c>
      <c r="H13" s="11" t="s">
        <v>163</v>
      </c>
      <c r="I13" s="11" t="s">
        <v>164</v>
      </c>
      <c r="J13" s="11">
        <v>918</v>
      </c>
      <c r="K13" s="11">
        <v>929</v>
      </c>
      <c r="L13" s="6" t="s">
        <v>165</v>
      </c>
      <c r="M13" s="11">
        <v>935</v>
      </c>
      <c r="N13" s="11">
        <v>530</v>
      </c>
      <c r="O13" s="11">
        <v>592</v>
      </c>
      <c r="P13" s="11">
        <v>618</v>
      </c>
      <c r="Q13" s="11">
        <v>626</v>
      </c>
      <c r="R13" s="11">
        <v>625</v>
      </c>
      <c r="S13" s="11">
        <v>625</v>
      </c>
      <c r="T13" s="11">
        <v>28</v>
      </c>
      <c r="U13" s="11">
        <v>49</v>
      </c>
      <c r="V13" s="11">
        <v>71</v>
      </c>
      <c r="W13" s="11">
        <v>74</v>
      </c>
      <c r="X13" s="11">
        <v>76</v>
      </c>
      <c r="Y13" s="11">
        <v>79</v>
      </c>
      <c r="Z13" s="27" t="s">
        <v>14</v>
      </c>
    </row>
    <row r="14" spans="1:26" ht="19.2" x14ac:dyDescent="0.3">
      <c r="A14" s="10" t="s">
        <v>16</v>
      </c>
      <c r="B14" s="11">
        <v>17</v>
      </c>
      <c r="C14" s="11">
        <v>6</v>
      </c>
      <c r="D14" s="11">
        <v>6</v>
      </c>
      <c r="E14" s="11">
        <v>7</v>
      </c>
      <c r="F14" s="11">
        <v>6</v>
      </c>
      <c r="G14" s="11">
        <v>6</v>
      </c>
      <c r="H14" s="11">
        <v>684</v>
      </c>
      <c r="I14" s="11">
        <v>653</v>
      </c>
      <c r="J14" s="11">
        <v>685</v>
      </c>
      <c r="K14" s="11">
        <v>708</v>
      </c>
      <c r="L14" s="11">
        <v>718</v>
      </c>
      <c r="M14" s="11">
        <v>720</v>
      </c>
      <c r="N14" s="11">
        <v>358</v>
      </c>
      <c r="O14" s="11">
        <v>380</v>
      </c>
      <c r="P14" s="11">
        <v>397</v>
      </c>
      <c r="Q14" s="11">
        <v>408</v>
      </c>
      <c r="R14" s="11">
        <v>411</v>
      </c>
      <c r="S14" s="11">
        <v>413</v>
      </c>
      <c r="T14" s="11">
        <v>31</v>
      </c>
      <c r="U14" s="11">
        <v>32</v>
      </c>
      <c r="V14" s="11">
        <v>33</v>
      </c>
      <c r="W14" s="11">
        <v>34</v>
      </c>
      <c r="X14" s="11">
        <v>33</v>
      </c>
      <c r="Y14" s="11">
        <v>33</v>
      </c>
      <c r="Z14" s="27" t="s">
        <v>16</v>
      </c>
    </row>
    <row r="15" spans="1:26" ht="19.2" x14ac:dyDescent="0.3">
      <c r="A15" s="10" t="s">
        <v>18</v>
      </c>
      <c r="B15" s="11">
        <v>15</v>
      </c>
      <c r="C15" s="11">
        <v>13</v>
      </c>
      <c r="D15" s="11">
        <v>11</v>
      </c>
      <c r="E15" s="11">
        <v>9</v>
      </c>
      <c r="F15" s="11">
        <v>9</v>
      </c>
      <c r="G15" s="11">
        <v>9</v>
      </c>
      <c r="H15" s="11" t="s">
        <v>166</v>
      </c>
      <c r="I15" s="11" t="s">
        <v>64</v>
      </c>
      <c r="J15" s="11" t="s">
        <v>167</v>
      </c>
      <c r="K15" s="13">
        <v>1094</v>
      </c>
      <c r="L15" s="11" t="s">
        <v>168</v>
      </c>
      <c r="M15" s="13">
        <v>1099</v>
      </c>
      <c r="N15" s="11">
        <v>657</v>
      </c>
      <c r="O15" s="11">
        <v>659</v>
      </c>
      <c r="P15" s="11">
        <v>673</v>
      </c>
      <c r="Q15" s="11">
        <v>680</v>
      </c>
      <c r="R15" s="11">
        <v>683</v>
      </c>
      <c r="S15" s="11">
        <v>679</v>
      </c>
      <c r="T15" s="11">
        <v>36</v>
      </c>
      <c r="U15" s="11">
        <v>35</v>
      </c>
      <c r="V15" s="11">
        <v>47</v>
      </c>
      <c r="W15" s="11">
        <v>49</v>
      </c>
      <c r="X15" s="11">
        <v>49</v>
      </c>
      <c r="Y15" s="11">
        <v>54</v>
      </c>
      <c r="Z15" s="27" t="s">
        <v>18</v>
      </c>
    </row>
    <row r="16" spans="1:26" ht="19.2" x14ac:dyDescent="0.3">
      <c r="A16" s="10" t="s">
        <v>19</v>
      </c>
      <c r="B16" s="11">
        <v>21</v>
      </c>
      <c r="C16" s="11">
        <v>21</v>
      </c>
      <c r="D16" s="11">
        <v>22</v>
      </c>
      <c r="E16" s="11">
        <v>22</v>
      </c>
      <c r="F16" s="11">
        <v>22</v>
      </c>
      <c r="G16" s="11">
        <v>22</v>
      </c>
      <c r="H16" s="11" t="s">
        <v>169</v>
      </c>
      <c r="I16" s="11" t="s">
        <v>170</v>
      </c>
      <c r="J16" s="11" t="s">
        <v>171</v>
      </c>
      <c r="K16" s="13">
        <v>2112</v>
      </c>
      <c r="L16" s="11" t="s">
        <v>172</v>
      </c>
      <c r="M16" s="13">
        <v>2189</v>
      </c>
      <c r="N16" s="11">
        <v>569</v>
      </c>
      <c r="O16" s="11">
        <v>602</v>
      </c>
      <c r="P16" s="11">
        <v>626</v>
      </c>
      <c r="Q16" s="11">
        <v>645</v>
      </c>
      <c r="R16" s="11">
        <v>654</v>
      </c>
      <c r="S16" s="11">
        <v>660</v>
      </c>
      <c r="T16" s="11">
        <v>33</v>
      </c>
      <c r="U16" s="11">
        <v>42</v>
      </c>
      <c r="V16" s="11">
        <v>52</v>
      </c>
      <c r="W16" s="11">
        <v>57</v>
      </c>
      <c r="X16" s="11">
        <v>58</v>
      </c>
      <c r="Y16" s="11">
        <v>59</v>
      </c>
      <c r="Z16" s="27" t="s">
        <v>19</v>
      </c>
    </row>
    <row r="17" spans="1:26" ht="19.2" x14ac:dyDescent="0.3">
      <c r="A17" s="10" t="s">
        <v>20</v>
      </c>
      <c r="B17" s="11">
        <v>129</v>
      </c>
      <c r="C17" s="11">
        <v>126</v>
      </c>
      <c r="D17" s="11">
        <v>123</v>
      </c>
      <c r="E17" s="11">
        <v>122</v>
      </c>
      <c r="F17" s="11">
        <v>119</v>
      </c>
      <c r="G17" s="11">
        <v>118</v>
      </c>
      <c r="H17" s="11" t="s">
        <v>173</v>
      </c>
      <c r="I17" s="11" t="s">
        <v>174</v>
      </c>
      <c r="J17" s="11" t="s">
        <v>175</v>
      </c>
      <c r="K17" s="13">
        <v>2874</v>
      </c>
      <c r="L17" s="11" t="s">
        <v>176</v>
      </c>
      <c r="M17" s="13">
        <v>3381</v>
      </c>
      <c r="N17" s="11" t="s">
        <v>281</v>
      </c>
      <c r="O17" s="11" t="s">
        <v>282</v>
      </c>
      <c r="P17" s="11" t="s">
        <v>283</v>
      </c>
      <c r="Q17" s="13">
        <v>2505</v>
      </c>
      <c r="R17" s="11" t="s">
        <v>284</v>
      </c>
      <c r="S17" s="13">
        <v>2594</v>
      </c>
      <c r="T17" s="11">
        <v>196</v>
      </c>
      <c r="U17" s="11">
        <v>271</v>
      </c>
      <c r="V17" s="11">
        <v>332</v>
      </c>
      <c r="W17" s="11">
        <v>349</v>
      </c>
      <c r="X17" s="11">
        <v>348</v>
      </c>
      <c r="Y17" s="11">
        <v>381</v>
      </c>
      <c r="Z17" s="27" t="s">
        <v>20</v>
      </c>
    </row>
    <row r="18" spans="1:26" ht="19.2" x14ac:dyDescent="0.3">
      <c r="A18" s="10" t="s">
        <v>21</v>
      </c>
      <c r="B18" s="11">
        <v>14</v>
      </c>
      <c r="C18" s="11">
        <v>14</v>
      </c>
      <c r="D18" s="11">
        <v>3</v>
      </c>
      <c r="E18" s="11">
        <v>3</v>
      </c>
      <c r="F18" s="11">
        <v>3</v>
      </c>
      <c r="G18" s="11">
        <v>3</v>
      </c>
      <c r="H18" s="11" t="s">
        <v>177</v>
      </c>
      <c r="I18" s="11" t="s">
        <v>178</v>
      </c>
      <c r="J18" s="11">
        <v>579</v>
      </c>
      <c r="K18" s="11">
        <v>576</v>
      </c>
      <c r="L18" s="11">
        <v>581</v>
      </c>
      <c r="M18" s="11">
        <v>585</v>
      </c>
      <c r="N18" s="11">
        <v>441</v>
      </c>
      <c r="O18" s="11">
        <v>586</v>
      </c>
      <c r="P18" s="11">
        <v>562</v>
      </c>
      <c r="Q18" s="11">
        <v>571</v>
      </c>
      <c r="R18" s="11">
        <v>598</v>
      </c>
      <c r="S18" s="11">
        <v>518</v>
      </c>
      <c r="T18" s="11">
        <v>30</v>
      </c>
      <c r="U18" s="11">
        <v>32</v>
      </c>
      <c r="V18" s="11">
        <v>34</v>
      </c>
      <c r="W18" s="11">
        <v>34</v>
      </c>
      <c r="X18" s="11">
        <v>34</v>
      </c>
      <c r="Y18" s="11">
        <v>33</v>
      </c>
      <c r="Z18" s="27" t="s">
        <v>21</v>
      </c>
    </row>
    <row r="19" spans="1:26" ht="19.2" x14ac:dyDescent="0.3">
      <c r="A19" s="10" t="s">
        <v>22</v>
      </c>
      <c r="B19" s="11">
        <v>13</v>
      </c>
      <c r="C19" s="11">
        <v>15</v>
      </c>
      <c r="D19" s="11">
        <v>13</v>
      </c>
      <c r="E19" s="11">
        <v>13</v>
      </c>
      <c r="F19" s="11">
        <v>13</v>
      </c>
      <c r="G19" s="11">
        <v>13</v>
      </c>
      <c r="H19" s="11" t="s">
        <v>179</v>
      </c>
      <c r="I19" s="11" t="s">
        <v>180</v>
      </c>
      <c r="J19" s="11" t="s">
        <v>181</v>
      </c>
      <c r="K19" s="13">
        <v>1327</v>
      </c>
      <c r="L19" s="11" t="s">
        <v>182</v>
      </c>
      <c r="M19" s="13">
        <v>1334</v>
      </c>
      <c r="N19" s="11">
        <v>499</v>
      </c>
      <c r="O19" s="11">
        <v>516</v>
      </c>
      <c r="P19" s="11">
        <v>604</v>
      </c>
      <c r="Q19" s="11">
        <v>617</v>
      </c>
      <c r="R19" s="11">
        <v>612</v>
      </c>
      <c r="S19" s="11">
        <v>621</v>
      </c>
      <c r="T19" s="11">
        <v>31</v>
      </c>
      <c r="U19" s="11">
        <v>41</v>
      </c>
      <c r="V19" s="11">
        <v>58</v>
      </c>
      <c r="W19" s="11">
        <v>59</v>
      </c>
      <c r="X19" s="11">
        <v>59</v>
      </c>
      <c r="Y19" s="11">
        <v>63</v>
      </c>
      <c r="Z19" s="27" t="s">
        <v>22</v>
      </c>
    </row>
    <row r="20" spans="1:26" ht="19.2" x14ac:dyDescent="0.3">
      <c r="A20" s="10" t="s">
        <v>23</v>
      </c>
      <c r="B20" s="11">
        <v>24</v>
      </c>
      <c r="C20" s="11">
        <v>24</v>
      </c>
      <c r="D20" s="11">
        <v>24</v>
      </c>
      <c r="E20" s="11">
        <v>24</v>
      </c>
      <c r="F20" s="11">
        <v>24</v>
      </c>
      <c r="G20" s="11">
        <v>24</v>
      </c>
      <c r="H20" s="11" t="s">
        <v>183</v>
      </c>
      <c r="I20" s="11" t="s">
        <v>184</v>
      </c>
      <c r="J20" s="11" t="s">
        <v>185</v>
      </c>
      <c r="K20" s="13">
        <v>1315</v>
      </c>
      <c r="L20" s="11" t="s">
        <v>186</v>
      </c>
      <c r="M20" s="13">
        <v>1322</v>
      </c>
      <c r="N20" s="11">
        <v>934</v>
      </c>
      <c r="O20" s="11">
        <v>924</v>
      </c>
      <c r="P20" s="11">
        <v>913</v>
      </c>
      <c r="Q20" s="11">
        <v>907</v>
      </c>
      <c r="R20" s="11">
        <v>925</v>
      </c>
      <c r="S20" s="11">
        <v>914</v>
      </c>
      <c r="T20" s="11">
        <v>33</v>
      </c>
      <c r="U20" s="11">
        <v>55</v>
      </c>
      <c r="V20" s="11">
        <v>63</v>
      </c>
      <c r="W20" s="11">
        <v>66</v>
      </c>
      <c r="X20" s="11">
        <v>67</v>
      </c>
      <c r="Y20" s="11">
        <v>66</v>
      </c>
      <c r="Z20" s="27" t="s">
        <v>23</v>
      </c>
    </row>
    <row r="21" spans="1:26" ht="19.2" x14ac:dyDescent="0.3">
      <c r="A21" s="10" t="s">
        <v>24</v>
      </c>
      <c r="B21" s="11">
        <v>19</v>
      </c>
      <c r="C21" s="11">
        <v>21</v>
      </c>
      <c r="D21" s="11">
        <v>21</v>
      </c>
      <c r="E21" s="11">
        <v>21</v>
      </c>
      <c r="F21" s="11">
        <v>21</v>
      </c>
      <c r="G21" s="11">
        <v>21</v>
      </c>
      <c r="H21" s="11" t="s">
        <v>187</v>
      </c>
      <c r="I21" s="11" t="s">
        <v>188</v>
      </c>
      <c r="J21" s="11" t="s">
        <v>189</v>
      </c>
      <c r="K21" s="13">
        <v>2876</v>
      </c>
      <c r="L21" s="11" t="s">
        <v>190</v>
      </c>
      <c r="M21" s="13">
        <v>2879</v>
      </c>
      <c r="N21" s="11">
        <v>533</v>
      </c>
      <c r="O21" s="11">
        <v>632</v>
      </c>
      <c r="P21" s="11">
        <v>653</v>
      </c>
      <c r="Q21" s="11">
        <v>654</v>
      </c>
      <c r="R21" s="11">
        <v>656</v>
      </c>
      <c r="S21" s="11">
        <v>656</v>
      </c>
      <c r="T21" s="11">
        <v>25</v>
      </c>
      <c r="U21" s="11">
        <v>40</v>
      </c>
      <c r="V21" s="11">
        <v>41</v>
      </c>
      <c r="W21" s="11">
        <v>41</v>
      </c>
      <c r="X21" s="11">
        <v>41</v>
      </c>
      <c r="Y21" s="11">
        <v>42</v>
      </c>
      <c r="Z21" s="27" t="s">
        <v>24</v>
      </c>
    </row>
    <row r="22" spans="1:26" ht="19.2" x14ac:dyDescent="0.3">
      <c r="A22" s="10" t="s">
        <v>25</v>
      </c>
      <c r="B22" s="11">
        <v>19</v>
      </c>
      <c r="C22" s="11">
        <v>18</v>
      </c>
      <c r="D22" s="11">
        <v>17</v>
      </c>
      <c r="E22" s="11">
        <v>17</v>
      </c>
      <c r="F22" s="11">
        <v>17</v>
      </c>
      <c r="G22" s="11">
        <v>17</v>
      </c>
      <c r="H22" s="11" t="s">
        <v>191</v>
      </c>
      <c r="I22" s="11" t="s">
        <v>192</v>
      </c>
      <c r="J22" s="11" t="s">
        <v>193</v>
      </c>
      <c r="K22" s="13">
        <v>2540</v>
      </c>
      <c r="L22" s="11" t="s">
        <v>194</v>
      </c>
      <c r="M22" s="13">
        <v>2672</v>
      </c>
      <c r="N22" s="11" t="s">
        <v>285</v>
      </c>
      <c r="O22" s="11">
        <v>819</v>
      </c>
      <c r="P22" s="11">
        <v>859</v>
      </c>
      <c r="Q22" s="11">
        <v>873</v>
      </c>
      <c r="R22" s="11">
        <v>880</v>
      </c>
      <c r="S22" s="11">
        <v>889</v>
      </c>
      <c r="T22" s="11">
        <v>62</v>
      </c>
      <c r="U22" s="11">
        <v>57</v>
      </c>
      <c r="V22" s="11">
        <v>63</v>
      </c>
      <c r="W22" s="11">
        <v>65</v>
      </c>
      <c r="X22" s="11">
        <v>68</v>
      </c>
      <c r="Y22" s="11">
        <v>69</v>
      </c>
      <c r="Z22" s="27" t="s">
        <v>25</v>
      </c>
    </row>
    <row r="23" spans="1:26" ht="19.2" x14ac:dyDescent="0.3">
      <c r="A23" s="10" t="s">
        <v>26</v>
      </c>
      <c r="B23" s="11">
        <v>29</v>
      </c>
      <c r="C23" s="11">
        <v>20</v>
      </c>
      <c r="D23" s="11">
        <v>17</v>
      </c>
      <c r="E23" s="11">
        <v>17</v>
      </c>
      <c r="F23" s="11">
        <v>17</v>
      </c>
      <c r="G23" s="11">
        <v>17</v>
      </c>
      <c r="H23" s="11" t="s">
        <v>161</v>
      </c>
      <c r="I23" s="11" t="s">
        <v>195</v>
      </c>
      <c r="J23" s="11" t="s">
        <v>196</v>
      </c>
      <c r="K23" s="13">
        <v>1331</v>
      </c>
      <c r="L23" s="11" t="s">
        <v>197</v>
      </c>
      <c r="M23" s="13">
        <v>1351</v>
      </c>
      <c r="N23" s="11">
        <v>557</v>
      </c>
      <c r="O23" s="11">
        <v>610</v>
      </c>
      <c r="P23" s="11">
        <v>623</v>
      </c>
      <c r="Q23" s="11">
        <v>633</v>
      </c>
      <c r="R23" s="11">
        <v>638</v>
      </c>
      <c r="S23" s="11">
        <v>643</v>
      </c>
      <c r="T23" s="11">
        <v>30</v>
      </c>
      <c r="U23" s="11">
        <v>46</v>
      </c>
      <c r="V23" s="11">
        <v>50</v>
      </c>
      <c r="W23" s="11">
        <v>49</v>
      </c>
      <c r="X23" s="11">
        <v>50</v>
      </c>
      <c r="Y23" s="11">
        <v>49</v>
      </c>
      <c r="Z23" s="27" t="s">
        <v>26</v>
      </c>
    </row>
    <row r="24" spans="1:26" ht="19.2" x14ac:dyDescent="0.3">
      <c r="A24" s="10" t="s">
        <v>28</v>
      </c>
      <c r="B24" s="11">
        <v>18</v>
      </c>
      <c r="C24" s="11">
        <v>13</v>
      </c>
      <c r="D24" s="11">
        <v>13</v>
      </c>
      <c r="E24" s="11">
        <v>13</v>
      </c>
      <c r="F24" s="11">
        <v>12</v>
      </c>
      <c r="G24" s="11">
        <v>8</v>
      </c>
      <c r="H24" s="11" t="s">
        <v>198</v>
      </c>
      <c r="I24" s="11" t="s">
        <v>199</v>
      </c>
      <c r="J24" s="11" t="s">
        <v>200</v>
      </c>
      <c r="K24" s="13">
        <v>1270</v>
      </c>
      <c r="L24" s="11" t="s">
        <v>201</v>
      </c>
      <c r="M24" s="13">
        <v>1311</v>
      </c>
      <c r="N24" s="11">
        <v>577</v>
      </c>
      <c r="O24" s="11">
        <v>559</v>
      </c>
      <c r="P24" s="11">
        <v>566</v>
      </c>
      <c r="Q24" s="11">
        <v>569</v>
      </c>
      <c r="R24" s="11">
        <v>569</v>
      </c>
      <c r="S24" s="11">
        <v>572</v>
      </c>
      <c r="T24" s="11">
        <v>30</v>
      </c>
      <c r="U24" s="11">
        <v>24</v>
      </c>
      <c r="V24" s="11">
        <v>29</v>
      </c>
      <c r="W24" s="11">
        <v>30</v>
      </c>
      <c r="X24" s="11">
        <v>33</v>
      </c>
      <c r="Y24" s="11">
        <v>33</v>
      </c>
      <c r="Z24" s="27" t="s">
        <v>28</v>
      </c>
    </row>
    <row r="25" spans="1:26" x14ac:dyDescent="0.3">
      <c r="A25" s="10" t="s">
        <v>31</v>
      </c>
      <c r="B25" s="11">
        <v>63</v>
      </c>
      <c r="C25" s="11">
        <v>22</v>
      </c>
      <c r="D25" s="11">
        <v>25</v>
      </c>
      <c r="E25" s="11">
        <v>27</v>
      </c>
      <c r="F25" s="11">
        <v>27</v>
      </c>
      <c r="G25" s="11">
        <v>29</v>
      </c>
      <c r="H25" s="11" t="s">
        <v>202</v>
      </c>
      <c r="I25" s="11" t="s">
        <v>203</v>
      </c>
      <c r="J25" s="11" t="s">
        <v>204</v>
      </c>
      <c r="K25" s="13">
        <v>15396</v>
      </c>
      <c r="L25" s="11" t="s">
        <v>205</v>
      </c>
      <c r="M25" s="13">
        <v>16959</v>
      </c>
      <c r="N25" s="11" t="s">
        <v>286</v>
      </c>
      <c r="O25" s="11" t="s">
        <v>287</v>
      </c>
      <c r="P25" s="11" t="s">
        <v>288</v>
      </c>
      <c r="Q25" s="13">
        <v>4417</v>
      </c>
      <c r="R25" s="11" t="s">
        <v>289</v>
      </c>
      <c r="S25" s="13">
        <v>4654</v>
      </c>
      <c r="T25" s="11">
        <v>365</v>
      </c>
      <c r="U25" s="11">
        <v>315</v>
      </c>
      <c r="V25" s="11">
        <v>491</v>
      </c>
      <c r="W25" s="11">
        <v>491</v>
      </c>
      <c r="X25" s="11">
        <v>499</v>
      </c>
      <c r="Y25" s="11">
        <v>532</v>
      </c>
      <c r="Z25" s="27" t="s">
        <v>31</v>
      </c>
    </row>
    <row r="26" spans="1:26" ht="19.2" x14ac:dyDescent="0.3">
      <c r="A26" s="8" t="s">
        <v>33</v>
      </c>
      <c r="B26" s="230">
        <v>104</v>
      </c>
      <c r="C26" s="230">
        <v>91</v>
      </c>
      <c r="D26" s="230">
        <v>83</v>
      </c>
      <c r="E26" s="230">
        <v>82</v>
      </c>
      <c r="F26" s="230">
        <v>80</v>
      </c>
      <c r="G26" s="230">
        <v>78</v>
      </c>
      <c r="H26" s="230" t="s">
        <v>206</v>
      </c>
      <c r="I26" s="230" t="s">
        <v>207</v>
      </c>
      <c r="J26" s="230" t="s">
        <v>208</v>
      </c>
      <c r="K26" s="228">
        <v>11419</v>
      </c>
      <c r="L26" s="230" t="s">
        <v>209</v>
      </c>
      <c r="M26" s="228">
        <v>11688</v>
      </c>
      <c r="N26" s="230" t="s">
        <v>290</v>
      </c>
      <c r="O26" s="230" t="s">
        <v>291</v>
      </c>
      <c r="P26" s="230" t="s">
        <v>292</v>
      </c>
      <c r="Q26" s="228">
        <v>6749</v>
      </c>
      <c r="R26" s="228">
        <v>6784</v>
      </c>
      <c r="S26" s="228">
        <v>6932</v>
      </c>
      <c r="T26" s="230">
        <v>409</v>
      </c>
      <c r="U26" s="230">
        <v>638</v>
      </c>
      <c r="V26" s="230">
        <v>789</v>
      </c>
      <c r="W26" s="230">
        <v>826</v>
      </c>
      <c r="X26" s="230">
        <v>847</v>
      </c>
      <c r="Y26" s="230">
        <v>868</v>
      </c>
      <c r="Z26" s="26" t="s">
        <v>33</v>
      </c>
    </row>
    <row r="27" spans="1:26" ht="19.2" x14ac:dyDescent="0.3">
      <c r="A27" s="8" t="s">
        <v>6</v>
      </c>
      <c r="B27" s="230"/>
      <c r="C27" s="230"/>
      <c r="D27" s="230"/>
      <c r="E27" s="230"/>
      <c r="F27" s="230"/>
      <c r="G27" s="230"/>
      <c r="H27" s="230"/>
      <c r="I27" s="230"/>
      <c r="J27" s="230"/>
      <c r="K27" s="228"/>
      <c r="L27" s="230"/>
      <c r="M27" s="228"/>
      <c r="N27" s="230"/>
      <c r="O27" s="230"/>
      <c r="P27" s="230"/>
      <c r="Q27" s="228"/>
      <c r="R27" s="228"/>
      <c r="S27" s="228"/>
      <c r="T27" s="230"/>
      <c r="U27" s="230"/>
      <c r="V27" s="230"/>
      <c r="W27" s="230"/>
      <c r="X27" s="230"/>
      <c r="Y27" s="230"/>
      <c r="Z27" s="26" t="s">
        <v>6</v>
      </c>
    </row>
    <row r="28" spans="1:26" ht="19.2" x14ac:dyDescent="0.3">
      <c r="A28" s="10" t="s">
        <v>36</v>
      </c>
      <c r="B28" s="11">
        <v>4</v>
      </c>
      <c r="C28" s="11">
        <v>4</v>
      </c>
      <c r="D28" s="11">
        <v>4</v>
      </c>
      <c r="E28" s="11">
        <v>4</v>
      </c>
      <c r="F28" s="11">
        <v>4</v>
      </c>
      <c r="G28" s="11">
        <v>3</v>
      </c>
      <c r="H28" s="11">
        <v>547</v>
      </c>
      <c r="I28" s="11">
        <v>624</v>
      </c>
      <c r="J28" s="11">
        <v>616</v>
      </c>
      <c r="K28" s="11">
        <v>623</v>
      </c>
      <c r="L28" s="11">
        <v>622</v>
      </c>
      <c r="M28" s="11">
        <v>612</v>
      </c>
      <c r="N28" s="11">
        <v>748</v>
      </c>
      <c r="O28" s="11">
        <v>384</v>
      </c>
      <c r="P28" s="11">
        <v>416</v>
      </c>
      <c r="Q28" s="11">
        <v>421</v>
      </c>
      <c r="R28" s="11">
        <v>422</v>
      </c>
      <c r="S28" s="11">
        <v>416</v>
      </c>
      <c r="T28" s="11">
        <v>26</v>
      </c>
      <c r="U28" s="11">
        <v>30</v>
      </c>
      <c r="V28" s="11">
        <v>39</v>
      </c>
      <c r="W28" s="11">
        <v>38</v>
      </c>
      <c r="X28" s="11">
        <v>38</v>
      </c>
      <c r="Y28" s="11">
        <v>32</v>
      </c>
      <c r="Z28" s="27" t="s">
        <v>36</v>
      </c>
    </row>
    <row r="29" spans="1:26" ht="19.2" x14ac:dyDescent="0.3">
      <c r="A29" s="10" t="s">
        <v>38</v>
      </c>
      <c r="B29" s="11">
        <v>8</v>
      </c>
      <c r="C29" s="11">
        <v>7</v>
      </c>
      <c r="D29" s="11">
        <v>7</v>
      </c>
      <c r="E29" s="11">
        <v>7</v>
      </c>
      <c r="F29" s="11">
        <v>7</v>
      </c>
      <c r="G29" s="11">
        <v>7</v>
      </c>
      <c r="H29" s="11">
        <v>755</v>
      </c>
      <c r="I29" s="11">
        <v>800</v>
      </c>
      <c r="J29" s="11">
        <v>890</v>
      </c>
      <c r="K29" s="11">
        <v>933</v>
      </c>
      <c r="L29" s="11">
        <v>772</v>
      </c>
      <c r="M29" s="11">
        <v>781</v>
      </c>
      <c r="N29" s="11">
        <v>719</v>
      </c>
      <c r="O29" s="11">
        <v>585</v>
      </c>
      <c r="P29" s="11">
        <v>537</v>
      </c>
      <c r="Q29" s="11">
        <v>537</v>
      </c>
      <c r="R29" s="11">
        <v>503</v>
      </c>
      <c r="S29" s="11">
        <v>501</v>
      </c>
      <c r="T29" s="11">
        <v>37</v>
      </c>
      <c r="U29" s="11">
        <v>41</v>
      </c>
      <c r="V29" s="11">
        <v>43</v>
      </c>
      <c r="W29" s="11">
        <v>44</v>
      </c>
      <c r="X29" s="11">
        <v>43</v>
      </c>
      <c r="Y29" s="11">
        <v>43</v>
      </c>
      <c r="Z29" s="27" t="s">
        <v>38</v>
      </c>
    </row>
    <row r="30" spans="1:26" ht="19.2" x14ac:dyDescent="0.3">
      <c r="A30" s="10" t="s">
        <v>40</v>
      </c>
      <c r="B30" s="11">
        <v>13</v>
      </c>
      <c r="C30" s="11">
        <v>9</v>
      </c>
      <c r="D30" s="11">
        <v>8</v>
      </c>
      <c r="E30" s="11">
        <v>8</v>
      </c>
      <c r="F30" s="11">
        <v>8</v>
      </c>
      <c r="G30" s="11">
        <v>7</v>
      </c>
      <c r="H30" s="11">
        <v>696</v>
      </c>
      <c r="I30" s="11">
        <v>880</v>
      </c>
      <c r="J30" s="11" t="s">
        <v>210</v>
      </c>
      <c r="K30" s="13">
        <v>1128</v>
      </c>
      <c r="L30" s="11" t="s">
        <v>211</v>
      </c>
      <c r="M30" s="13">
        <v>1161</v>
      </c>
      <c r="N30" s="11">
        <v>657</v>
      </c>
      <c r="O30" s="11">
        <v>697</v>
      </c>
      <c r="P30" s="11">
        <v>791</v>
      </c>
      <c r="Q30" s="11">
        <v>799</v>
      </c>
      <c r="R30" s="11">
        <v>805</v>
      </c>
      <c r="S30" s="11">
        <v>801</v>
      </c>
      <c r="T30" s="11">
        <v>35</v>
      </c>
      <c r="U30" s="11">
        <v>49</v>
      </c>
      <c r="V30" s="11">
        <v>57</v>
      </c>
      <c r="W30" s="11">
        <v>57</v>
      </c>
      <c r="X30" s="11">
        <v>58</v>
      </c>
      <c r="Y30" s="11">
        <v>58</v>
      </c>
      <c r="Z30" s="27" t="s">
        <v>40</v>
      </c>
    </row>
    <row r="31" spans="1:26" ht="19.2" x14ac:dyDescent="0.3">
      <c r="A31" s="14" t="s">
        <v>42</v>
      </c>
      <c r="B31" s="11"/>
      <c r="C31" s="11"/>
      <c r="D31" s="11"/>
      <c r="E31" s="11"/>
      <c r="F31" s="22"/>
      <c r="G31" s="11"/>
      <c r="H31" s="11"/>
      <c r="I31" s="11"/>
      <c r="J31" s="11"/>
      <c r="K31" s="11"/>
      <c r="L31" s="22"/>
      <c r="M31" s="22"/>
      <c r="N31" s="11"/>
      <c r="O31" s="11"/>
      <c r="P31" s="11"/>
      <c r="Q31" s="11"/>
      <c r="R31" s="22"/>
      <c r="S31" s="11"/>
      <c r="T31" s="11"/>
      <c r="U31" s="11"/>
      <c r="V31" s="11"/>
      <c r="W31" s="11"/>
      <c r="X31" s="11"/>
      <c r="Y31" s="11"/>
      <c r="Z31" s="28" t="s">
        <v>42</v>
      </c>
    </row>
    <row r="32" spans="1:26" ht="28.8" x14ac:dyDescent="0.3">
      <c r="A32" s="15" t="s">
        <v>43</v>
      </c>
      <c r="B32" s="11" t="s">
        <v>44</v>
      </c>
      <c r="C32" s="11" t="s">
        <v>44</v>
      </c>
      <c r="D32" s="11" t="s">
        <v>44</v>
      </c>
      <c r="E32" s="11" t="s">
        <v>44</v>
      </c>
      <c r="F32" s="11" t="s">
        <v>44</v>
      </c>
      <c r="G32" s="11" t="s">
        <v>44</v>
      </c>
      <c r="H32" s="11" t="s">
        <v>44</v>
      </c>
      <c r="I32" s="11">
        <v>35</v>
      </c>
      <c r="J32" s="11">
        <v>35</v>
      </c>
      <c r="K32" s="11">
        <v>38</v>
      </c>
      <c r="L32" s="11">
        <v>39</v>
      </c>
      <c r="M32" s="11">
        <v>40</v>
      </c>
      <c r="N32" s="11" t="s">
        <v>44</v>
      </c>
      <c r="O32" s="11">
        <v>50</v>
      </c>
      <c r="P32" s="11">
        <v>87</v>
      </c>
      <c r="Q32" s="11">
        <v>93</v>
      </c>
      <c r="R32" s="11">
        <v>96</v>
      </c>
      <c r="S32" s="11">
        <v>92</v>
      </c>
      <c r="T32" s="11" t="s">
        <v>44</v>
      </c>
      <c r="U32" s="11">
        <v>1</v>
      </c>
      <c r="V32" s="11">
        <v>2</v>
      </c>
      <c r="W32" s="11">
        <v>2</v>
      </c>
      <c r="X32" s="11">
        <v>2</v>
      </c>
      <c r="Y32" s="11">
        <v>2</v>
      </c>
      <c r="Z32" s="29" t="s">
        <v>43</v>
      </c>
    </row>
    <row r="33" spans="1:26" ht="48" x14ac:dyDescent="0.3">
      <c r="A33" s="10" t="s">
        <v>45</v>
      </c>
      <c r="B33" s="11">
        <v>13</v>
      </c>
      <c r="C33" s="11">
        <v>9</v>
      </c>
      <c r="D33" s="11">
        <v>8</v>
      </c>
      <c r="E33" s="11">
        <v>8</v>
      </c>
      <c r="F33" s="11">
        <v>8</v>
      </c>
      <c r="G33" s="11">
        <v>7</v>
      </c>
      <c r="H33" s="11">
        <v>696</v>
      </c>
      <c r="I33" s="11">
        <v>845</v>
      </c>
      <c r="J33" s="11" t="s">
        <v>178</v>
      </c>
      <c r="K33" s="13">
        <v>1090</v>
      </c>
      <c r="L33" s="11" t="s">
        <v>213</v>
      </c>
      <c r="M33" s="13">
        <v>1121</v>
      </c>
      <c r="N33" s="11">
        <v>657</v>
      </c>
      <c r="O33" s="11">
        <v>647</v>
      </c>
      <c r="P33" s="11">
        <v>704</v>
      </c>
      <c r="Q33" s="11">
        <v>706</v>
      </c>
      <c r="R33" s="11">
        <v>709</v>
      </c>
      <c r="S33" s="11">
        <v>709</v>
      </c>
      <c r="T33" s="11">
        <v>35</v>
      </c>
      <c r="U33" s="11">
        <v>48</v>
      </c>
      <c r="V33" s="11">
        <v>55</v>
      </c>
      <c r="W33" s="11">
        <v>55</v>
      </c>
      <c r="X33" s="11">
        <v>56</v>
      </c>
      <c r="Y33" s="11">
        <v>56</v>
      </c>
      <c r="Z33" s="29" t="s">
        <v>40</v>
      </c>
    </row>
    <row r="34" spans="1:26" ht="19.2" x14ac:dyDescent="0.3">
      <c r="A34" s="10" t="s">
        <v>47</v>
      </c>
      <c r="B34" s="11">
        <v>15</v>
      </c>
      <c r="C34" s="11">
        <v>13</v>
      </c>
      <c r="D34" s="11">
        <v>10</v>
      </c>
      <c r="E34" s="11">
        <v>9</v>
      </c>
      <c r="F34" s="11">
        <v>9</v>
      </c>
      <c r="G34" s="11">
        <v>11</v>
      </c>
      <c r="H34" s="11">
        <v>707</v>
      </c>
      <c r="I34" s="11">
        <v>806</v>
      </c>
      <c r="J34" s="11">
        <v>928</v>
      </c>
      <c r="K34" s="11">
        <v>908</v>
      </c>
      <c r="L34" s="11">
        <v>918</v>
      </c>
      <c r="M34" s="11">
        <v>924</v>
      </c>
      <c r="N34" s="11">
        <v>658</v>
      </c>
      <c r="O34" s="11">
        <v>648</v>
      </c>
      <c r="P34" s="11">
        <v>627</v>
      </c>
      <c r="Q34" s="11">
        <v>632</v>
      </c>
      <c r="R34" s="11">
        <v>635</v>
      </c>
      <c r="S34" s="11">
        <v>717</v>
      </c>
      <c r="T34" s="11">
        <v>39</v>
      </c>
      <c r="U34" s="11">
        <v>48</v>
      </c>
      <c r="V34" s="11">
        <v>62</v>
      </c>
      <c r="W34" s="11">
        <v>65</v>
      </c>
      <c r="X34" s="11">
        <v>59</v>
      </c>
      <c r="Y34" s="11">
        <v>62</v>
      </c>
      <c r="Z34" s="27" t="s">
        <v>47</v>
      </c>
    </row>
    <row r="35" spans="1:26" ht="28.8" x14ac:dyDescent="0.3">
      <c r="A35" s="10" t="s">
        <v>1064</v>
      </c>
      <c r="B35" s="11">
        <v>5</v>
      </c>
      <c r="C35" s="11">
        <v>6</v>
      </c>
      <c r="D35" s="11">
        <v>7</v>
      </c>
      <c r="E35" s="11">
        <v>7</v>
      </c>
      <c r="F35" s="11">
        <v>7</v>
      </c>
      <c r="G35" s="11">
        <v>6</v>
      </c>
      <c r="H35" s="11" t="s">
        <v>214</v>
      </c>
      <c r="I35" s="11" t="s">
        <v>215</v>
      </c>
      <c r="J35" s="11" t="s">
        <v>216</v>
      </c>
      <c r="K35" s="13">
        <v>1125</v>
      </c>
      <c r="L35" s="11" t="s">
        <v>217</v>
      </c>
      <c r="M35" s="13">
        <v>1139</v>
      </c>
      <c r="N35" s="11">
        <v>399</v>
      </c>
      <c r="O35" s="11">
        <v>463</v>
      </c>
      <c r="P35" s="11">
        <v>463</v>
      </c>
      <c r="Q35" s="11">
        <v>468</v>
      </c>
      <c r="R35" s="11">
        <v>470</v>
      </c>
      <c r="S35" s="11">
        <v>474</v>
      </c>
      <c r="T35" s="11">
        <v>23</v>
      </c>
      <c r="U35" s="11">
        <v>42</v>
      </c>
      <c r="V35" s="11">
        <v>46</v>
      </c>
      <c r="W35" s="11">
        <v>51</v>
      </c>
      <c r="X35" s="11">
        <v>51</v>
      </c>
      <c r="Y35" s="11">
        <v>51</v>
      </c>
      <c r="Z35" s="27" t="s">
        <v>49</v>
      </c>
    </row>
    <row r="36" spans="1:26" ht="19.2" x14ac:dyDescent="0.3">
      <c r="A36" s="10" t="s">
        <v>51</v>
      </c>
      <c r="B36" s="11">
        <v>25</v>
      </c>
      <c r="C36" s="11">
        <v>26</v>
      </c>
      <c r="D36" s="11">
        <v>22</v>
      </c>
      <c r="E36" s="11">
        <v>23</v>
      </c>
      <c r="F36" s="11">
        <v>21</v>
      </c>
      <c r="G36" s="11">
        <v>20</v>
      </c>
      <c r="H36" s="11">
        <v>827</v>
      </c>
      <c r="I36" s="11" t="s">
        <v>41</v>
      </c>
      <c r="J36" s="11" t="s">
        <v>50</v>
      </c>
      <c r="K36" s="13">
        <v>1882</v>
      </c>
      <c r="L36" s="11" t="s">
        <v>218</v>
      </c>
      <c r="M36" s="13">
        <v>2004</v>
      </c>
      <c r="N36" s="11">
        <v>638</v>
      </c>
      <c r="O36" s="11">
        <v>701</v>
      </c>
      <c r="P36" s="11">
        <v>815</v>
      </c>
      <c r="Q36" s="11">
        <v>847</v>
      </c>
      <c r="R36" s="11">
        <v>864</v>
      </c>
      <c r="S36" s="11">
        <v>882</v>
      </c>
      <c r="T36" s="11">
        <v>33</v>
      </c>
      <c r="U36" s="11">
        <v>64</v>
      </c>
      <c r="V36" s="11">
        <v>92</v>
      </c>
      <c r="W36" s="11">
        <v>93</v>
      </c>
      <c r="X36" s="11">
        <v>103</v>
      </c>
      <c r="Y36" s="11">
        <v>102</v>
      </c>
      <c r="Z36" s="27" t="s">
        <v>51</v>
      </c>
    </row>
    <row r="37" spans="1:26" ht="19.2" x14ac:dyDescent="0.3">
      <c r="A37" s="10" t="s">
        <v>52</v>
      </c>
      <c r="B37" s="11">
        <v>7</v>
      </c>
      <c r="C37" s="11">
        <v>7</v>
      </c>
      <c r="D37" s="11">
        <v>7</v>
      </c>
      <c r="E37" s="11">
        <v>7</v>
      </c>
      <c r="F37" s="11">
        <v>7</v>
      </c>
      <c r="G37" s="11">
        <v>6</v>
      </c>
      <c r="H37" s="11">
        <v>212</v>
      </c>
      <c r="I37" s="11">
        <v>299</v>
      </c>
      <c r="J37" s="11">
        <v>351</v>
      </c>
      <c r="K37" s="11">
        <v>384</v>
      </c>
      <c r="L37" s="11">
        <v>395</v>
      </c>
      <c r="M37" s="11">
        <v>385</v>
      </c>
      <c r="N37" s="11">
        <v>537</v>
      </c>
      <c r="O37" s="11">
        <v>366</v>
      </c>
      <c r="P37" s="11">
        <v>388</v>
      </c>
      <c r="Q37" s="11">
        <v>406</v>
      </c>
      <c r="R37" s="11">
        <v>404</v>
      </c>
      <c r="S37" s="11">
        <v>411</v>
      </c>
      <c r="T37" s="11">
        <v>36</v>
      </c>
      <c r="U37" s="11">
        <v>33</v>
      </c>
      <c r="V37" s="11">
        <v>42</v>
      </c>
      <c r="W37" s="11">
        <v>45</v>
      </c>
      <c r="X37" s="11">
        <v>46</v>
      </c>
      <c r="Y37" s="11">
        <v>45</v>
      </c>
      <c r="Z37" s="27" t="s">
        <v>52</v>
      </c>
    </row>
    <row r="38" spans="1:26" ht="19.2" x14ac:dyDescent="0.3">
      <c r="A38" s="10" t="s">
        <v>53</v>
      </c>
      <c r="B38" s="11">
        <v>4</v>
      </c>
      <c r="C38" s="11">
        <v>3</v>
      </c>
      <c r="D38" s="11">
        <v>2</v>
      </c>
      <c r="E38" s="11">
        <v>2</v>
      </c>
      <c r="F38" s="11">
        <v>2</v>
      </c>
      <c r="G38" s="11">
        <v>2</v>
      </c>
      <c r="H38" s="11">
        <v>700</v>
      </c>
      <c r="I38" s="11">
        <v>786</v>
      </c>
      <c r="J38" s="11">
        <v>905</v>
      </c>
      <c r="K38" s="11">
        <v>923</v>
      </c>
      <c r="L38" s="11">
        <v>917</v>
      </c>
      <c r="M38" s="11">
        <v>920</v>
      </c>
      <c r="N38" s="11">
        <v>281</v>
      </c>
      <c r="O38" s="11">
        <v>300</v>
      </c>
      <c r="P38" s="11">
        <v>329</v>
      </c>
      <c r="Q38" s="11">
        <v>331</v>
      </c>
      <c r="R38" s="11">
        <v>332</v>
      </c>
      <c r="S38" s="11">
        <v>337</v>
      </c>
      <c r="T38" s="11">
        <v>28</v>
      </c>
      <c r="U38" s="11">
        <v>33</v>
      </c>
      <c r="V38" s="11">
        <v>35</v>
      </c>
      <c r="W38" s="11">
        <v>35</v>
      </c>
      <c r="X38" s="11">
        <v>35</v>
      </c>
      <c r="Y38" s="11">
        <v>35</v>
      </c>
      <c r="Z38" s="27" t="s">
        <v>53</v>
      </c>
    </row>
    <row r="39" spans="1:26" ht="19.2" x14ac:dyDescent="0.3">
      <c r="A39" s="10" t="s">
        <v>55</v>
      </c>
      <c r="B39" s="11">
        <v>10</v>
      </c>
      <c r="C39" s="11">
        <v>9</v>
      </c>
      <c r="D39" s="11">
        <v>8</v>
      </c>
      <c r="E39" s="11">
        <v>7</v>
      </c>
      <c r="F39" s="11">
        <v>7</v>
      </c>
      <c r="G39" s="11">
        <v>7</v>
      </c>
      <c r="H39" s="11">
        <v>589</v>
      </c>
      <c r="I39" s="11">
        <v>551</v>
      </c>
      <c r="J39" s="11">
        <v>577</v>
      </c>
      <c r="K39" s="11">
        <v>627</v>
      </c>
      <c r="L39" s="11">
        <v>639</v>
      </c>
      <c r="M39" s="11">
        <v>657</v>
      </c>
      <c r="N39" s="11">
        <v>339</v>
      </c>
      <c r="O39" s="11">
        <v>341</v>
      </c>
      <c r="P39" s="11">
        <v>345</v>
      </c>
      <c r="Q39" s="11">
        <v>337</v>
      </c>
      <c r="R39" s="11">
        <v>339</v>
      </c>
      <c r="S39" s="11">
        <v>348</v>
      </c>
      <c r="T39" s="11">
        <v>12</v>
      </c>
      <c r="U39" s="11">
        <v>14</v>
      </c>
      <c r="V39" s="11">
        <v>17</v>
      </c>
      <c r="W39" s="11">
        <v>18</v>
      </c>
      <c r="X39" s="11">
        <v>19</v>
      </c>
      <c r="Y39" s="11">
        <v>19</v>
      </c>
      <c r="Z39" s="27" t="s">
        <v>55</v>
      </c>
    </row>
    <row r="40" spans="1:26" ht="19.2" x14ac:dyDescent="0.3">
      <c r="A40" s="10" t="s">
        <v>57</v>
      </c>
      <c r="B40" s="11">
        <v>13</v>
      </c>
      <c r="C40" s="11">
        <v>7</v>
      </c>
      <c r="D40" s="11">
        <v>8</v>
      </c>
      <c r="E40" s="11">
        <v>8</v>
      </c>
      <c r="F40" s="11">
        <v>8</v>
      </c>
      <c r="G40" s="11">
        <v>9</v>
      </c>
      <c r="H40" s="11" t="s">
        <v>219</v>
      </c>
      <c r="I40" s="11" t="s">
        <v>220</v>
      </c>
      <c r="J40" s="11" t="s">
        <v>221</v>
      </c>
      <c r="K40" s="13">
        <v>2886</v>
      </c>
      <c r="L40" s="11" t="s">
        <v>222</v>
      </c>
      <c r="M40" s="13">
        <v>3105</v>
      </c>
      <c r="N40" s="11" t="s">
        <v>293</v>
      </c>
      <c r="O40" s="11" t="s">
        <v>294</v>
      </c>
      <c r="P40" s="11" t="s">
        <v>295</v>
      </c>
      <c r="Q40" s="13">
        <v>1971</v>
      </c>
      <c r="R40" s="11" t="s">
        <v>296</v>
      </c>
      <c r="S40" s="13">
        <v>2045</v>
      </c>
      <c r="T40" s="11">
        <v>140</v>
      </c>
      <c r="U40" s="11">
        <v>284</v>
      </c>
      <c r="V40" s="11">
        <v>356</v>
      </c>
      <c r="W40" s="11">
        <v>380</v>
      </c>
      <c r="X40" s="11">
        <v>395</v>
      </c>
      <c r="Y40" s="11">
        <v>421</v>
      </c>
      <c r="Z40" s="27" t="s">
        <v>57</v>
      </c>
    </row>
    <row r="41" spans="1:26" x14ac:dyDescent="0.3">
      <c r="A41" s="8" t="s">
        <v>60</v>
      </c>
      <c r="B41" s="230">
        <v>174</v>
      </c>
      <c r="C41" s="230">
        <v>231</v>
      </c>
      <c r="D41" s="230">
        <v>238</v>
      </c>
      <c r="E41" s="230">
        <v>233</v>
      </c>
      <c r="F41" s="230">
        <v>224</v>
      </c>
      <c r="G41" s="230">
        <v>217</v>
      </c>
      <c r="H41" s="230" t="s">
        <v>223</v>
      </c>
      <c r="I41" s="230" t="s">
        <v>224</v>
      </c>
      <c r="J41" s="230" t="s">
        <v>225</v>
      </c>
      <c r="K41" s="228">
        <v>17680</v>
      </c>
      <c r="L41" s="230" t="s">
        <v>226</v>
      </c>
      <c r="M41" s="228">
        <v>18019</v>
      </c>
      <c r="N41" s="230" t="s">
        <v>297</v>
      </c>
      <c r="O41" s="230" t="s">
        <v>298</v>
      </c>
      <c r="P41" s="230" t="s">
        <v>299</v>
      </c>
      <c r="Q41" s="228">
        <v>7452</v>
      </c>
      <c r="R41" s="228">
        <v>7576</v>
      </c>
      <c r="S41" s="228">
        <v>7726</v>
      </c>
      <c r="T41" s="230">
        <v>299</v>
      </c>
      <c r="U41" s="230">
        <v>411</v>
      </c>
      <c r="V41" s="230">
        <v>507</v>
      </c>
      <c r="W41" s="230">
        <v>507</v>
      </c>
      <c r="X41" s="230">
        <v>508</v>
      </c>
      <c r="Y41" s="230">
        <v>539</v>
      </c>
      <c r="Z41" s="26" t="s">
        <v>60</v>
      </c>
    </row>
    <row r="42" spans="1:26" ht="19.2" x14ac:dyDescent="0.3">
      <c r="A42" s="8" t="s">
        <v>6</v>
      </c>
      <c r="B42" s="230"/>
      <c r="C42" s="230"/>
      <c r="D42" s="230"/>
      <c r="E42" s="230"/>
      <c r="F42" s="230"/>
      <c r="G42" s="230"/>
      <c r="H42" s="230"/>
      <c r="I42" s="230"/>
      <c r="J42" s="230"/>
      <c r="K42" s="228"/>
      <c r="L42" s="230"/>
      <c r="M42" s="228"/>
      <c r="N42" s="230"/>
      <c r="O42" s="230"/>
      <c r="P42" s="230"/>
      <c r="Q42" s="228"/>
      <c r="R42" s="228"/>
      <c r="S42" s="228"/>
      <c r="T42" s="230"/>
      <c r="U42" s="230"/>
      <c r="V42" s="230"/>
      <c r="W42" s="230"/>
      <c r="X42" s="230"/>
      <c r="Y42" s="230"/>
      <c r="Z42" s="26" t="s">
        <v>6</v>
      </c>
    </row>
    <row r="43" spans="1:26" ht="19.2" x14ac:dyDescent="0.3">
      <c r="A43" s="10" t="s">
        <v>61</v>
      </c>
      <c r="B43" s="11">
        <v>3</v>
      </c>
      <c r="C43" s="11">
        <v>3</v>
      </c>
      <c r="D43" s="11">
        <v>3</v>
      </c>
      <c r="E43" s="11">
        <v>3</v>
      </c>
      <c r="F43" s="11">
        <v>3</v>
      </c>
      <c r="G43" s="11">
        <v>3</v>
      </c>
      <c r="H43" s="11">
        <v>383</v>
      </c>
      <c r="I43" s="11">
        <v>603</v>
      </c>
      <c r="J43" s="11">
        <v>671</v>
      </c>
      <c r="K43" s="11">
        <v>674</v>
      </c>
      <c r="L43" s="11">
        <v>678</v>
      </c>
      <c r="M43" s="11">
        <v>676</v>
      </c>
      <c r="N43" s="11">
        <v>203</v>
      </c>
      <c r="O43" s="11">
        <v>185</v>
      </c>
      <c r="P43" s="11">
        <v>209</v>
      </c>
      <c r="Q43" s="11">
        <v>215</v>
      </c>
      <c r="R43" s="11">
        <v>223</v>
      </c>
      <c r="S43" s="11">
        <v>220</v>
      </c>
      <c r="T43" s="11">
        <v>7</v>
      </c>
      <c r="U43" s="11">
        <v>12</v>
      </c>
      <c r="V43" s="11">
        <v>12</v>
      </c>
      <c r="W43" s="11">
        <v>12</v>
      </c>
      <c r="X43" s="11">
        <v>12</v>
      </c>
      <c r="Y43" s="11">
        <v>12</v>
      </c>
      <c r="Z43" s="27" t="s">
        <v>61</v>
      </c>
    </row>
    <row r="44" spans="1:26" ht="19.2" x14ac:dyDescent="0.3">
      <c r="A44" s="10" t="s">
        <v>62</v>
      </c>
      <c r="B44" s="11">
        <v>2</v>
      </c>
      <c r="C44" s="11">
        <v>2</v>
      </c>
      <c r="D44" s="11">
        <v>2</v>
      </c>
      <c r="E44" s="11">
        <v>2</v>
      </c>
      <c r="F44" s="11">
        <v>2</v>
      </c>
      <c r="G44" s="11" t="s">
        <v>44</v>
      </c>
      <c r="H44" s="11">
        <v>360</v>
      </c>
      <c r="I44" s="11">
        <v>288</v>
      </c>
      <c r="J44" s="11">
        <v>297</v>
      </c>
      <c r="K44" s="11">
        <v>302</v>
      </c>
      <c r="L44" s="11">
        <v>305</v>
      </c>
      <c r="M44" s="11">
        <v>250</v>
      </c>
      <c r="N44" s="11">
        <v>190</v>
      </c>
      <c r="O44" s="11">
        <v>185</v>
      </c>
      <c r="P44" s="11">
        <v>184</v>
      </c>
      <c r="Q44" s="11">
        <v>184</v>
      </c>
      <c r="R44" s="11">
        <v>185</v>
      </c>
      <c r="S44" s="11">
        <v>144</v>
      </c>
      <c r="T44" s="11">
        <v>2</v>
      </c>
      <c r="U44" s="11">
        <v>2</v>
      </c>
      <c r="V44" s="11">
        <v>3</v>
      </c>
      <c r="W44" s="11">
        <v>3</v>
      </c>
      <c r="X44" s="11">
        <v>4</v>
      </c>
      <c r="Y44" s="11">
        <v>1</v>
      </c>
      <c r="Z44" s="27" t="s">
        <v>62</v>
      </c>
    </row>
    <row r="45" spans="1:26" ht="19.2" x14ac:dyDescent="0.3">
      <c r="A45" s="10" t="s">
        <v>63</v>
      </c>
      <c r="B45" s="11"/>
      <c r="C45" s="11">
        <v>37</v>
      </c>
      <c r="D45" s="11">
        <v>34</v>
      </c>
      <c r="E45" s="11">
        <v>31</v>
      </c>
      <c r="F45" s="11">
        <v>30</v>
      </c>
      <c r="G45" s="11">
        <v>30</v>
      </c>
      <c r="H45" s="11"/>
      <c r="I45" s="11" t="s">
        <v>227</v>
      </c>
      <c r="J45" s="11" t="s">
        <v>228</v>
      </c>
      <c r="K45" s="13">
        <v>1497</v>
      </c>
      <c r="L45" s="11" t="s">
        <v>229</v>
      </c>
      <c r="M45" s="13">
        <v>1516</v>
      </c>
      <c r="N45" s="11"/>
      <c r="O45" s="11">
        <v>668</v>
      </c>
      <c r="P45" s="11">
        <v>756</v>
      </c>
      <c r="Q45" s="11">
        <v>761</v>
      </c>
      <c r="R45" s="11">
        <v>754</v>
      </c>
      <c r="S45" s="11">
        <v>772</v>
      </c>
      <c r="T45" s="11"/>
      <c r="U45" s="11">
        <v>17</v>
      </c>
      <c r="V45" s="11">
        <v>27</v>
      </c>
      <c r="W45" s="11">
        <v>27</v>
      </c>
      <c r="X45" s="11">
        <v>27</v>
      </c>
      <c r="Y45" s="11">
        <v>28</v>
      </c>
      <c r="Z45" s="27" t="s">
        <v>63</v>
      </c>
    </row>
    <row r="46" spans="1:26" ht="19.2" x14ac:dyDescent="0.3">
      <c r="A46" s="10" t="s">
        <v>65</v>
      </c>
      <c r="B46" s="11">
        <v>74</v>
      </c>
      <c r="C46" s="11">
        <v>80</v>
      </c>
      <c r="D46" s="11">
        <v>84</v>
      </c>
      <c r="E46" s="11">
        <v>85</v>
      </c>
      <c r="F46" s="11">
        <v>87</v>
      </c>
      <c r="G46" s="11">
        <v>82</v>
      </c>
      <c r="H46" s="11" t="s">
        <v>230</v>
      </c>
      <c r="I46" s="11" t="s">
        <v>231</v>
      </c>
      <c r="J46" s="11" t="s">
        <v>232</v>
      </c>
      <c r="K46" s="13">
        <v>5578</v>
      </c>
      <c r="L46" s="11" t="s">
        <v>233</v>
      </c>
      <c r="M46" s="13">
        <v>5717</v>
      </c>
      <c r="N46" s="11" t="s">
        <v>300</v>
      </c>
      <c r="O46" s="11" t="s">
        <v>301</v>
      </c>
      <c r="P46" s="11" t="s">
        <v>302</v>
      </c>
      <c r="Q46" s="13">
        <v>2477</v>
      </c>
      <c r="R46" s="11" t="s">
        <v>303</v>
      </c>
      <c r="S46" s="13">
        <v>2681</v>
      </c>
      <c r="T46" s="11">
        <v>131</v>
      </c>
      <c r="U46" s="11">
        <v>164</v>
      </c>
      <c r="V46" s="11">
        <v>201</v>
      </c>
      <c r="W46" s="11">
        <v>202</v>
      </c>
      <c r="X46" s="11">
        <v>201</v>
      </c>
      <c r="Y46" s="11">
        <v>228</v>
      </c>
      <c r="Z46" s="27" t="s">
        <v>65</v>
      </c>
    </row>
    <row r="47" spans="1:26" ht="19.2" x14ac:dyDescent="0.3">
      <c r="A47" s="10" t="s">
        <v>66</v>
      </c>
      <c r="B47" s="11">
        <v>6</v>
      </c>
      <c r="C47" s="11">
        <v>8</v>
      </c>
      <c r="D47" s="11">
        <v>17</v>
      </c>
      <c r="E47" s="11">
        <v>17</v>
      </c>
      <c r="F47" s="11">
        <v>8</v>
      </c>
      <c r="G47" s="11">
        <v>8</v>
      </c>
      <c r="H47" s="11">
        <v>918</v>
      </c>
      <c r="I47" s="11">
        <v>916</v>
      </c>
      <c r="J47" s="11">
        <v>738</v>
      </c>
      <c r="K47" s="11">
        <v>746</v>
      </c>
      <c r="L47" s="11">
        <v>739</v>
      </c>
      <c r="M47" s="11">
        <v>746</v>
      </c>
      <c r="N47" s="11">
        <v>389</v>
      </c>
      <c r="O47" s="11">
        <v>476</v>
      </c>
      <c r="P47" s="11">
        <v>541</v>
      </c>
      <c r="Q47" s="11">
        <v>550</v>
      </c>
      <c r="R47" s="11">
        <v>577</v>
      </c>
      <c r="S47" s="11">
        <v>579</v>
      </c>
      <c r="T47" s="11">
        <v>10</v>
      </c>
      <c r="U47" s="11">
        <v>16</v>
      </c>
      <c r="V47" s="11">
        <v>26</v>
      </c>
      <c r="W47" s="11">
        <v>24</v>
      </c>
      <c r="X47" s="11">
        <v>23</v>
      </c>
      <c r="Y47" s="11">
        <v>23</v>
      </c>
      <c r="Z47" s="27" t="s">
        <v>66</v>
      </c>
    </row>
    <row r="48" spans="1:26" ht="19.2" x14ac:dyDescent="0.3">
      <c r="A48" s="10" t="s">
        <v>67</v>
      </c>
      <c r="B48" s="11">
        <v>35</v>
      </c>
      <c r="C48" s="11">
        <v>41</v>
      </c>
      <c r="D48" s="11">
        <v>38</v>
      </c>
      <c r="E48" s="11">
        <v>35</v>
      </c>
      <c r="F48" s="11">
        <v>35</v>
      </c>
      <c r="G48" s="11">
        <v>35</v>
      </c>
      <c r="H48" s="11" t="s">
        <v>234</v>
      </c>
      <c r="I48" s="11" t="s">
        <v>235</v>
      </c>
      <c r="J48" s="11" t="s">
        <v>236</v>
      </c>
      <c r="K48" s="13">
        <v>2505</v>
      </c>
      <c r="L48" s="11" t="s">
        <v>237</v>
      </c>
      <c r="M48" s="13">
        <v>2535</v>
      </c>
      <c r="N48" s="11" t="s">
        <v>304</v>
      </c>
      <c r="O48" s="11" t="s">
        <v>305</v>
      </c>
      <c r="P48" s="11" t="s">
        <v>306</v>
      </c>
      <c r="Q48" s="13">
        <v>1225</v>
      </c>
      <c r="R48" s="11" t="s">
        <v>307</v>
      </c>
      <c r="S48" s="13">
        <v>1244</v>
      </c>
      <c r="T48" s="11">
        <v>42</v>
      </c>
      <c r="U48" s="11">
        <v>55</v>
      </c>
      <c r="V48" s="11">
        <v>64</v>
      </c>
      <c r="W48" s="11">
        <v>64</v>
      </c>
      <c r="X48" s="11">
        <v>65</v>
      </c>
      <c r="Y48" s="11">
        <v>66</v>
      </c>
      <c r="Z48" s="27" t="s">
        <v>67</v>
      </c>
    </row>
    <row r="49" spans="1:26" ht="19.2" x14ac:dyDescent="0.3">
      <c r="A49" s="10" t="s">
        <v>70</v>
      </c>
      <c r="B49" s="11">
        <v>54</v>
      </c>
      <c r="C49" s="11">
        <v>54</v>
      </c>
      <c r="D49" s="11">
        <v>56</v>
      </c>
      <c r="E49" s="11">
        <v>56</v>
      </c>
      <c r="F49" s="11">
        <v>56</v>
      </c>
      <c r="G49" s="11">
        <v>56</v>
      </c>
      <c r="H49" s="11" t="s">
        <v>238</v>
      </c>
      <c r="I49" s="11" t="s">
        <v>239</v>
      </c>
      <c r="J49" s="11" t="s">
        <v>240</v>
      </c>
      <c r="K49" s="13">
        <v>6183</v>
      </c>
      <c r="L49" s="11" t="s">
        <v>241</v>
      </c>
      <c r="M49" s="13">
        <v>6363</v>
      </c>
      <c r="N49" s="11" t="s">
        <v>154</v>
      </c>
      <c r="O49" s="11" t="s">
        <v>308</v>
      </c>
      <c r="P49" s="11" t="s">
        <v>309</v>
      </c>
      <c r="Q49" s="13">
        <v>1911</v>
      </c>
      <c r="R49" s="11" t="s">
        <v>310</v>
      </c>
      <c r="S49" s="13">
        <v>1952</v>
      </c>
      <c r="T49" s="11">
        <v>107</v>
      </c>
      <c r="U49" s="11">
        <v>139</v>
      </c>
      <c r="V49" s="11">
        <v>164</v>
      </c>
      <c r="W49" s="11">
        <v>165</v>
      </c>
      <c r="X49" s="11">
        <v>166</v>
      </c>
      <c r="Y49" s="11">
        <v>171</v>
      </c>
      <c r="Z49" s="27" t="s">
        <v>70</v>
      </c>
    </row>
    <row r="50" spans="1:26" ht="28.8" x14ac:dyDescent="0.3">
      <c r="A50" s="10" t="s">
        <v>71</v>
      </c>
      <c r="B50" s="11"/>
      <c r="C50" s="11">
        <v>6</v>
      </c>
      <c r="D50" s="11">
        <v>4</v>
      </c>
      <c r="E50" s="11">
        <v>4</v>
      </c>
      <c r="F50" s="11">
        <v>3</v>
      </c>
      <c r="G50" s="11">
        <v>3</v>
      </c>
      <c r="H50" s="11"/>
      <c r="I50" s="11">
        <v>314</v>
      </c>
      <c r="J50" s="11">
        <v>196</v>
      </c>
      <c r="K50" s="11">
        <v>195</v>
      </c>
      <c r="L50" s="11">
        <v>210</v>
      </c>
      <c r="M50" s="11">
        <v>216</v>
      </c>
      <c r="N50" s="11"/>
      <c r="O50" s="11">
        <v>262</v>
      </c>
      <c r="P50" s="11">
        <v>136</v>
      </c>
      <c r="Q50" s="11">
        <v>129</v>
      </c>
      <c r="R50" s="11">
        <v>134</v>
      </c>
      <c r="S50" s="11">
        <v>134</v>
      </c>
      <c r="T50" s="11"/>
      <c r="U50" s="11">
        <v>6</v>
      </c>
      <c r="V50" s="11">
        <v>10</v>
      </c>
      <c r="W50" s="11">
        <v>10</v>
      </c>
      <c r="X50" s="11">
        <v>10</v>
      </c>
      <c r="Y50" s="11">
        <v>10</v>
      </c>
      <c r="Z50" s="27" t="s">
        <v>71</v>
      </c>
    </row>
    <row r="51" spans="1:26" ht="19.2" x14ac:dyDescent="0.3">
      <c r="A51" s="8" t="s">
        <v>73</v>
      </c>
      <c r="B51" s="230">
        <v>89</v>
      </c>
      <c r="C51" s="230">
        <v>100</v>
      </c>
      <c r="D51" s="230">
        <v>107</v>
      </c>
      <c r="E51" s="230">
        <v>102</v>
      </c>
      <c r="F51" s="230">
        <v>92</v>
      </c>
      <c r="G51" s="230">
        <v>97</v>
      </c>
      <c r="H51" s="230" t="s">
        <v>242</v>
      </c>
      <c r="I51" s="230" t="s">
        <v>243</v>
      </c>
      <c r="J51" s="230" t="s">
        <v>244</v>
      </c>
      <c r="K51" s="228">
        <v>8406</v>
      </c>
      <c r="L51" s="230" t="s">
        <v>245</v>
      </c>
      <c r="M51" s="228">
        <v>9035</v>
      </c>
      <c r="N51" s="230" t="s">
        <v>311</v>
      </c>
      <c r="O51" s="230" t="s">
        <v>312</v>
      </c>
      <c r="P51" s="230" t="s">
        <v>313</v>
      </c>
      <c r="Q51" s="228">
        <v>4250</v>
      </c>
      <c r="R51" s="228">
        <v>4326</v>
      </c>
      <c r="S51" s="228">
        <v>4504</v>
      </c>
      <c r="T51" s="230">
        <v>101</v>
      </c>
      <c r="U51" s="230">
        <v>147</v>
      </c>
      <c r="V51" s="230">
        <v>205</v>
      </c>
      <c r="W51" s="230">
        <v>231</v>
      </c>
      <c r="X51" s="230">
        <v>229</v>
      </c>
      <c r="Y51" s="230">
        <v>251</v>
      </c>
      <c r="Z51" s="26" t="s">
        <v>73</v>
      </c>
    </row>
    <row r="52" spans="1:26" ht="19.2" x14ac:dyDescent="0.3">
      <c r="A52" s="8" t="s">
        <v>6</v>
      </c>
      <c r="B52" s="230"/>
      <c r="C52" s="230"/>
      <c r="D52" s="230"/>
      <c r="E52" s="230"/>
      <c r="F52" s="230"/>
      <c r="G52" s="230"/>
      <c r="H52" s="230"/>
      <c r="I52" s="230"/>
      <c r="J52" s="230"/>
      <c r="K52" s="228"/>
      <c r="L52" s="230"/>
      <c r="M52" s="228"/>
      <c r="N52" s="230"/>
      <c r="O52" s="230"/>
      <c r="P52" s="230"/>
      <c r="Q52" s="228"/>
      <c r="R52" s="228"/>
      <c r="S52" s="228"/>
      <c r="T52" s="230"/>
      <c r="U52" s="230"/>
      <c r="V52" s="230"/>
      <c r="W52" s="230"/>
      <c r="X52" s="230"/>
      <c r="Y52" s="230"/>
      <c r="Z52" s="26" t="s">
        <v>6</v>
      </c>
    </row>
    <row r="53" spans="1:26" ht="19.2" x14ac:dyDescent="0.3">
      <c r="A53" s="10" t="s">
        <v>74</v>
      </c>
      <c r="B53" s="11">
        <v>12</v>
      </c>
      <c r="C53" s="11">
        <v>12</v>
      </c>
      <c r="D53" s="11">
        <v>13</v>
      </c>
      <c r="E53" s="11">
        <v>13</v>
      </c>
      <c r="F53" s="11">
        <v>12</v>
      </c>
      <c r="G53" s="11">
        <v>13</v>
      </c>
      <c r="H53" s="11" t="s">
        <v>246</v>
      </c>
      <c r="I53" s="11" t="s">
        <v>247</v>
      </c>
      <c r="J53" s="11" t="s">
        <v>248</v>
      </c>
      <c r="K53" s="13">
        <v>2112</v>
      </c>
      <c r="L53" s="11" t="s">
        <v>249</v>
      </c>
      <c r="M53" s="13">
        <v>2579</v>
      </c>
      <c r="N53" s="11">
        <v>760</v>
      </c>
      <c r="O53" s="11">
        <v>868</v>
      </c>
      <c r="P53" s="11" t="s">
        <v>314</v>
      </c>
      <c r="Q53" s="13">
        <v>1050</v>
      </c>
      <c r="R53" s="11" t="s">
        <v>315</v>
      </c>
      <c r="S53" s="13">
        <v>1094</v>
      </c>
      <c r="T53" s="11">
        <v>6</v>
      </c>
      <c r="U53" s="11">
        <v>21</v>
      </c>
      <c r="V53" s="11">
        <v>30</v>
      </c>
      <c r="W53" s="11">
        <v>32</v>
      </c>
      <c r="X53" s="11">
        <v>32</v>
      </c>
      <c r="Y53" s="11">
        <v>37</v>
      </c>
      <c r="Z53" s="27" t="s">
        <v>74</v>
      </c>
    </row>
    <row r="54" spans="1:26" ht="19.2" x14ac:dyDescent="0.3">
      <c r="A54" s="10" t="s">
        <v>250</v>
      </c>
      <c r="B54" s="11">
        <v>4</v>
      </c>
      <c r="C54" s="11">
        <v>4</v>
      </c>
      <c r="D54" s="11">
        <v>4</v>
      </c>
      <c r="E54" s="11">
        <v>4</v>
      </c>
      <c r="F54" s="11">
        <v>4</v>
      </c>
      <c r="G54" s="11">
        <v>4</v>
      </c>
      <c r="H54" s="11">
        <v>138</v>
      </c>
      <c r="I54" s="11">
        <v>159</v>
      </c>
      <c r="J54" s="11">
        <v>189</v>
      </c>
      <c r="K54" s="11">
        <v>208</v>
      </c>
      <c r="L54" s="11">
        <v>209</v>
      </c>
      <c r="M54" s="11">
        <v>211</v>
      </c>
      <c r="N54" s="11">
        <v>91</v>
      </c>
      <c r="O54" s="11">
        <v>125</v>
      </c>
      <c r="P54" s="11">
        <v>165</v>
      </c>
      <c r="Q54" s="11">
        <v>163</v>
      </c>
      <c r="R54" s="11">
        <v>163</v>
      </c>
      <c r="S54" s="11">
        <v>170</v>
      </c>
      <c r="T54" s="11" t="s">
        <v>44</v>
      </c>
      <c r="U54" s="11">
        <v>5</v>
      </c>
      <c r="V54" s="11">
        <v>8</v>
      </c>
      <c r="W54" s="11">
        <v>8</v>
      </c>
      <c r="X54" s="11">
        <v>10</v>
      </c>
      <c r="Y54" s="11">
        <v>10</v>
      </c>
      <c r="Z54" s="27" t="s">
        <v>250</v>
      </c>
    </row>
    <row r="55" spans="1:26" ht="28.8" x14ac:dyDescent="0.3">
      <c r="A55" s="8" t="s">
        <v>76</v>
      </c>
      <c r="B55" s="11">
        <v>12</v>
      </c>
      <c r="C55" s="11">
        <v>12</v>
      </c>
      <c r="D55" s="11">
        <v>12</v>
      </c>
      <c r="E55" s="11">
        <v>11</v>
      </c>
      <c r="F55" s="11">
        <v>11</v>
      </c>
      <c r="G55" s="11">
        <v>11</v>
      </c>
      <c r="H55" s="11">
        <v>686</v>
      </c>
      <c r="I55" s="11">
        <v>935</v>
      </c>
      <c r="J55" s="11">
        <v>983</v>
      </c>
      <c r="K55" s="11">
        <v>990</v>
      </c>
      <c r="L55" s="11">
        <v>994</v>
      </c>
      <c r="M55" s="11">
        <v>975</v>
      </c>
      <c r="N55" s="11">
        <v>454</v>
      </c>
      <c r="O55" s="11">
        <v>491</v>
      </c>
      <c r="P55" s="11">
        <v>511</v>
      </c>
      <c r="Q55" s="11">
        <v>514</v>
      </c>
      <c r="R55" s="11">
        <v>515</v>
      </c>
      <c r="S55" s="11">
        <v>518</v>
      </c>
      <c r="T55" s="11">
        <v>15</v>
      </c>
      <c r="U55" s="11">
        <v>15</v>
      </c>
      <c r="V55" s="11">
        <v>20</v>
      </c>
      <c r="W55" s="11">
        <v>16</v>
      </c>
      <c r="X55" s="11">
        <v>16</v>
      </c>
      <c r="Y55" s="11">
        <v>17</v>
      </c>
      <c r="Z55" s="27" t="s">
        <v>251</v>
      </c>
    </row>
    <row r="56" spans="1:26" ht="28.8" x14ac:dyDescent="0.3">
      <c r="A56" s="10" t="s">
        <v>77</v>
      </c>
      <c r="B56" s="36">
        <v>4</v>
      </c>
      <c r="C56" s="36">
        <v>4</v>
      </c>
      <c r="D56" s="36">
        <v>4</v>
      </c>
      <c r="E56" s="36">
        <v>4</v>
      </c>
      <c r="F56" s="36">
        <v>4</v>
      </c>
      <c r="G56" s="36">
        <v>4</v>
      </c>
      <c r="H56" s="36">
        <v>264</v>
      </c>
      <c r="I56" s="36">
        <v>303</v>
      </c>
      <c r="J56" s="36">
        <v>311</v>
      </c>
      <c r="K56" s="36">
        <v>314</v>
      </c>
      <c r="L56" s="36">
        <v>315</v>
      </c>
      <c r="M56" s="36">
        <v>320</v>
      </c>
      <c r="N56" s="36">
        <v>210</v>
      </c>
      <c r="O56" s="36">
        <v>223</v>
      </c>
      <c r="P56" s="36">
        <v>272</v>
      </c>
      <c r="Q56" s="36">
        <v>275</v>
      </c>
      <c r="R56" s="36">
        <v>275</v>
      </c>
      <c r="S56" s="36">
        <v>279</v>
      </c>
      <c r="T56" s="36">
        <v>9</v>
      </c>
      <c r="U56" s="36">
        <v>10</v>
      </c>
      <c r="V56" s="36">
        <v>15</v>
      </c>
      <c r="W56" s="36">
        <v>15</v>
      </c>
      <c r="X56" s="36">
        <v>15</v>
      </c>
      <c r="Y56" s="36">
        <v>15</v>
      </c>
      <c r="Z56" s="27" t="s">
        <v>253</v>
      </c>
    </row>
    <row r="57" spans="1:26" ht="28.8" x14ac:dyDescent="0.3">
      <c r="A57" s="10" t="s">
        <v>1066</v>
      </c>
      <c r="B57" s="36">
        <v>13</v>
      </c>
      <c r="C57" s="36">
        <v>15</v>
      </c>
      <c r="D57" s="36">
        <v>15</v>
      </c>
      <c r="E57" s="36">
        <v>12</v>
      </c>
      <c r="F57" s="36">
        <v>12</v>
      </c>
      <c r="G57" s="36">
        <v>12</v>
      </c>
      <c r="H57" s="36">
        <v>482</v>
      </c>
      <c r="I57" s="36">
        <v>571</v>
      </c>
      <c r="J57" s="36">
        <v>535</v>
      </c>
      <c r="K57" s="36">
        <v>706</v>
      </c>
      <c r="L57" s="36">
        <v>734</v>
      </c>
      <c r="M57" s="36">
        <v>742</v>
      </c>
      <c r="N57" s="36">
        <v>386</v>
      </c>
      <c r="O57" s="36">
        <v>430</v>
      </c>
      <c r="P57" s="36">
        <v>453</v>
      </c>
      <c r="Q57" s="36">
        <v>430</v>
      </c>
      <c r="R57" s="36">
        <v>441</v>
      </c>
      <c r="S57" s="36">
        <v>444</v>
      </c>
      <c r="T57" s="36">
        <v>14</v>
      </c>
      <c r="U57" s="36">
        <v>18</v>
      </c>
      <c r="V57" s="36">
        <v>25</v>
      </c>
      <c r="W57" s="36">
        <v>26</v>
      </c>
      <c r="X57" s="36">
        <v>26</v>
      </c>
      <c r="Y57" s="36">
        <v>26</v>
      </c>
      <c r="Z57" s="27" t="s">
        <v>254</v>
      </c>
    </row>
    <row r="58" spans="1:26" ht="19.2" x14ac:dyDescent="0.3">
      <c r="A58" s="10" t="s">
        <v>78</v>
      </c>
      <c r="B58" s="11">
        <v>3</v>
      </c>
      <c r="C58" s="11">
        <v>13</v>
      </c>
      <c r="D58" s="11">
        <v>17</v>
      </c>
      <c r="E58" s="11">
        <v>17</v>
      </c>
      <c r="F58" s="11">
        <v>9</v>
      </c>
      <c r="G58" s="11">
        <v>13</v>
      </c>
      <c r="H58" s="11">
        <v>694</v>
      </c>
      <c r="I58" s="11">
        <v>695</v>
      </c>
      <c r="J58" s="11" t="s">
        <v>257</v>
      </c>
      <c r="K58" s="13">
        <v>1128</v>
      </c>
      <c r="L58" s="11" t="s">
        <v>258</v>
      </c>
      <c r="M58" s="13">
        <v>1291</v>
      </c>
      <c r="N58" s="11">
        <v>471</v>
      </c>
      <c r="O58" s="11">
        <v>489</v>
      </c>
      <c r="P58" s="11">
        <v>582</v>
      </c>
      <c r="Q58" s="11">
        <v>634</v>
      </c>
      <c r="R58" s="11">
        <v>671</v>
      </c>
      <c r="S58" s="11">
        <v>785</v>
      </c>
      <c r="T58" s="11">
        <v>1</v>
      </c>
      <c r="U58" s="11">
        <v>7</v>
      </c>
      <c r="V58" s="11">
        <v>13</v>
      </c>
      <c r="W58" s="11">
        <v>24</v>
      </c>
      <c r="X58" s="11">
        <v>14</v>
      </c>
      <c r="Y58" s="11">
        <v>26</v>
      </c>
      <c r="Z58" s="27" t="s">
        <v>256</v>
      </c>
    </row>
    <row r="59" spans="1:26" ht="19.8" thickBot="1" x14ac:dyDescent="0.35">
      <c r="A59" s="16" t="s">
        <v>79</v>
      </c>
      <c r="B59" s="17">
        <v>41</v>
      </c>
      <c r="C59" s="17">
        <v>40</v>
      </c>
      <c r="D59" s="17">
        <v>42</v>
      </c>
      <c r="E59" s="17">
        <v>41</v>
      </c>
      <c r="F59" s="17">
        <v>40</v>
      </c>
      <c r="G59" s="17">
        <v>40</v>
      </c>
      <c r="H59" s="17" t="s">
        <v>259</v>
      </c>
      <c r="I59" s="17" t="s">
        <v>260</v>
      </c>
      <c r="J59" s="17" t="s">
        <v>261</v>
      </c>
      <c r="K59" s="23">
        <v>2948</v>
      </c>
      <c r="L59" s="17" t="s">
        <v>262</v>
      </c>
      <c r="M59" s="23">
        <v>2917</v>
      </c>
      <c r="N59" s="17" t="s">
        <v>316</v>
      </c>
      <c r="O59" s="17" t="s">
        <v>317</v>
      </c>
      <c r="P59" s="17" t="s">
        <v>306</v>
      </c>
      <c r="Q59" s="23">
        <v>1184</v>
      </c>
      <c r="R59" s="17" t="s">
        <v>318</v>
      </c>
      <c r="S59" s="23">
        <v>1214</v>
      </c>
      <c r="T59" s="17">
        <v>56</v>
      </c>
      <c r="U59" s="17">
        <v>71</v>
      </c>
      <c r="V59" s="17">
        <v>94</v>
      </c>
      <c r="W59" s="17">
        <v>110</v>
      </c>
      <c r="X59" s="17">
        <v>116</v>
      </c>
      <c r="Y59" s="17">
        <v>120</v>
      </c>
      <c r="Z59" s="30" t="s">
        <v>79</v>
      </c>
    </row>
    <row r="60" spans="1:26" ht="19.2" x14ac:dyDescent="0.3">
      <c r="A60" s="8" t="s">
        <v>80</v>
      </c>
      <c r="B60" s="235">
        <v>414</v>
      </c>
      <c r="C60" s="235">
        <v>380</v>
      </c>
      <c r="D60" s="235">
        <v>364</v>
      </c>
      <c r="E60" s="235">
        <v>360</v>
      </c>
      <c r="F60" s="235">
        <v>360</v>
      </c>
      <c r="G60" s="235">
        <v>353</v>
      </c>
      <c r="H60" s="235" t="s">
        <v>319</v>
      </c>
      <c r="I60" s="235" t="s">
        <v>320</v>
      </c>
      <c r="J60" s="235" t="s">
        <v>321</v>
      </c>
      <c r="K60" s="248">
        <v>33575</v>
      </c>
      <c r="L60" s="248">
        <v>33639</v>
      </c>
      <c r="M60" s="248">
        <v>33749</v>
      </c>
      <c r="N60" s="235" t="s">
        <v>437</v>
      </c>
      <c r="O60" s="235" t="s">
        <v>438</v>
      </c>
      <c r="P60" s="235" t="s">
        <v>439</v>
      </c>
      <c r="Q60" s="248">
        <v>16949</v>
      </c>
      <c r="R60" s="248">
        <v>17027</v>
      </c>
      <c r="S60" s="248">
        <v>17047</v>
      </c>
      <c r="T60" s="235">
        <v>913</v>
      </c>
      <c r="U60" s="235" t="s">
        <v>440</v>
      </c>
      <c r="V60" s="235" t="s">
        <v>278</v>
      </c>
      <c r="W60" s="248">
        <v>1478</v>
      </c>
      <c r="X60" s="248">
        <v>1519</v>
      </c>
      <c r="Y60" s="248">
        <v>1533</v>
      </c>
      <c r="Z60" s="31" t="s">
        <v>80</v>
      </c>
    </row>
    <row r="61" spans="1:26" ht="19.95" customHeight="1" x14ac:dyDescent="0.3">
      <c r="A61" s="8" t="s">
        <v>6</v>
      </c>
      <c r="B61" s="230"/>
      <c r="C61" s="230"/>
      <c r="D61" s="230"/>
      <c r="E61" s="230"/>
      <c r="F61" s="230"/>
      <c r="G61" s="230"/>
      <c r="H61" s="230"/>
      <c r="I61" s="230"/>
      <c r="J61" s="230"/>
      <c r="K61" s="228"/>
      <c r="L61" s="228"/>
      <c r="M61" s="228"/>
      <c r="N61" s="230"/>
      <c r="O61" s="230"/>
      <c r="P61" s="230"/>
      <c r="Q61" s="228"/>
      <c r="R61" s="228"/>
      <c r="S61" s="228"/>
      <c r="T61" s="230"/>
      <c r="U61" s="230"/>
      <c r="V61" s="230"/>
      <c r="W61" s="228"/>
      <c r="X61" s="228"/>
      <c r="Y61" s="228"/>
      <c r="Z61" s="26" t="s">
        <v>6</v>
      </c>
    </row>
    <row r="62" spans="1:26" ht="28.8" x14ac:dyDescent="0.3">
      <c r="A62" s="10" t="s">
        <v>81</v>
      </c>
      <c r="B62" s="11">
        <v>36</v>
      </c>
      <c r="C62" s="11">
        <v>30</v>
      </c>
      <c r="D62" s="11">
        <v>27</v>
      </c>
      <c r="E62" s="11">
        <v>27</v>
      </c>
      <c r="F62" s="11">
        <v>27</v>
      </c>
      <c r="G62" s="11">
        <v>25</v>
      </c>
      <c r="H62" s="11" t="s">
        <v>322</v>
      </c>
      <c r="I62" s="11" t="s">
        <v>323</v>
      </c>
      <c r="J62" s="11" t="s">
        <v>324</v>
      </c>
      <c r="K62" s="13">
        <v>6952</v>
      </c>
      <c r="L62" s="11" t="s">
        <v>325</v>
      </c>
      <c r="M62" s="13">
        <v>7023</v>
      </c>
      <c r="N62" s="11" t="s">
        <v>441</v>
      </c>
      <c r="O62" s="11" t="s">
        <v>442</v>
      </c>
      <c r="P62" s="11" t="s">
        <v>443</v>
      </c>
      <c r="Q62" s="13">
        <v>2635</v>
      </c>
      <c r="R62" s="11">
        <v>2675</v>
      </c>
      <c r="S62" s="13">
        <v>2687</v>
      </c>
      <c r="T62" s="11">
        <v>138</v>
      </c>
      <c r="U62" s="11">
        <v>190</v>
      </c>
      <c r="V62" s="11">
        <v>218</v>
      </c>
      <c r="W62" s="11">
        <v>215</v>
      </c>
      <c r="X62" s="11">
        <v>215</v>
      </c>
      <c r="Y62" s="11">
        <v>218</v>
      </c>
      <c r="Z62" s="27" t="s">
        <v>81</v>
      </c>
    </row>
    <row r="63" spans="1:26" ht="19.2" x14ac:dyDescent="0.3">
      <c r="A63" s="10" t="s">
        <v>82</v>
      </c>
      <c r="B63" s="11">
        <v>10</v>
      </c>
      <c r="C63" s="11">
        <v>6</v>
      </c>
      <c r="D63" s="11">
        <v>7</v>
      </c>
      <c r="E63" s="11">
        <v>7</v>
      </c>
      <c r="F63" s="11">
        <v>7</v>
      </c>
      <c r="G63" s="11">
        <v>8</v>
      </c>
      <c r="H63" s="11">
        <v>954</v>
      </c>
      <c r="I63" s="11" t="s">
        <v>326</v>
      </c>
      <c r="J63" s="11">
        <v>995</v>
      </c>
      <c r="K63" s="13">
        <v>1001</v>
      </c>
      <c r="L63" s="11" t="s">
        <v>327</v>
      </c>
      <c r="M63" s="13">
        <v>1002</v>
      </c>
      <c r="N63" s="11">
        <v>400</v>
      </c>
      <c r="O63" s="11">
        <v>387</v>
      </c>
      <c r="P63" s="11">
        <v>386</v>
      </c>
      <c r="Q63" s="11">
        <v>388</v>
      </c>
      <c r="R63" s="11">
        <v>391</v>
      </c>
      <c r="S63" s="11">
        <v>391</v>
      </c>
      <c r="T63" s="11">
        <v>30</v>
      </c>
      <c r="U63" s="11">
        <v>34</v>
      </c>
      <c r="V63" s="11">
        <v>37</v>
      </c>
      <c r="W63" s="11">
        <v>41</v>
      </c>
      <c r="X63" s="11">
        <v>42</v>
      </c>
      <c r="Y63" s="11">
        <v>42</v>
      </c>
      <c r="Z63" s="27" t="s">
        <v>82</v>
      </c>
    </row>
    <row r="64" spans="1:26" ht="19.2" x14ac:dyDescent="0.3">
      <c r="A64" s="10" t="s">
        <v>83</v>
      </c>
      <c r="B64" s="11">
        <v>22</v>
      </c>
      <c r="C64" s="11">
        <v>7</v>
      </c>
      <c r="D64" s="11">
        <v>6</v>
      </c>
      <c r="E64" s="11">
        <v>6</v>
      </c>
      <c r="F64" s="11">
        <v>6</v>
      </c>
      <c r="G64" s="11">
        <v>6</v>
      </c>
      <c r="H64" s="11" t="s">
        <v>195</v>
      </c>
      <c r="I64" s="11" t="s">
        <v>328</v>
      </c>
      <c r="J64" s="11" t="s">
        <v>329</v>
      </c>
      <c r="K64" s="13">
        <v>1141</v>
      </c>
      <c r="L64" s="11" t="s">
        <v>330</v>
      </c>
      <c r="M64" s="13">
        <v>1110</v>
      </c>
      <c r="N64" s="11">
        <v>560</v>
      </c>
      <c r="O64" s="11">
        <v>547</v>
      </c>
      <c r="P64" s="11">
        <v>514</v>
      </c>
      <c r="Q64" s="11">
        <v>512</v>
      </c>
      <c r="R64" s="11">
        <v>511</v>
      </c>
      <c r="S64" s="11">
        <v>492</v>
      </c>
      <c r="T64" s="11">
        <v>23</v>
      </c>
      <c r="U64" s="11">
        <v>26</v>
      </c>
      <c r="V64" s="11">
        <v>30</v>
      </c>
      <c r="W64" s="11">
        <v>34</v>
      </c>
      <c r="X64" s="11">
        <v>35</v>
      </c>
      <c r="Y64" s="11">
        <v>36</v>
      </c>
      <c r="Z64" s="27" t="s">
        <v>83</v>
      </c>
    </row>
    <row r="65" spans="1:26" ht="19.2" x14ac:dyDescent="0.3">
      <c r="A65" s="10" t="s">
        <v>84</v>
      </c>
      <c r="B65" s="11">
        <v>40</v>
      </c>
      <c r="C65" s="11">
        <v>44</v>
      </c>
      <c r="D65" s="11">
        <v>45</v>
      </c>
      <c r="E65" s="11">
        <v>45</v>
      </c>
      <c r="F65" s="11">
        <v>46</v>
      </c>
      <c r="G65" s="11">
        <v>46</v>
      </c>
      <c r="H65" s="11" t="s">
        <v>331</v>
      </c>
      <c r="I65" s="11" t="s">
        <v>332</v>
      </c>
      <c r="J65" s="11" t="s">
        <v>333</v>
      </c>
      <c r="K65" s="13">
        <v>3623</v>
      </c>
      <c r="L65" s="11" t="s">
        <v>334</v>
      </c>
      <c r="M65" s="13">
        <v>3664</v>
      </c>
      <c r="N65" s="11" t="s">
        <v>444</v>
      </c>
      <c r="O65" s="11" t="s">
        <v>445</v>
      </c>
      <c r="P65" s="11" t="s">
        <v>446</v>
      </c>
      <c r="Q65" s="13">
        <v>2036</v>
      </c>
      <c r="R65" s="11">
        <v>2061</v>
      </c>
      <c r="S65" s="13">
        <v>2083</v>
      </c>
      <c r="T65" s="11">
        <v>143</v>
      </c>
      <c r="U65" s="11">
        <v>184</v>
      </c>
      <c r="V65" s="11">
        <v>249</v>
      </c>
      <c r="W65" s="11">
        <v>263</v>
      </c>
      <c r="X65" s="11">
        <v>281</v>
      </c>
      <c r="Y65" s="11">
        <v>293</v>
      </c>
      <c r="Z65" s="27" t="s">
        <v>84</v>
      </c>
    </row>
    <row r="66" spans="1:26" ht="19.2" x14ac:dyDescent="0.3">
      <c r="A66" s="10" t="s">
        <v>85</v>
      </c>
      <c r="B66" s="11">
        <v>35</v>
      </c>
      <c r="C66" s="11">
        <v>31</v>
      </c>
      <c r="D66" s="11">
        <v>27</v>
      </c>
      <c r="E66" s="11">
        <v>27</v>
      </c>
      <c r="F66" s="11">
        <v>26</v>
      </c>
      <c r="G66" s="11">
        <v>25</v>
      </c>
      <c r="H66" s="11" t="s">
        <v>335</v>
      </c>
      <c r="I66" s="11" t="s">
        <v>336</v>
      </c>
      <c r="J66" s="11" t="s">
        <v>337</v>
      </c>
      <c r="K66" s="13">
        <v>1371</v>
      </c>
      <c r="L66" s="11" t="s">
        <v>338</v>
      </c>
      <c r="M66" s="13">
        <v>1310</v>
      </c>
      <c r="N66" s="11" t="s">
        <v>447</v>
      </c>
      <c r="O66" s="11">
        <v>809</v>
      </c>
      <c r="P66" s="11">
        <v>995</v>
      </c>
      <c r="Q66" s="13">
        <v>1009</v>
      </c>
      <c r="R66" s="11">
        <v>1021</v>
      </c>
      <c r="S66" s="13">
        <v>1018</v>
      </c>
      <c r="T66" s="11">
        <v>55</v>
      </c>
      <c r="U66" s="11">
        <v>70</v>
      </c>
      <c r="V66" s="11">
        <v>104</v>
      </c>
      <c r="W66" s="11">
        <v>106</v>
      </c>
      <c r="X66" s="11">
        <v>106</v>
      </c>
      <c r="Y66" s="11">
        <v>104</v>
      </c>
      <c r="Z66" s="27" t="s">
        <v>85</v>
      </c>
    </row>
    <row r="67" spans="1:26" ht="19.2" x14ac:dyDescent="0.3">
      <c r="A67" s="10" t="s">
        <v>86</v>
      </c>
      <c r="B67" s="11">
        <v>11</v>
      </c>
      <c r="C67" s="11">
        <v>11</v>
      </c>
      <c r="D67" s="11">
        <v>11</v>
      </c>
      <c r="E67" s="11">
        <v>11</v>
      </c>
      <c r="F67" s="11">
        <v>12</v>
      </c>
      <c r="G67" s="11">
        <v>12</v>
      </c>
      <c r="H67" s="11" t="s">
        <v>339</v>
      </c>
      <c r="I67" s="11" t="s">
        <v>340</v>
      </c>
      <c r="J67" s="11" t="s">
        <v>341</v>
      </c>
      <c r="K67" s="13">
        <v>2442</v>
      </c>
      <c r="L67" s="11" t="s">
        <v>342</v>
      </c>
      <c r="M67" s="13">
        <v>2365</v>
      </c>
      <c r="N67" s="11">
        <v>714</v>
      </c>
      <c r="O67" s="11">
        <v>745</v>
      </c>
      <c r="P67" s="11">
        <v>775</v>
      </c>
      <c r="Q67" s="11">
        <v>775</v>
      </c>
      <c r="R67" s="11">
        <v>770</v>
      </c>
      <c r="S67" s="11">
        <v>762</v>
      </c>
      <c r="T67" s="11">
        <v>60</v>
      </c>
      <c r="U67" s="11">
        <v>70</v>
      </c>
      <c r="V67" s="11">
        <v>84</v>
      </c>
      <c r="W67" s="11">
        <v>86</v>
      </c>
      <c r="X67" s="11">
        <v>86</v>
      </c>
      <c r="Y67" s="11">
        <v>86</v>
      </c>
      <c r="Z67" s="27" t="s">
        <v>86</v>
      </c>
    </row>
    <row r="68" spans="1:26" ht="19.2" x14ac:dyDescent="0.3">
      <c r="A68" s="10" t="s">
        <v>87</v>
      </c>
      <c r="B68" s="11">
        <v>34</v>
      </c>
      <c r="C68" s="11">
        <v>29</v>
      </c>
      <c r="D68" s="11">
        <v>25</v>
      </c>
      <c r="E68" s="11">
        <v>27</v>
      </c>
      <c r="F68" s="11">
        <v>26</v>
      </c>
      <c r="G68" s="11">
        <v>25</v>
      </c>
      <c r="H68" s="11" t="s">
        <v>343</v>
      </c>
      <c r="I68" s="11" t="s">
        <v>344</v>
      </c>
      <c r="J68" s="11" t="s">
        <v>345</v>
      </c>
      <c r="K68" s="13">
        <v>2622</v>
      </c>
      <c r="L68" s="11" t="s">
        <v>346</v>
      </c>
      <c r="M68" s="13">
        <v>2689</v>
      </c>
      <c r="N68" s="11" t="s">
        <v>448</v>
      </c>
      <c r="O68" s="11" t="s">
        <v>449</v>
      </c>
      <c r="P68" s="11" t="s">
        <v>306</v>
      </c>
      <c r="Q68" s="13">
        <v>1222</v>
      </c>
      <c r="R68" s="11">
        <v>1234</v>
      </c>
      <c r="S68" s="13">
        <v>1249</v>
      </c>
      <c r="T68" s="11">
        <v>68</v>
      </c>
      <c r="U68" s="11">
        <v>64</v>
      </c>
      <c r="V68" s="11">
        <v>74</v>
      </c>
      <c r="W68" s="11">
        <v>74</v>
      </c>
      <c r="X68" s="11">
        <v>76</v>
      </c>
      <c r="Y68" s="11">
        <v>76</v>
      </c>
      <c r="Z68" s="27" t="s">
        <v>87</v>
      </c>
    </row>
    <row r="69" spans="1:26" ht="19.2" x14ac:dyDescent="0.3">
      <c r="A69" s="10" t="s">
        <v>88</v>
      </c>
      <c r="B69" s="11">
        <v>28</v>
      </c>
      <c r="C69" s="11">
        <v>28</v>
      </c>
      <c r="D69" s="11">
        <v>26</v>
      </c>
      <c r="E69" s="11">
        <v>27</v>
      </c>
      <c r="F69" s="11">
        <v>25</v>
      </c>
      <c r="G69" s="11">
        <v>24</v>
      </c>
      <c r="H69" s="11" t="s">
        <v>326</v>
      </c>
      <c r="I69" s="11" t="s">
        <v>347</v>
      </c>
      <c r="J69" s="11" t="s">
        <v>348</v>
      </c>
      <c r="K69" s="13">
        <v>1071</v>
      </c>
      <c r="L69" s="11">
        <v>938</v>
      </c>
      <c r="M69" s="11">
        <v>951</v>
      </c>
      <c r="N69" s="11" t="s">
        <v>450</v>
      </c>
      <c r="O69" s="11">
        <v>849</v>
      </c>
      <c r="P69" s="11">
        <v>823</v>
      </c>
      <c r="Q69" s="11">
        <v>816</v>
      </c>
      <c r="R69" s="11">
        <v>838</v>
      </c>
      <c r="S69" s="11">
        <v>823</v>
      </c>
      <c r="T69" s="11">
        <v>24</v>
      </c>
      <c r="U69" s="11">
        <v>30</v>
      </c>
      <c r="V69" s="11">
        <v>32</v>
      </c>
      <c r="W69" s="11">
        <v>40</v>
      </c>
      <c r="X69" s="11">
        <v>41</v>
      </c>
      <c r="Y69" s="11">
        <v>42</v>
      </c>
      <c r="Z69" s="27" t="s">
        <v>88</v>
      </c>
    </row>
    <row r="70" spans="1:26" ht="19.2" x14ac:dyDescent="0.3">
      <c r="A70" s="10" t="s">
        <v>89</v>
      </c>
      <c r="B70" s="11">
        <v>60</v>
      </c>
      <c r="C70" s="11">
        <v>53</v>
      </c>
      <c r="D70" s="11">
        <v>47</v>
      </c>
      <c r="E70" s="11">
        <v>43</v>
      </c>
      <c r="F70" s="11">
        <v>43</v>
      </c>
      <c r="G70" s="11">
        <v>42</v>
      </c>
      <c r="H70" s="11" t="s">
        <v>349</v>
      </c>
      <c r="I70" s="11" t="s">
        <v>350</v>
      </c>
      <c r="J70" s="11" t="s">
        <v>351</v>
      </c>
      <c r="K70" s="13">
        <v>2979</v>
      </c>
      <c r="L70" s="11" t="s">
        <v>352</v>
      </c>
      <c r="M70" s="13">
        <v>2973</v>
      </c>
      <c r="N70" s="11" t="s">
        <v>451</v>
      </c>
      <c r="O70" s="11" t="s">
        <v>452</v>
      </c>
      <c r="P70" s="11" t="s">
        <v>453</v>
      </c>
      <c r="Q70" s="13">
        <v>1834</v>
      </c>
      <c r="R70" s="11">
        <v>1822</v>
      </c>
      <c r="S70" s="13">
        <v>1810</v>
      </c>
      <c r="T70" s="11">
        <v>105</v>
      </c>
      <c r="U70" s="11">
        <v>164</v>
      </c>
      <c r="V70" s="11">
        <v>223</v>
      </c>
      <c r="W70" s="11">
        <v>220</v>
      </c>
      <c r="X70" s="11">
        <v>230</v>
      </c>
      <c r="Y70" s="11">
        <v>228</v>
      </c>
      <c r="Z70" s="27" t="s">
        <v>89</v>
      </c>
    </row>
    <row r="71" spans="1:26" ht="19.2" x14ac:dyDescent="0.3">
      <c r="A71" s="10" t="s">
        <v>90</v>
      </c>
      <c r="B71" s="11">
        <v>28</v>
      </c>
      <c r="C71" s="11">
        <v>34</v>
      </c>
      <c r="D71" s="11">
        <v>34</v>
      </c>
      <c r="E71" s="11">
        <v>34</v>
      </c>
      <c r="F71" s="11">
        <v>36</v>
      </c>
      <c r="G71" s="11">
        <v>35</v>
      </c>
      <c r="H71" s="11" t="s">
        <v>353</v>
      </c>
      <c r="I71" s="11" t="s">
        <v>354</v>
      </c>
      <c r="J71" s="11" t="s">
        <v>355</v>
      </c>
      <c r="K71" s="13">
        <v>2639</v>
      </c>
      <c r="L71" s="11" t="s">
        <v>356</v>
      </c>
      <c r="M71" s="13">
        <v>2611</v>
      </c>
      <c r="N71" s="11" t="s">
        <v>183</v>
      </c>
      <c r="O71" s="11" t="s">
        <v>454</v>
      </c>
      <c r="P71" s="11" t="s">
        <v>455</v>
      </c>
      <c r="Q71" s="13">
        <v>1201</v>
      </c>
      <c r="R71" s="11">
        <v>1202</v>
      </c>
      <c r="S71" s="13">
        <v>1206</v>
      </c>
      <c r="T71" s="11">
        <v>60</v>
      </c>
      <c r="U71" s="11">
        <v>57</v>
      </c>
      <c r="V71" s="11">
        <v>59</v>
      </c>
      <c r="W71" s="11">
        <v>60</v>
      </c>
      <c r="X71" s="11">
        <v>60</v>
      </c>
      <c r="Y71" s="11">
        <v>63</v>
      </c>
      <c r="Z71" s="27" t="s">
        <v>90</v>
      </c>
    </row>
    <row r="72" spans="1:26" ht="19.2" x14ac:dyDescent="0.3">
      <c r="A72" s="10" t="s">
        <v>91</v>
      </c>
      <c r="B72" s="11">
        <v>25</v>
      </c>
      <c r="C72" s="11">
        <v>26</v>
      </c>
      <c r="D72" s="11">
        <v>26</v>
      </c>
      <c r="E72" s="11">
        <v>26</v>
      </c>
      <c r="F72" s="11">
        <v>26</v>
      </c>
      <c r="G72" s="11">
        <v>25</v>
      </c>
      <c r="H72" s="11" t="s">
        <v>357</v>
      </c>
      <c r="I72" s="11" t="s">
        <v>358</v>
      </c>
      <c r="J72" s="11" t="s">
        <v>359</v>
      </c>
      <c r="K72" s="13">
        <v>2368</v>
      </c>
      <c r="L72" s="11" t="s">
        <v>360</v>
      </c>
      <c r="M72" s="13">
        <v>2399</v>
      </c>
      <c r="N72" s="11">
        <v>822</v>
      </c>
      <c r="O72" s="11">
        <v>879</v>
      </c>
      <c r="P72" s="11">
        <v>887</v>
      </c>
      <c r="Q72" s="11">
        <v>887</v>
      </c>
      <c r="R72" s="11">
        <v>885</v>
      </c>
      <c r="S72" s="11">
        <v>884</v>
      </c>
      <c r="T72" s="11">
        <v>65</v>
      </c>
      <c r="U72" s="11">
        <v>71</v>
      </c>
      <c r="V72" s="11">
        <v>72</v>
      </c>
      <c r="W72" s="11">
        <v>72</v>
      </c>
      <c r="X72" s="11">
        <v>71</v>
      </c>
      <c r="Y72" s="11">
        <v>72</v>
      </c>
      <c r="Z72" s="27" t="s">
        <v>91</v>
      </c>
    </row>
    <row r="73" spans="1:26" ht="19.2" x14ac:dyDescent="0.3">
      <c r="A73" s="10" t="s">
        <v>92</v>
      </c>
      <c r="B73" s="11">
        <v>40</v>
      </c>
      <c r="C73" s="11">
        <v>41</v>
      </c>
      <c r="D73" s="11">
        <v>40</v>
      </c>
      <c r="E73" s="11">
        <v>39</v>
      </c>
      <c r="F73" s="11">
        <v>39</v>
      </c>
      <c r="G73" s="11">
        <v>39</v>
      </c>
      <c r="H73" s="11" t="s">
        <v>361</v>
      </c>
      <c r="I73" s="11" t="s">
        <v>362</v>
      </c>
      <c r="J73" s="11" t="s">
        <v>363</v>
      </c>
      <c r="K73" s="13">
        <v>2644</v>
      </c>
      <c r="L73" s="11" t="s">
        <v>364</v>
      </c>
      <c r="M73" s="13">
        <v>2692</v>
      </c>
      <c r="N73" s="11" t="s">
        <v>456</v>
      </c>
      <c r="O73" s="11" t="s">
        <v>457</v>
      </c>
      <c r="P73" s="11" t="s">
        <v>458</v>
      </c>
      <c r="Q73" s="13">
        <v>1526</v>
      </c>
      <c r="R73" s="11">
        <v>1529</v>
      </c>
      <c r="S73" s="13">
        <v>1536</v>
      </c>
      <c r="T73" s="11">
        <v>59</v>
      </c>
      <c r="U73" s="11">
        <v>95</v>
      </c>
      <c r="V73" s="11">
        <v>120</v>
      </c>
      <c r="W73" s="11">
        <v>132</v>
      </c>
      <c r="X73" s="11">
        <v>136</v>
      </c>
      <c r="Y73" s="11">
        <v>137</v>
      </c>
      <c r="Z73" s="27" t="s">
        <v>92</v>
      </c>
    </row>
    <row r="74" spans="1:26" ht="19.2" x14ac:dyDescent="0.3">
      <c r="A74" s="10" t="s">
        <v>93</v>
      </c>
      <c r="B74" s="11">
        <v>27</v>
      </c>
      <c r="C74" s="11">
        <v>26</v>
      </c>
      <c r="D74" s="11">
        <v>26</v>
      </c>
      <c r="E74" s="11">
        <v>24</v>
      </c>
      <c r="F74" s="11">
        <v>24</v>
      </c>
      <c r="G74" s="11">
        <v>24</v>
      </c>
      <c r="H74" s="11" t="s">
        <v>365</v>
      </c>
      <c r="I74" s="11" t="s">
        <v>366</v>
      </c>
      <c r="J74" s="11" t="s">
        <v>367</v>
      </c>
      <c r="K74" s="13">
        <v>1731</v>
      </c>
      <c r="L74" s="11" t="s">
        <v>281</v>
      </c>
      <c r="M74" s="13">
        <v>1977</v>
      </c>
      <c r="N74" s="11" t="s">
        <v>459</v>
      </c>
      <c r="O74" s="11" t="s">
        <v>460</v>
      </c>
      <c r="P74" s="11" t="s">
        <v>152</v>
      </c>
      <c r="Q74" s="13">
        <v>1374</v>
      </c>
      <c r="R74" s="11">
        <v>1364</v>
      </c>
      <c r="S74" s="13">
        <v>1379</v>
      </c>
      <c r="T74" s="11">
        <v>50</v>
      </c>
      <c r="U74" s="11">
        <v>64</v>
      </c>
      <c r="V74" s="11">
        <v>80</v>
      </c>
      <c r="W74" s="11">
        <v>88</v>
      </c>
      <c r="X74" s="11">
        <v>91</v>
      </c>
      <c r="Y74" s="11">
        <v>85</v>
      </c>
      <c r="Z74" s="27" t="s">
        <v>93</v>
      </c>
    </row>
    <row r="75" spans="1:26" ht="19.2" x14ac:dyDescent="0.3">
      <c r="A75" s="10" t="s">
        <v>94</v>
      </c>
      <c r="B75" s="11">
        <v>18</v>
      </c>
      <c r="C75" s="11">
        <v>14</v>
      </c>
      <c r="D75" s="11">
        <v>17</v>
      </c>
      <c r="E75" s="11">
        <v>17</v>
      </c>
      <c r="F75" s="11">
        <v>17</v>
      </c>
      <c r="G75" s="11">
        <v>17</v>
      </c>
      <c r="H75" s="11" t="s">
        <v>368</v>
      </c>
      <c r="I75" s="11" t="s">
        <v>369</v>
      </c>
      <c r="J75" s="11" t="s">
        <v>370</v>
      </c>
      <c r="K75" s="11">
        <v>991</v>
      </c>
      <c r="L75" s="11">
        <v>976</v>
      </c>
      <c r="M75" s="11">
        <v>983</v>
      </c>
      <c r="N75" s="11">
        <v>768</v>
      </c>
      <c r="O75" s="11">
        <v>718</v>
      </c>
      <c r="P75" s="11">
        <v>740</v>
      </c>
      <c r="Q75" s="11">
        <v>734</v>
      </c>
      <c r="R75" s="11">
        <v>724</v>
      </c>
      <c r="S75" s="11">
        <v>727</v>
      </c>
      <c r="T75" s="11">
        <v>33</v>
      </c>
      <c r="U75" s="11">
        <v>41</v>
      </c>
      <c r="V75" s="11">
        <v>46</v>
      </c>
      <c r="W75" s="11">
        <v>47</v>
      </c>
      <c r="X75" s="11">
        <v>49</v>
      </c>
      <c r="Y75" s="11">
        <v>51</v>
      </c>
      <c r="Z75" s="27" t="s">
        <v>94</v>
      </c>
    </row>
    <row r="76" spans="1:26" x14ac:dyDescent="0.3">
      <c r="A76" s="8" t="s">
        <v>95</v>
      </c>
      <c r="B76" s="230">
        <v>159</v>
      </c>
      <c r="C76" s="230">
        <v>204</v>
      </c>
      <c r="D76" s="230">
        <v>126</v>
      </c>
      <c r="E76" s="230">
        <v>130</v>
      </c>
      <c r="F76" s="230">
        <v>125</v>
      </c>
      <c r="G76" s="230">
        <v>124</v>
      </c>
      <c r="H76" s="230" t="s">
        <v>371</v>
      </c>
      <c r="I76" s="230" t="s">
        <v>372</v>
      </c>
      <c r="J76" s="230" t="s">
        <v>373</v>
      </c>
      <c r="K76" s="228">
        <v>12571</v>
      </c>
      <c r="L76" s="228">
        <v>12809</v>
      </c>
      <c r="M76" s="228">
        <v>13060</v>
      </c>
      <c r="N76" s="230" t="s">
        <v>461</v>
      </c>
      <c r="O76" s="230" t="s">
        <v>462</v>
      </c>
      <c r="P76" s="230" t="s">
        <v>463</v>
      </c>
      <c r="Q76" s="228">
        <v>7646</v>
      </c>
      <c r="R76" s="228">
        <v>7728</v>
      </c>
      <c r="S76" s="228">
        <v>7710</v>
      </c>
      <c r="T76" s="230">
        <v>571</v>
      </c>
      <c r="U76" s="230">
        <v>587</v>
      </c>
      <c r="V76" s="230">
        <v>622</v>
      </c>
      <c r="W76" s="230">
        <v>645</v>
      </c>
      <c r="X76" s="230">
        <v>663</v>
      </c>
      <c r="Y76" s="230">
        <v>679</v>
      </c>
      <c r="Z76" s="26" t="s">
        <v>95</v>
      </c>
    </row>
    <row r="77" spans="1:26" ht="19.2" x14ac:dyDescent="0.3">
      <c r="A77" s="8" t="s">
        <v>6</v>
      </c>
      <c r="B77" s="230"/>
      <c r="C77" s="230"/>
      <c r="D77" s="230"/>
      <c r="E77" s="230"/>
      <c r="F77" s="230"/>
      <c r="G77" s="230"/>
      <c r="H77" s="230"/>
      <c r="I77" s="230"/>
      <c r="J77" s="230"/>
      <c r="K77" s="228"/>
      <c r="L77" s="228"/>
      <c r="M77" s="228"/>
      <c r="N77" s="230"/>
      <c r="O77" s="230"/>
      <c r="P77" s="230"/>
      <c r="Q77" s="228"/>
      <c r="R77" s="228"/>
      <c r="S77" s="228"/>
      <c r="T77" s="230"/>
      <c r="U77" s="230"/>
      <c r="V77" s="230"/>
      <c r="W77" s="230"/>
      <c r="X77" s="230"/>
      <c r="Y77" s="230"/>
      <c r="Z77" s="26" t="s">
        <v>6</v>
      </c>
    </row>
    <row r="78" spans="1:26" ht="19.2" x14ac:dyDescent="0.3">
      <c r="A78" s="10" t="s">
        <v>96</v>
      </c>
      <c r="B78" s="11">
        <v>21</v>
      </c>
      <c r="C78" s="11">
        <v>19</v>
      </c>
      <c r="D78" s="11">
        <v>19</v>
      </c>
      <c r="E78" s="11">
        <v>21</v>
      </c>
      <c r="F78" s="11">
        <v>21</v>
      </c>
      <c r="G78" s="11">
        <v>20</v>
      </c>
      <c r="H78" s="11" t="s">
        <v>374</v>
      </c>
      <c r="I78" s="11" t="s">
        <v>375</v>
      </c>
      <c r="J78" s="11" t="s">
        <v>376</v>
      </c>
      <c r="K78" s="13">
        <v>1360</v>
      </c>
      <c r="L78" s="11" t="s">
        <v>377</v>
      </c>
      <c r="M78" s="13">
        <v>1318</v>
      </c>
      <c r="N78" s="11">
        <v>746</v>
      </c>
      <c r="O78" s="11">
        <v>744</v>
      </c>
      <c r="P78" s="11">
        <v>747</v>
      </c>
      <c r="Q78" s="11">
        <v>759</v>
      </c>
      <c r="R78" s="11">
        <v>727</v>
      </c>
      <c r="S78" s="11">
        <v>713</v>
      </c>
      <c r="T78" s="11">
        <v>5</v>
      </c>
      <c r="U78" s="11">
        <v>10</v>
      </c>
      <c r="V78" s="11">
        <v>12</v>
      </c>
      <c r="W78" s="11">
        <v>13</v>
      </c>
      <c r="X78" s="11">
        <v>13</v>
      </c>
      <c r="Y78" s="11">
        <v>15</v>
      </c>
      <c r="Z78" s="27" t="s">
        <v>96</v>
      </c>
    </row>
    <row r="79" spans="1:26" ht="19.2" x14ac:dyDescent="0.3">
      <c r="A79" s="10" t="s">
        <v>97</v>
      </c>
      <c r="B79" s="11">
        <v>58</v>
      </c>
      <c r="C79" s="11">
        <v>111</v>
      </c>
      <c r="D79" s="11">
        <v>46</v>
      </c>
      <c r="E79" s="11">
        <v>48</v>
      </c>
      <c r="F79" s="11">
        <v>44</v>
      </c>
      <c r="G79" s="11">
        <v>45</v>
      </c>
      <c r="H79" s="11" t="s">
        <v>378</v>
      </c>
      <c r="I79" s="11" t="s">
        <v>379</v>
      </c>
      <c r="J79" s="11" t="s">
        <v>380</v>
      </c>
      <c r="K79" s="13">
        <v>4046</v>
      </c>
      <c r="L79" s="11" t="s">
        <v>381</v>
      </c>
      <c r="M79" s="13">
        <v>4156</v>
      </c>
      <c r="N79" s="11" t="s">
        <v>193</v>
      </c>
      <c r="O79" s="11" t="s">
        <v>464</v>
      </c>
      <c r="P79" s="11" t="s">
        <v>465</v>
      </c>
      <c r="Q79" s="13">
        <v>2694</v>
      </c>
      <c r="R79" s="11">
        <v>2770</v>
      </c>
      <c r="S79" s="13">
        <v>2710</v>
      </c>
      <c r="T79" s="11">
        <v>262</v>
      </c>
      <c r="U79" s="11">
        <v>268</v>
      </c>
      <c r="V79" s="11">
        <v>247</v>
      </c>
      <c r="W79" s="11">
        <v>254</v>
      </c>
      <c r="X79" s="11">
        <v>265</v>
      </c>
      <c r="Y79" s="11">
        <v>275</v>
      </c>
      <c r="Z79" s="27" t="s">
        <v>97</v>
      </c>
    </row>
    <row r="80" spans="1:26" ht="19.2" x14ac:dyDescent="0.3">
      <c r="A80" s="10" t="s">
        <v>98</v>
      </c>
      <c r="B80" s="11">
        <v>24</v>
      </c>
      <c r="C80" s="11">
        <v>24</v>
      </c>
      <c r="D80" s="11">
        <v>24</v>
      </c>
      <c r="E80" s="11">
        <v>24</v>
      </c>
      <c r="F80" s="11">
        <v>23</v>
      </c>
      <c r="G80" s="11">
        <v>22</v>
      </c>
      <c r="H80" s="11" t="s">
        <v>362</v>
      </c>
      <c r="I80" s="11" t="s">
        <v>350</v>
      </c>
      <c r="J80" s="13">
        <v>3645</v>
      </c>
      <c r="K80" s="13">
        <v>3781</v>
      </c>
      <c r="L80" s="11" t="s">
        <v>382</v>
      </c>
      <c r="M80" s="13">
        <v>4119</v>
      </c>
      <c r="N80" s="11" t="s">
        <v>466</v>
      </c>
      <c r="O80" s="11" t="s">
        <v>467</v>
      </c>
      <c r="P80" s="11" t="s">
        <v>468</v>
      </c>
      <c r="Q80" s="13">
        <v>2323</v>
      </c>
      <c r="R80" s="11">
        <v>2346</v>
      </c>
      <c r="S80" s="13">
        <v>2371</v>
      </c>
      <c r="T80" s="11">
        <v>191</v>
      </c>
      <c r="U80" s="11">
        <v>226</v>
      </c>
      <c r="V80" s="11">
        <v>261</v>
      </c>
      <c r="W80" s="11">
        <v>275</v>
      </c>
      <c r="X80" s="11">
        <v>285</v>
      </c>
      <c r="Y80" s="11">
        <v>288</v>
      </c>
      <c r="Z80" s="27" t="s">
        <v>98</v>
      </c>
    </row>
    <row r="81" spans="1:26" ht="19.2" x14ac:dyDescent="0.3">
      <c r="A81" s="14" t="s">
        <v>42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28" t="s">
        <v>42</v>
      </c>
    </row>
    <row r="82" spans="1:26" ht="48" x14ac:dyDescent="0.3">
      <c r="A82" s="78" t="s">
        <v>1069</v>
      </c>
      <c r="B82" s="11">
        <v>7</v>
      </c>
      <c r="C82" s="11">
        <v>6</v>
      </c>
      <c r="D82" s="11">
        <v>4</v>
      </c>
      <c r="E82" s="11">
        <v>4</v>
      </c>
      <c r="F82" s="11">
        <v>4</v>
      </c>
      <c r="G82" s="11">
        <v>4</v>
      </c>
      <c r="H82" s="11">
        <v>632</v>
      </c>
      <c r="I82" s="11">
        <v>881</v>
      </c>
      <c r="J82" s="11" t="s">
        <v>64</v>
      </c>
      <c r="K82" s="13">
        <v>1233</v>
      </c>
      <c r="L82" s="11" t="s">
        <v>384</v>
      </c>
      <c r="M82" s="13">
        <v>1413</v>
      </c>
      <c r="N82" s="11" t="s">
        <v>370</v>
      </c>
      <c r="O82" s="11">
        <v>915</v>
      </c>
      <c r="P82" s="11">
        <v>960</v>
      </c>
      <c r="Q82" s="11">
        <v>972</v>
      </c>
      <c r="R82" s="11">
        <v>998</v>
      </c>
      <c r="S82" s="13">
        <v>1002</v>
      </c>
      <c r="T82" s="11">
        <v>100</v>
      </c>
      <c r="U82" s="11">
        <v>117</v>
      </c>
      <c r="V82" s="11">
        <v>134</v>
      </c>
      <c r="W82" s="11">
        <v>141</v>
      </c>
      <c r="X82" s="11">
        <v>148</v>
      </c>
      <c r="Y82" s="11">
        <v>149</v>
      </c>
      <c r="Z82" s="29" t="s">
        <v>99</v>
      </c>
    </row>
    <row r="83" spans="1:26" ht="38.4" x14ac:dyDescent="0.3">
      <c r="A83" s="15" t="s">
        <v>101</v>
      </c>
      <c r="B83" s="11" t="s">
        <v>44</v>
      </c>
      <c r="C83" s="11" t="s">
        <v>44</v>
      </c>
      <c r="D83" s="11" t="s">
        <v>44</v>
      </c>
      <c r="E83" s="11" t="s">
        <v>44</v>
      </c>
      <c r="F83" s="11" t="s">
        <v>44</v>
      </c>
      <c r="G83" s="11" t="s">
        <v>44</v>
      </c>
      <c r="H83" s="11">
        <v>174</v>
      </c>
      <c r="I83" s="11">
        <v>237</v>
      </c>
      <c r="J83" s="11">
        <v>295</v>
      </c>
      <c r="K83" s="11">
        <v>320</v>
      </c>
      <c r="L83" s="11">
        <v>337</v>
      </c>
      <c r="M83" s="11">
        <v>342</v>
      </c>
      <c r="N83" s="11">
        <v>386</v>
      </c>
      <c r="O83" s="11">
        <v>418</v>
      </c>
      <c r="P83" s="11">
        <v>464</v>
      </c>
      <c r="Q83" s="11">
        <v>475</v>
      </c>
      <c r="R83" s="11">
        <v>475</v>
      </c>
      <c r="S83" s="11">
        <v>475</v>
      </c>
      <c r="T83" s="11">
        <v>32</v>
      </c>
      <c r="U83" s="11">
        <v>43</v>
      </c>
      <c r="V83" s="11">
        <v>63</v>
      </c>
      <c r="W83" s="11">
        <v>68</v>
      </c>
      <c r="X83" s="11">
        <v>69</v>
      </c>
      <c r="Y83" s="11">
        <v>71</v>
      </c>
      <c r="Z83" s="29" t="s">
        <v>101</v>
      </c>
    </row>
    <row r="84" spans="1:26" ht="38.4" x14ac:dyDescent="0.3">
      <c r="A84" s="72" t="s">
        <v>922</v>
      </c>
      <c r="B84" s="11">
        <v>17</v>
      </c>
      <c r="C84" s="11">
        <v>18</v>
      </c>
      <c r="D84" s="11">
        <v>20</v>
      </c>
      <c r="E84" s="11">
        <v>20</v>
      </c>
      <c r="F84" s="11">
        <v>19</v>
      </c>
      <c r="G84" s="11">
        <v>18</v>
      </c>
      <c r="H84" s="11" t="s">
        <v>385</v>
      </c>
      <c r="I84" s="11" t="s">
        <v>386</v>
      </c>
      <c r="J84" s="13">
        <v>2191</v>
      </c>
      <c r="K84" s="13">
        <v>2228</v>
      </c>
      <c r="L84" s="11" t="s">
        <v>387</v>
      </c>
      <c r="M84" s="13">
        <v>2364</v>
      </c>
      <c r="N84" s="11" t="s">
        <v>163</v>
      </c>
      <c r="O84" s="11" t="s">
        <v>469</v>
      </c>
      <c r="P84" s="11">
        <v>863</v>
      </c>
      <c r="Q84" s="11">
        <v>876</v>
      </c>
      <c r="R84" s="11">
        <v>873</v>
      </c>
      <c r="S84" s="11">
        <v>894</v>
      </c>
      <c r="T84" s="11">
        <v>59</v>
      </c>
      <c r="U84" s="11">
        <v>66</v>
      </c>
      <c r="V84" s="11">
        <v>64</v>
      </c>
      <c r="W84" s="11">
        <v>66</v>
      </c>
      <c r="X84" s="11">
        <v>68</v>
      </c>
      <c r="Y84" s="11">
        <v>68</v>
      </c>
      <c r="Z84" s="29" t="s">
        <v>98</v>
      </c>
    </row>
    <row r="85" spans="1:26" ht="19.2" x14ac:dyDescent="0.3">
      <c r="A85" s="10" t="s">
        <v>103</v>
      </c>
      <c r="B85" s="11">
        <v>56</v>
      </c>
      <c r="C85" s="11">
        <v>50</v>
      </c>
      <c r="D85" s="11">
        <v>37</v>
      </c>
      <c r="E85" s="11">
        <v>37</v>
      </c>
      <c r="F85" s="11">
        <v>37</v>
      </c>
      <c r="G85" s="11">
        <v>37</v>
      </c>
      <c r="H85" s="11" t="s">
        <v>145</v>
      </c>
      <c r="I85" s="11" t="s">
        <v>388</v>
      </c>
      <c r="J85" s="11" t="s">
        <v>389</v>
      </c>
      <c r="K85" s="13">
        <v>3384</v>
      </c>
      <c r="L85" s="11" t="s">
        <v>390</v>
      </c>
      <c r="M85" s="13">
        <v>3467</v>
      </c>
      <c r="N85" s="11" t="s">
        <v>470</v>
      </c>
      <c r="O85" s="11" t="s">
        <v>471</v>
      </c>
      <c r="P85" s="11" t="s">
        <v>472</v>
      </c>
      <c r="Q85" s="13">
        <v>1870</v>
      </c>
      <c r="R85" s="11">
        <v>1885</v>
      </c>
      <c r="S85" s="13">
        <v>1916</v>
      </c>
      <c r="T85" s="11">
        <v>113</v>
      </c>
      <c r="U85" s="11">
        <v>83</v>
      </c>
      <c r="V85" s="11">
        <v>102</v>
      </c>
      <c r="W85" s="11">
        <v>103</v>
      </c>
      <c r="X85" s="11">
        <v>100</v>
      </c>
      <c r="Y85" s="11">
        <v>101</v>
      </c>
      <c r="Z85" s="27" t="s">
        <v>103</v>
      </c>
    </row>
    <row r="86" spans="1:26" x14ac:dyDescent="0.3">
      <c r="A86" s="8" t="s">
        <v>104</v>
      </c>
      <c r="B86" s="230">
        <v>283</v>
      </c>
      <c r="C86" s="230">
        <v>276</v>
      </c>
      <c r="D86" s="230">
        <v>315</v>
      </c>
      <c r="E86" s="230">
        <v>231</v>
      </c>
      <c r="F86" s="230">
        <v>228</v>
      </c>
      <c r="G86" s="230">
        <v>231</v>
      </c>
      <c r="H86" s="230" t="s">
        <v>391</v>
      </c>
      <c r="I86" s="230" t="s">
        <v>392</v>
      </c>
      <c r="J86" s="230" t="s">
        <v>393</v>
      </c>
      <c r="K86" s="228">
        <v>19053</v>
      </c>
      <c r="L86" s="228">
        <v>18952</v>
      </c>
      <c r="M86" s="228">
        <v>19146</v>
      </c>
      <c r="N86" s="230" t="s">
        <v>473</v>
      </c>
      <c r="O86" s="230" t="s">
        <v>474</v>
      </c>
      <c r="P86" s="230" t="s">
        <v>475</v>
      </c>
      <c r="Q86" s="228">
        <v>9547</v>
      </c>
      <c r="R86" s="228">
        <v>9695</v>
      </c>
      <c r="S86" s="228">
        <v>9759</v>
      </c>
      <c r="T86" s="230">
        <v>508</v>
      </c>
      <c r="U86" s="230">
        <v>596</v>
      </c>
      <c r="V86" s="230">
        <v>640</v>
      </c>
      <c r="W86" s="230">
        <v>676</v>
      </c>
      <c r="X86" s="230">
        <v>697</v>
      </c>
      <c r="Y86" s="230">
        <v>713</v>
      </c>
      <c r="Z86" s="26" t="s">
        <v>104</v>
      </c>
    </row>
    <row r="87" spans="1:26" ht="19.2" x14ac:dyDescent="0.3">
      <c r="A87" s="8" t="s">
        <v>6</v>
      </c>
      <c r="B87" s="230"/>
      <c r="C87" s="230"/>
      <c r="D87" s="230"/>
      <c r="E87" s="230"/>
      <c r="F87" s="230"/>
      <c r="G87" s="230"/>
      <c r="H87" s="230"/>
      <c r="I87" s="230"/>
      <c r="J87" s="230"/>
      <c r="K87" s="228"/>
      <c r="L87" s="228"/>
      <c r="M87" s="228"/>
      <c r="N87" s="230"/>
      <c r="O87" s="230"/>
      <c r="P87" s="230"/>
      <c r="Q87" s="228"/>
      <c r="R87" s="228"/>
      <c r="S87" s="228"/>
      <c r="T87" s="230"/>
      <c r="U87" s="230"/>
      <c r="V87" s="230"/>
      <c r="W87" s="230"/>
      <c r="X87" s="230"/>
      <c r="Y87" s="230"/>
      <c r="Z87" s="26" t="s">
        <v>6</v>
      </c>
    </row>
    <row r="88" spans="1:26" ht="19.2" x14ac:dyDescent="0.3">
      <c r="A88" s="10" t="s">
        <v>105</v>
      </c>
      <c r="B88" s="11">
        <v>5</v>
      </c>
      <c r="C88" s="11">
        <v>7</v>
      </c>
      <c r="D88" s="11">
        <v>6</v>
      </c>
      <c r="E88" s="11">
        <v>7</v>
      </c>
      <c r="F88" s="11">
        <v>8</v>
      </c>
      <c r="G88" s="11">
        <v>8</v>
      </c>
      <c r="H88" s="11">
        <v>164</v>
      </c>
      <c r="I88" s="11">
        <v>175</v>
      </c>
      <c r="J88" s="11">
        <v>183</v>
      </c>
      <c r="K88" s="11">
        <v>185</v>
      </c>
      <c r="L88" s="11">
        <v>181</v>
      </c>
      <c r="M88" s="11">
        <v>199</v>
      </c>
      <c r="N88" s="11">
        <v>121</v>
      </c>
      <c r="O88" s="11">
        <v>131</v>
      </c>
      <c r="P88" s="11">
        <v>140</v>
      </c>
      <c r="Q88" s="11">
        <v>141</v>
      </c>
      <c r="R88" s="11">
        <v>147</v>
      </c>
      <c r="S88" s="11">
        <v>150</v>
      </c>
      <c r="T88" s="11">
        <v>1</v>
      </c>
      <c r="U88" s="11">
        <v>1</v>
      </c>
      <c r="V88" s="11">
        <v>2</v>
      </c>
      <c r="W88" s="11">
        <v>2</v>
      </c>
      <c r="X88" s="11">
        <v>2</v>
      </c>
      <c r="Y88" s="11">
        <v>2</v>
      </c>
      <c r="Z88" s="27" t="s">
        <v>105</v>
      </c>
    </row>
    <row r="89" spans="1:26" ht="19.2" x14ac:dyDescent="0.3">
      <c r="A89" s="10" t="s">
        <v>106</v>
      </c>
      <c r="B89" s="11">
        <v>13</v>
      </c>
      <c r="C89" s="11">
        <v>10</v>
      </c>
      <c r="D89" s="11">
        <v>11</v>
      </c>
      <c r="E89" s="11">
        <v>10</v>
      </c>
      <c r="F89" s="11">
        <v>10</v>
      </c>
      <c r="G89" s="11">
        <v>10</v>
      </c>
      <c r="H89" s="11">
        <v>365</v>
      </c>
      <c r="I89" s="11">
        <v>466</v>
      </c>
      <c r="J89" s="11">
        <v>481</v>
      </c>
      <c r="K89" s="11">
        <v>507</v>
      </c>
      <c r="L89" s="11">
        <v>433</v>
      </c>
      <c r="M89" s="11">
        <v>391</v>
      </c>
      <c r="N89" s="11">
        <v>199</v>
      </c>
      <c r="O89" s="11">
        <v>185</v>
      </c>
      <c r="P89" s="11">
        <v>214</v>
      </c>
      <c r="Q89" s="11">
        <v>236</v>
      </c>
      <c r="R89" s="11">
        <v>240</v>
      </c>
      <c r="S89" s="11">
        <v>259</v>
      </c>
      <c r="T89" s="11">
        <v>6</v>
      </c>
      <c r="U89" s="11">
        <v>3</v>
      </c>
      <c r="V89" s="11">
        <v>4</v>
      </c>
      <c r="W89" s="11">
        <v>4</v>
      </c>
      <c r="X89" s="11">
        <v>4</v>
      </c>
      <c r="Y89" s="11">
        <v>8</v>
      </c>
      <c r="Z89" s="27" t="s">
        <v>106</v>
      </c>
    </row>
    <row r="90" spans="1:26" ht="19.2" x14ac:dyDescent="0.3">
      <c r="A90" s="10" t="s">
        <v>107</v>
      </c>
      <c r="B90" s="11">
        <v>18</v>
      </c>
      <c r="C90" s="11">
        <v>22</v>
      </c>
      <c r="D90" s="11">
        <v>21</v>
      </c>
      <c r="E90" s="11">
        <v>21</v>
      </c>
      <c r="F90" s="11">
        <v>21</v>
      </c>
      <c r="G90" s="11">
        <v>21</v>
      </c>
      <c r="H90" s="11">
        <v>480</v>
      </c>
      <c r="I90" s="11">
        <v>571</v>
      </c>
      <c r="J90" s="11">
        <v>591</v>
      </c>
      <c r="K90" s="11">
        <v>596</v>
      </c>
      <c r="L90" s="11">
        <v>588</v>
      </c>
      <c r="M90" s="11">
        <v>600</v>
      </c>
      <c r="N90" s="11">
        <v>257</v>
      </c>
      <c r="O90" s="11">
        <v>270</v>
      </c>
      <c r="P90" s="11">
        <v>272</v>
      </c>
      <c r="Q90" s="11">
        <v>274</v>
      </c>
      <c r="R90" s="11">
        <v>277</v>
      </c>
      <c r="S90" s="11">
        <v>282</v>
      </c>
      <c r="T90" s="11">
        <v>27</v>
      </c>
      <c r="U90" s="11">
        <v>28</v>
      </c>
      <c r="V90" s="11">
        <v>30</v>
      </c>
      <c r="W90" s="11">
        <v>30</v>
      </c>
      <c r="X90" s="11">
        <v>30</v>
      </c>
      <c r="Y90" s="11">
        <v>30</v>
      </c>
      <c r="Z90" s="27" t="s">
        <v>107</v>
      </c>
    </row>
    <row r="91" spans="1:26" ht="19.2" x14ac:dyDescent="0.3">
      <c r="A91" s="10" t="s">
        <v>108</v>
      </c>
      <c r="B91" s="11">
        <v>81</v>
      </c>
      <c r="C91" s="11">
        <v>77</v>
      </c>
      <c r="D91" s="11">
        <v>133</v>
      </c>
      <c r="E91" s="11">
        <v>48</v>
      </c>
      <c r="F91" s="11">
        <v>47</v>
      </c>
      <c r="G91" s="11">
        <v>49</v>
      </c>
      <c r="H91" s="11" t="s">
        <v>394</v>
      </c>
      <c r="I91" s="11" t="s">
        <v>395</v>
      </c>
      <c r="J91" s="11" t="s">
        <v>396</v>
      </c>
      <c r="K91" s="13">
        <v>3121</v>
      </c>
      <c r="L91" s="11" t="s">
        <v>397</v>
      </c>
      <c r="M91" s="13">
        <v>3162</v>
      </c>
      <c r="N91" s="11" t="s">
        <v>476</v>
      </c>
      <c r="O91" s="11" t="s">
        <v>477</v>
      </c>
      <c r="P91" s="11" t="s">
        <v>478</v>
      </c>
      <c r="Q91" s="13">
        <v>1686</v>
      </c>
      <c r="R91" s="11">
        <v>1714</v>
      </c>
      <c r="S91" s="13">
        <v>1723</v>
      </c>
      <c r="T91" s="11">
        <v>51</v>
      </c>
      <c r="U91" s="11">
        <v>64</v>
      </c>
      <c r="V91" s="11">
        <v>84</v>
      </c>
      <c r="W91" s="11">
        <v>95</v>
      </c>
      <c r="X91" s="11">
        <v>96</v>
      </c>
      <c r="Y91" s="11">
        <v>100</v>
      </c>
      <c r="Z91" s="27" t="s">
        <v>108</v>
      </c>
    </row>
    <row r="92" spans="1:26" ht="19.2" x14ac:dyDescent="0.3">
      <c r="A92" s="10" t="s">
        <v>109</v>
      </c>
      <c r="B92" s="11">
        <v>30</v>
      </c>
      <c r="C92" s="11">
        <v>25</v>
      </c>
      <c r="D92" s="11">
        <v>16</v>
      </c>
      <c r="E92" s="11">
        <v>16</v>
      </c>
      <c r="F92" s="11">
        <v>16</v>
      </c>
      <c r="G92" s="11">
        <v>16</v>
      </c>
      <c r="H92" s="11" t="s">
        <v>398</v>
      </c>
      <c r="I92" s="11" t="s">
        <v>399</v>
      </c>
      <c r="J92" s="11" t="s">
        <v>400</v>
      </c>
      <c r="K92" s="13">
        <v>2943</v>
      </c>
      <c r="L92" s="11" t="s">
        <v>401</v>
      </c>
      <c r="M92" s="13">
        <v>3024</v>
      </c>
      <c r="N92" s="11" t="s">
        <v>479</v>
      </c>
      <c r="O92" s="11" t="s">
        <v>480</v>
      </c>
      <c r="P92" s="11" t="s">
        <v>481</v>
      </c>
      <c r="Q92" s="13">
        <v>1569</v>
      </c>
      <c r="R92" s="11">
        <v>1587</v>
      </c>
      <c r="S92" s="13">
        <v>1581</v>
      </c>
      <c r="T92" s="11">
        <v>86</v>
      </c>
      <c r="U92" s="11">
        <v>104</v>
      </c>
      <c r="V92" s="11">
        <v>105</v>
      </c>
      <c r="W92" s="11">
        <v>120</v>
      </c>
      <c r="X92" s="11">
        <v>126</v>
      </c>
      <c r="Y92" s="11">
        <v>127</v>
      </c>
      <c r="Z92" s="27" t="s">
        <v>109</v>
      </c>
    </row>
    <row r="93" spans="1:26" ht="19.2" x14ac:dyDescent="0.3">
      <c r="A93" s="10" t="s">
        <v>110</v>
      </c>
      <c r="B93" s="11">
        <v>25</v>
      </c>
      <c r="C93" s="11">
        <v>25</v>
      </c>
      <c r="D93" s="11">
        <v>24</v>
      </c>
      <c r="E93" s="11">
        <v>24</v>
      </c>
      <c r="F93" s="11">
        <v>23</v>
      </c>
      <c r="G93" s="11">
        <v>24</v>
      </c>
      <c r="H93" s="11" t="s">
        <v>402</v>
      </c>
      <c r="I93" s="11" t="s">
        <v>403</v>
      </c>
      <c r="J93" s="11" t="s">
        <v>404</v>
      </c>
      <c r="K93" s="13">
        <v>1890</v>
      </c>
      <c r="L93" s="11" t="s">
        <v>405</v>
      </c>
      <c r="M93" s="13">
        <v>1937</v>
      </c>
      <c r="N93" s="11" t="s">
        <v>482</v>
      </c>
      <c r="O93" s="11" t="s">
        <v>483</v>
      </c>
      <c r="P93" s="11" t="s">
        <v>484</v>
      </c>
      <c r="Q93" s="13">
        <v>1340</v>
      </c>
      <c r="R93" s="11">
        <v>1367</v>
      </c>
      <c r="S93" s="13">
        <v>1387</v>
      </c>
      <c r="T93" s="11">
        <v>71</v>
      </c>
      <c r="U93" s="11">
        <v>81</v>
      </c>
      <c r="V93" s="11">
        <v>88</v>
      </c>
      <c r="W93" s="11">
        <v>92</v>
      </c>
      <c r="X93" s="11">
        <v>94</v>
      </c>
      <c r="Y93" s="11">
        <v>97</v>
      </c>
      <c r="Z93" s="27" t="s">
        <v>110</v>
      </c>
    </row>
    <row r="94" spans="1:26" ht="19.2" x14ac:dyDescent="0.3">
      <c r="A94" s="10" t="s">
        <v>111</v>
      </c>
      <c r="B94" s="11">
        <v>29</v>
      </c>
      <c r="C94" s="11">
        <v>28</v>
      </c>
      <c r="D94" s="11">
        <v>27</v>
      </c>
      <c r="E94" s="11">
        <v>27</v>
      </c>
      <c r="F94" s="11">
        <v>27</v>
      </c>
      <c r="G94" s="11">
        <v>26</v>
      </c>
      <c r="H94" s="11" t="s">
        <v>406</v>
      </c>
      <c r="I94" s="11" t="s">
        <v>407</v>
      </c>
      <c r="J94" s="11" t="s">
        <v>408</v>
      </c>
      <c r="K94" s="13">
        <v>4117</v>
      </c>
      <c r="L94" s="11" t="s">
        <v>409</v>
      </c>
      <c r="M94" s="13">
        <v>4028</v>
      </c>
      <c r="N94" s="11" t="s">
        <v>485</v>
      </c>
      <c r="O94" s="11" t="s">
        <v>347</v>
      </c>
      <c r="P94" s="11" t="s">
        <v>486</v>
      </c>
      <c r="Q94" s="13">
        <v>1130</v>
      </c>
      <c r="R94" s="11">
        <v>1156</v>
      </c>
      <c r="S94" s="13">
        <v>1157</v>
      </c>
      <c r="T94" s="11">
        <v>111</v>
      </c>
      <c r="U94" s="11">
        <v>132</v>
      </c>
      <c r="V94" s="11">
        <v>124</v>
      </c>
      <c r="W94" s="11">
        <v>122</v>
      </c>
      <c r="X94" s="11">
        <v>132</v>
      </c>
      <c r="Y94" s="11">
        <v>132</v>
      </c>
      <c r="Z94" s="27" t="s">
        <v>111</v>
      </c>
    </row>
    <row r="95" spans="1:26" ht="19.2" x14ac:dyDescent="0.3">
      <c r="A95" s="10" t="s">
        <v>112</v>
      </c>
      <c r="B95" s="11">
        <v>24</v>
      </c>
      <c r="C95" s="11">
        <v>25</v>
      </c>
      <c r="D95" s="11">
        <v>23</v>
      </c>
      <c r="E95" s="11">
        <v>24</v>
      </c>
      <c r="F95" s="11">
        <v>23</v>
      </c>
      <c r="G95" s="11">
        <v>24</v>
      </c>
      <c r="H95" s="11" t="s">
        <v>410</v>
      </c>
      <c r="I95" s="11" t="s">
        <v>411</v>
      </c>
      <c r="J95" s="11" t="s">
        <v>412</v>
      </c>
      <c r="K95" s="13">
        <v>2183</v>
      </c>
      <c r="L95" s="11" t="s">
        <v>413</v>
      </c>
      <c r="M95" s="13">
        <v>2235</v>
      </c>
      <c r="N95" s="11" t="s">
        <v>487</v>
      </c>
      <c r="O95" s="11" t="s">
        <v>488</v>
      </c>
      <c r="P95" s="11" t="s">
        <v>489</v>
      </c>
      <c r="Q95" s="13">
        <v>1372</v>
      </c>
      <c r="R95" s="11">
        <v>1406</v>
      </c>
      <c r="S95" s="13">
        <v>1436</v>
      </c>
      <c r="T95" s="11">
        <v>66</v>
      </c>
      <c r="U95" s="11">
        <v>84</v>
      </c>
      <c r="V95" s="11">
        <v>98</v>
      </c>
      <c r="W95" s="11">
        <v>105</v>
      </c>
      <c r="X95" s="11">
        <v>107</v>
      </c>
      <c r="Y95" s="11">
        <v>110</v>
      </c>
      <c r="Z95" s="27" t="s">
        <v>112</v>
      </c>
    </row>
    <row r="96" spans="1:26" ht="19.2" x14ac:dyDescent="0.3">
      <c r="A96" s="10" t="s">
        <v>113</v>
      </c>
      <c r="B96" s="11">
        <v>41</v>
      </c>
      <c r="C96" s="11">
        <v>40</v>
      </c>
      <c r="D96" s="11">
        <v>39</v>
      </c>
      <c r="E96" s="11">
        <v>39</v>
      </c>
      <c r="F96" s="11">
        <v>39</v>
      </c>
      <c r="G96" s="11">
        <v>39</v>
      </c>
      <c r="H96" s="11" t="s">
        <v>414</v>
      </c>
      <c r="I96" s="11" t="s">
        <v>415</v>
      </c>
      <c r="J96" s="11" t="s">
        <v>416</v>
      </c>
      <c r="K96" s="13">
        <v>2638</v>
      </c>
      <c r="L96" s="11" t="s">
        <v>356</v>
      </c>
      <c r="M96" s="13">
        <v>2665</v>
      </c>
      <c r="N96" s="11" t="s">
        <v>487</v>
      </c>
      <c r="O96" s="11" t="s">
        <v>274</v>
      </c>
      <c r="P96" s="11" t="s">
        <v>490</v>
      </c>
      <c r="Q96" s="13">
        <v>1206</v>
      </c>
      <c r="R96" s="11">
        <v>1204</v>
      </c>
      <c r="S96" s="13">
        <v>1186</v>
      </c>
      <c r="T96" s="11">
        <v>67</v>
      </c>
      <c r="U96" s="11">
        <v>71</v>
      </c>
      <c r="V96" s="11">
        <v>72</v>
      </c>
      <c r="W96" s="11">
        <v>73</v>
      </c>
      <c r="X96" s="11">
        <v>73</v>
      </c>
      <c r="Y96" s="11">
        <v>75</v>
      </c>
      <c r="Z96" s="27" t="s">
        <v>113</v>
      </c>
    </row>
    <row r="97" spans="1:26" ht="19.2" x14ac:dyDescent="0.3">
      <c r="A97" s="10" t="s">
        <v>114</v>
      </c>
      <c r="B97" s="11">
        <v>17</v>
      </c>
      <c r="C97" s="11">
        <v>17</v>
      </c>
      <c r="D97" s="11">
        <v>15</v>
      </c>
      <c r="E97" s="11">
        <v>15</v>
      </c>
      <c r="F97" s="11">
        <v>14</v>
      </c>
      <c r="G97" s="11">
        <v>14</v>
      </c>
      <c r="H97" s="11">
        <v>592</v>
      </c>
      <c r="I97" s="11">
        <v>730</v>
      </c>
      <c r="J97" s="11">
        <v>846</v>
      </c>
      <c r="K97" s="11">
        <v>873</v>
      </c>
      <c r="L97" s="11">
        <v>878</v>
      </c>
      <c r="M97" s="11">
        <v>905</v>
      </c>
      <c r="N97" s="11">
        <v>476</v>
      </c>
      <c r="O97" s="11">
        <v>469</v>
      </c>
      <c r="P97" s="11">
        <v>581</v>
      </c>
      <c r="Q97" s="11">
        <v>593</v>
      </c>
      <c r="R97" s="11">
        <v>597</v>
      </c>
      <c r="S97" s="11">
        <v>598</v>
      </c>
      <c r="T97" s="11">
        <v>22</v>
      </c>
      <c r="U97" s="11">
        <v>28</v>
      </c>
      <c r="V97" s="11">
        <v>33</v>
      </c>
      <c r="W97" s="11">
        <v>33</v>
      </c>
      <c r="X97" s="11">
        <v>33</v>
      </c>
      <c r="Y97" s="11">
        <v>32</v>
      </c>
      <c r="Z97" s="27" t="s">
        <v>114</v>
      </c>
    </row>
    <row r="98" spans="1:26" ht="19.2" x14ac:dyDescent="0.3">
      <c r="A98" s="8" t="s">
        <v>115</v>
      </c>
      <c r="B98" s="230">
        <v>149</v>
      </c>
      <c r="C98" s="230">
        <v>130</v>
      </c>
      <c r="D98" s="230">
        <v>123</v>
      </c>
      <c r="E98" s="230">
        <v>128</v>
      </c>
      <c r="F98" s="230">
        <v>126</v>
      </c>
      <c r="G98" s="230">
        <v>128</v>
      </c>
      <c r="H98" s="230" t="s">
        <v>417</v>
      </c>
      <c r="I98" s="230" t="s">
        <v>418</v>
      </c>
      <c r="J98" s="230" t="s">
        <v>419</v>
      </c>
      <c r="K98" s="228">
        <v>8086</v>
      </c>
      <c r="L98" s="228">
        <v>8256</v>
      </c>
      <c r="M98" s="228">
        <v>8411</v>
      </c>
      <c r="N98" s="230" t="s">
        <v>491</v>
      </c>
      <c r="O98" s="230" t="s">
        <v>492</v>
      </c>
      <c r="P98" s="230" t="s">
        <v>493</v>
      </c>
      <c r="Q98" s="228">
        <v>5158</v>
      </c>
      <c r="R98" s="228">
        <v>5175</v>
      </c>
      <c r="S98" s="228">
        <v>5304</v>
      </c>
      <c r="T98" s="230">
        <v>220</v>
      </c>
      <c r="U98" s="230">
        <v>256</v>
      </c>
      <c r="V98" s="230">
        <v>297</v>
      </c>
      <c r="W98" s="230">
        <v>305</v>
      </c>
      <c r="X98" s="230">
        <v>304</v>
      </c>
      <c r="Y98" s="230">
        <v>302</v>
      </c>
      <c r="Z98" s="26" t="s">
        <v>115</v>
      </c>
    </row>
    <row r="99" spans="1:26" ht="19.2" x14ac:dyDescent="0.3">
      <c r="A99" s="8" t="s">
        <v>6</v>
      </c>
      <c r="B99" s="230"/>
      <c r="C99" s="230"/>
      <c r="D99" s="230"/>
      <c r="E99" s="230"/>
      <c r="F99" s="230"/>
      <c r="G99" s="230"/>
      <c r="H99" s="230"/>
      <c r="I99" s="230"/>
      <c r="J99" s="230"/>
      <c r="K99" s="228"/>
      <c r="L99" s="228"/>
      <c r="M99" s="228"/>
      <c r="N99" s="230"/>
      <c r="O99" s="230"/>
      <c r="P99" s="230"/>
      <c r="Q99" s="228"/>
      <c r="R99" s="228"/>
      <c r="S99" s="228"/>
      <c r="T99" s="230"/>
      <c r="U99" s="230"/>
      <c r="V99" s="230"/>
      <c r="W99" s="230"/>
      <c r="X99" s="230"/>
      <c r="Y99" s="230"/>
      <c r="Z99" s="26" t="s">
        <v>6</v>
      </c>
    </row>
    <row r="100" spans="1:26" ht="19.2" x14ac:dyDescent="0.3">
      <c r="A100" s="10" t="s">
        <v>116</v>
      </c>
      <c r="B100" s="11">
        <v>17</v>
      </c>
      <c r="C100" s="11">
        <v>17</v>
      </c>
      <c r="D100" s="11">
        <v>17</v>
      </c>
      <c r="E100" s="11">
        <v>17</v>
      </c>
      <c r="F100" s="11">
        <v>17</v>
      </c>
      <c r="G100" s="11">
        <v>19</v>
      </c>
      <c r="H100" s="11">
        <v>827</v>
      </c>
      <c r="I100" s="11">
        <v>992</v>
      </c>
      <c r="J100" s="11" t="s">
        <v>420</v>
      </c>
      <c r="K100" s="13">
        <v>1081</v>
      </c>
      <c r="L100" s="11" t="s">
        <v>421</v>
      </c>
      <c r="M100" s="13">
        <v>1141</v>
      </c>
      <c r="N100" s="11">
        <v>466</v>
      </c>
      <c r="O100" s="11">
        <v>515</v>
      </c>
      <c r="P100" s="11">
        <v>537</v>
      </c>
      <c r="Q100" s="11">
        <v>550</v>
      </c>
      <c r="R100" s="11">
        <v>563</v>
      </c>
      <c r="S100" s="11">
        <v>576</v>
      </c>
      <c r="T100" s="11">
        <v>11</v>
      </c>
      <c r="U100" s="11">
        <v>15</v>
      </c>
      <c r="V100" s="11">
        <v>15</v>
      </c>
      <c r="W100" s="11">
        <v>16</v>
      </c>
      <c r="X100" s="11">
        <v>17</v>
      </c>
      <c r="Y100" s="11">
        <v>17</v>
      </c>
      <c r="Z100" s="27" t="s">
        <v>116</v>
      </c>
    </row>
    <row r="101" spans="1:26" ht="28.8" x14ac:dyDescent="0.3">
      <c r="A101" s="10" t="s">
        <v>117</v>
      </c>
      <c r="B101" s="11">
        <v>19</v>
      </c>
      <c r="C101" s="11">
        <v>21</v>
      </c>
      <c r="D101" s="11">
        <v>23</v>
      </c>
      <c r="E101" s="11">
        <v>23</v>
      </c>
      <c r="F101" s="11">
        <v>24</v>
      </c>
      <c r="G101" s="11">
        <v>24</v>
      </c>
      <c r="H101" s="11">
        <v>499</v>
      </c>
      <c r="I101" s="11">
        <v>548</v>
      </c>
      <c r="J101" s="11">
        <v>561</v>
      </c>
      <c r="K101" s="11">
        <v>564</v>
      </c>
      <c r="L101" s="11">
        <v>564</v>
      </c>
      <c r="M101" s="11">
        <v>568</v>
      </c>
      <c r="N101" s="11">
        <v>771</v>
      </c>
      <c r="O101" s="11">
        <v>834</v>
      </c>
      <c r="P101" s="11">
        <v>867</v>
      </c>
      <c r="Q101" s="11">
        <v>867</v>
      </c>
      <c r="R101" s="11">
        <v>874</v>
      </c>
      <c r="S101" s="11">
        <v>874</v>
      </c>
      <c r="T101" s="11">
        <v>50</v>
      </c>
      <c r="U101" s="11">
        <v>51</v>
      </c>
      <c r="V101" s="11">
        <v>52</v>
      </c>
      <c r="W101" s="11">
        <v>52</v>
      </c>
      <c r="X101" s="11">
        <v>53</v>
      </c>
      <c r="Y101" s="11">
        <v>54</v>
      </c>
      <c r="Z101" s="27" t="s">
        <v>117</v>
      </c>
    </row>
    <row r="102" spans="1:26" ht="19.2" x14ac:dyDescent="0.3">
      <c r="A102" s="10" t="s">
        <v>118</v>
      </c>
      <c r="B102" s="11">
        <v>25</v>
      </c>
      <c r="C102" s="11">
        <v>15</v>
      </c>
      <c r="D102" s="11">
        <v>12</v>
      </c>
      <c r="E102" s="11">
        <v>16</v>
      </c>
      <c r="F102" s="11">
        <v>12</v>
      </c>
      <c r="G102" s="11">
        <v>12</v>
      </c>
      <c r="H102" s="11" t="s">
        <v>422</v>
      </c>
      <c r="I102" s="11" t="s">
        <v>423</v>
      </c>
      <c r="J102" s="11">
        <v>699</v>
      </c>
      <c r="K102" s="11">
        <v>699</v>
      </c>
      <c r="L102" s="11">
        <v>774</v>
      </c>
      <c r="M102" s="11">
        <v>809</v>
      </c>
      <c r="N102" s="11">
        <v>760</v>
      </c>
      <c r="O102" s="11">
        <v>757</v>
      </c>
      <c r="P102" s="11">
        <v>675</v>
      </c>
      <c r="Q102" s="11">
        <v>708</v>
      </c>
      <c r="R102" s="11">
        <v>681</v>
      </c>
      <c r="S102" s="11">
        <v>720</v>
      </c>
      <c r="T102" s="11">
        <v>26</v>
      </c>
      <c r="U102" s="11">
        <v>31</v>
      </c>
      <c r="V102" s="11">
        <v>25</v>
      </c>
      <c r="W102" s="11">
        <v>25</v>
      </c>
      <c r="X102" s="11">
        <v>25</v>
      </c>
      <c r="Y102" s="11">
        <v>24</v>
      </c>
      <c r="Z102" s="27" t="s">
        <v>118</v>
      </c>
    </row>
    <row r="103" spans="1:26" ht="19.2" x14ac:dyDescent="0.3">
      <c r="A103" s="10" t="s">
        <v>119</v>
      </c>
      <c r="B103" s="11">
        <v>2</v>
      </c>
      <c r="C103" s="11">
        <v>1</v>
      </c>
      <c r="D103" s="11">
        <v>1</v>
      </c>
      <c r="E103" s="11">
        <v>1</v>
      </c>
      <c r="F103" s="11">
        <v>1</v>
      </c>
      <c r="G103" s="11">
        <v>1</v>
      </c>
      <c r="H103" s="11">
        <v>270</v>
      </c>
      <c r="I103" s="11">
        <v>283</v>
      </c>
      <c r="J103" s="11">
        <v>292</v>
      </c>
      <c r="K103" s="11">
        <v>295</v>
      </c>
      <c r="L103" s="11">
        <v>304</v>
      </c>
      <c r="M103" s="11">
        <v>319</v>
      </c>
      <c r="N103" s="11">
        <v>221</v>
      </c>
      <c r="O103" s="11">
        <v>193</v>
      </c>
      <c r="P103" s="11">
        <v>188</v>
      </c>
      <c r="Q103" s="11">
        <v>187</v>
      </c>
      <c r="R103" s="11">
        <v>188</v>
      </c>
      <c r="S103" s="11">
        <v>191</v>
      </c>
      <c r="T103" s="11">
        <v>5</v>
      </c>
      <c r="U103" s="11">
        <v>7</v>
      </c>
      <c r="V103" s="11">
        <v>8</v>
      </c>
      <c r="W103" s="11">
        <v>9</v>
      </c>
      <c r="X103" s="11">
        <v>10</v>
      </c>
      <c r="Y103" s="11">
        <v>9</v>
      </c>
      <c r="Z103" s="27" t="s">
        <v>119</v>
      </c>
    </row>
    <row r="104" spans="1:26" ht="19.2" x14ac:dyDescent="0.3">
      <c r="A104" s="10" t="s">
        <v>120</v>
      </c>
      <c r="B104" s="11">
        <v>31</v>
      </c>
      <c r="C104" s="11">
        <v>29</v>
      </c>
      <c r="D104" s="11">
        <v>23</v>
      </c>
      <c r="E104" s="11">
        <v>24</v>
      </c>
      <c r="F104" s="11">
        <v>24</v>
      </c>
      <c r="G104" s="11">
        <v>24</v>
      </c>
      <c r="H104" s="11" t="s">
        <v>424</v>
      </c>
      <c r="I104" s="11" t="s">
        <v>425</v>
      </c>
      <c r="J104" s="11" t="s">
        <v>426</v>
      </c>
      <c r="K104" s="13">
        <v>1573</v>
      </c>
      <c r="L104" s="11" t="s">
        <v>427</v>
      </c>
      <c r="M104" s="13">
        <v>1749</v>
      </c>
      <c r="N104" s="11" t="s">
        <v>494</v>
      </c>
      <c r="O104" s="11" t="s">
        <v>495</v>
      </c>
      <c r="P104" s="11" t="s">
        <v>496</v>
      </c>
      <c r="Q104" s="13">
        <v>1148</v>
      </c>
      <c r="R104" s="11">
        <v>1130</v>
      </c>
      <c r="S104" s="13">
        <v>1160</v>
      </c>
      <c r="T104" s="11">
        <v>44</v>
      </c>
      <c r="U104" s="11">
        <v>51</v>
      </c>
      <c r="V104" s="11">
        <v>65</v>
      </c>
      <c r="W104" s="11">
        <v>68</v>
      </c>
      <c r="X104" s="11">
        <v>71</v>
      </c>
      <c r="Y104" s="11">
        <v>72</v>
      </c>
      <c r="Z104" s="27" t="s">
        <v>120</v>
      </c>
    </row>
    <row r="105" spans="1:26" ht="19.2" x14ac:dyDescent="0.3">
      <c r="A105" s="10" t="s">
        <v>121</v>
      </c>
      <c r="B105" s="11">
        <v>15</v>
      </c>
      <c r="C105" s="11">
        <v>13</v>
      </c>
      <c r="D105" s="11">
        <v>15</v>
      </c>
      <c r="E105" s="11">
        <v>15</v>
      </c>
      <c r="F105" s="11">
        <v>16</v>
      </c>
      <c r="G105" s="11">
        <v>16</v>
      </c>
      <c r="H105" s="11" t="s">
        <v>46</v>
      </c>
      <c r="I105" s="11" t="s">
        <v>428</v>
      </c>
      <c r="J105" s="11" t="s">
        <v>429</v>
      </c>
      <c r="K105" s="13">
        <v>1605</v>
      </c>
      <c r="L105" s="11" t="s">
        <v>430</v>
      </c>
      <c r="M105" s="13">
        <v>1598</v>
      </c>
      <c r="N105" s="11">
        <v>503</v>
      </c>
      <c r="O105" s="11">
        <v>547</v>
      </c>
      <c r="P105" s="11">
        <v>555</v>
      </c>
      <c r="Q105" s="11">
        <v>556</v>
      </c>
      <c r="R105" s="11">
        <v>583</v>
      </c>
      <c r="S105" s="11">
        <v>591</v>
      </c>
      <c r="T105" s="11">
        <v>46</v>
      </c>
      <c r="U105" s="11">
        <v>63</v>
      </c>
      <c r="V105" s="11">
        <v>70</v>
      </c>
      <c r="W105" s="11">
        <v>71</v>
      </c>
      <c r="X105" s="11">
        <v>65</v>
      </c>
      <c r="Y105" s="11">
        <v>65</v>
      </c>
      <c r="Z105" s="27" t="s">
        <v>121</v>
      </c>
    </row>
    <row r="106" spans="1:26" ht="19.2" x14ac:dyDescent="0.3">
      <c r="A106" s="10" t="s">
        <v>122</v>
      </c>
      <c r="B106" s="11">
        <v>26</v>
      </c>
      <c r="C106" s="11">
        <v>26</v>
      </c>
      <c r="D106" s="11">
        <v>26</v>
      </c>
      <c r="E106" s="11">
        <v>26</v>
      </c>
      <c r="F106" s="11">
        <v>26</v>
      </c>
      <c r="G106" s="11">
        <v>26</v>
      </c>
      <c r="H106" s="11" t="s">
        <v>431</v>
      </c>
      <c r="I106" s="11" t="s">
        <v>432</v>
      </c>
      <c r="J106" s="11" t="s">
        <v>433</v>
      </c>
      <c r="K106" s="13">
        <v>1279</v>
      </c>
      <c r="L106" s="11" t="s">
        <v>434</v>
      </c>
      <c r="M106" s="13">
        <v>1297</v>
      </c>
      <c r="N106" s="11">
        <v>573</v>
      </c>
      <c r="O106" s="11">
        <v>563</v>
      </c>
      <c r="P106" s="11">
        <v>564</v>
      </c>
      <c r="Q106" s="11">
        <v>565</v>
      </c>
      <c r="R106" s="11">
        <v>569</v>
      </c>
      <c r="S106" s="11">
        <v>568</v>
      </c>
      <c r="T106" s="11">
        <v>10</v>
      </c>
      <c r="U106" s="11">
        <v>12</v>
      </c>
      <c r="V106" s="11">
        <v>18</v>
      </c>
      <c r="W106" s="11">
        <v>18</v>
      </c>
      <c r="X106" s="11">
        <v>18</v>
      </c>
      <c r="Y106" s="11">
        <v>18</v>
      </c>
      <c r="Z106" s="27" t="s">
        <v>122</v>
      </c>
    </row>
    <row r="107" spans="1:26" ht="19.2" x14ac:dyDescent="0.3">
      <c r="A107" s="10" t="s">
        <v>123</v>
      </c>
      <c r="B107" s="11">
        <v>1</v>
      </c>
      <c r="C107" s="11">
        <v>1</v>
      </c>
      <c r="D107" s="11">
        <v>1</v>
      </c>
      <c r="E107" s="11">
        <v>1</v>
      </c>
      <c r="F107" s="11">
        <v>1</v>
      </c>
      <c r="G107" s="11">
        <v>1</v>
      </c>
      <c r="H107" s="11">
        <v>104</v>
      </c>
      <c r="I107" s="11">
        <v>133</v>
      </c>
      <c r="J107" s="11">
        <v>189</v>
      </c>
      <c r="K107" s="11">
        <v>194</v>
      </c>
      <c r="L107" s="11">
        <v>176</v>
      </c>
      <c r="M107" s="11">
        <v>172</v>
      </c>
      <c r="N107" s="11">
        <v>120</v>
      </c>
      <c r="O107" s="11">
        <v>125</v>
      </c>
      <c r="P107" s="11">
        <v>115</v>
      </c>
      <c r="Q107" s="11">
        <v>112</v>
      </c>
      <c r="R107" s="11">
        <v>109</v>
      </c>
      <c r="S107" s="11">
        <v>130</v>
      </c>
      <c r="T107" s="11">
        <v>9</v>
      </c>
      <c r="U107" s="11">
        <v>6</v>
      </c>
      <c r="V107" s="11">
        <v>8</v>
      </c>
      <c r="W107" s="11">
        <v>10</v>
      </c>
      <c r="X107" s="11">
        <v>10</v>
      </c>
      <c r="Y107" s="11">
        <v>10</v>
      </c>
      <c r="Z107" s="27" t="s">
        <v>123</v>
      </c>
    </row>
    <row r="108" spans="1:26" ht="19.2" x14ac:dyDescent="0.3">
      <c r="A108" s="10" t="s">
        <v>124</v>
      </c>
      <c r="B108" s="11">
        <v>9</v>
      </c>
      <c r="C108" s="11">
        <v>3</v>
      </c>
      <c r="D108" s="11">
        <v>3</v>
      </c>
      <c r="E108" s="11">
        <v>3</v>
      </c>
      <c r="F108" s="11">
        <v>3</v>
      </c>
      <c r="G108" s="11">
        <v>3</v>
      </c>
      <c r="H108" s="11">
        <v>390</v>
      </c>
      <c r="I108" s="11">
        <v>438</v>
      </c>
      <c r="J108" s="11">
        <v>561</v>
      </c>
      <c r="K108" s="11">
        <v>561</v>
      </c>
      <c r="L108" s="11">
        <v>513</v>
      </c>
      <c r="M108" s="11">
        <v>502</v>
      </c>
      <c r="N108" s="11">
        <v>302</v>
      </c>
      <c r="O108" s="11">
        <v>239</v>
      </c>
      <c r="P108" s="11">
        <v>283</v>
      </c>
      <c r="Q108" s="11">
        <v>301</v>
      </c>
      <c r="R108" s="11">
        <v>317</v>
      </c>
      <c r="S108" s="11">
        <v>332</v>
      </c>
      <c r="T108" s="11">
        <v>12</v>
      </c>
      <c r="U108" s="11">
        <v>12</v>
      </c>
      <c r="V108" s="11">
        <v>28</v>
      </c>
      <c r="W108" s="11">
        <v>27</v>
      </c>
      <c r="X108" s="11">
        <v>27</v>
      </c>
      <c r="Y108" s="11">
        <v>25</v>
      </c>
      <c r="Z108" s="27" t="s">
        <v>124</v>
      </c>
    </row>
    <row r="109" spans="1:26" ht="28.8" x14ac:dyDescent="0.3">
      <c r="A109" s="10" t="s">
        <v>125</v>
      </c>
      <c r="B109" s="11">
        <v>4</v>
      </c>
      <c r="C109" s="11">
        <v>4</v>
      </c>
      <c r="D109" s="11">
        <v>2</v>
      </c>
      <c r="E109" s="11">
        <v>2</v>
      </c>
      <c r="F109" s="11">
        <v>2</v>
      </c>
      <c r="G109" s="11">
        <v>2</v>
      </c>
      <c r="H109" s="11">
        <v>204</v>
      </c>
      <c r="I109" s="11">
        <v>271</v>
      </c>
      <c r="J109" s="11">
        <v>210</v>
      </c>
      <c r="K109" s="11">
        <v>220</v>
      </c>
      <c r="L109" s="11">
        <v>233</v>
      </c>
      <c r="M109" s="11">
        <v>239</v>
      </c>
      <c r="N109" s="11">
        <v>108</v>
      </c>
      <c r="O109" s="11">
        <v>106</v>
      </c>
      <c r="P109" s="11">
        <v>110</v>
      </c>
      <c r="Q109" s="11">
        <v>110</v>
      </c>
      <c r="R109" s="11">
        <v>107</v>
      </c>
      <c r="S109" s="11">
        <v>108</v>
      </c>
      <c r="T109" s="11">
        <v>3</v>
      </c>
      <c r="U109" s="11">
        <v>3</v>
      </c>
      <c r="V109" s="11">
        <v>3</v>
      </c>
      <c r="W109" s="11">
        <v>4</v>
      </c>
      <c r="X109" s="11">
        <v>4</v>
      </c>
      <c r="Y109" s="11">
        <v>4</v>
      </c>
      <c r="Z109" s="27" t="s">
        <v>125</v>
      </c>
    </row>
    <row r="110" spans="1:26" ht="28.8" x14ac:dyDescent="0.3">
      <c r="A110" s="10" t="s">
        <v>126</v>
      </c>
      <c r="B110" s="11" t="s">
        <v>44</v>
      </c>
      <c r="C110" s="11" t="s">
        <v>44</v>
      </c>
      <c r="D110" s="11" t="s">
        <v>44</v>
      </c>
      <c r="E110" s="11" t="s">
        <v>44</v>
      </c>
      <c r="F110" s="11" t="s">
        <v>44</v>
      </c>
      <c r="G110" s="11" t="s">
        <v>44</v>
      </c>
      <c r="H110" s="11">
        <v>5</v>
      </c>
      <c r="I110" s="11">
        <v>9</v>
      </c>
      <c r="J110" s="11">
        <v>13</v>
      </c>
      <c r="K110" s="11">
        <v>15</v>
      </c>
      <c r="L110" s="11">
        <v>17</v>
      </c>
      <c r="M110" s="11">
        <v>17</v>
      </c>
      <c r="N110" s="11">
        <v>56</v>
      </c>
      <c r="O110" s="11">
        <v>52</v>
      </c>
      <c r="P110" s="11">
        <v>54</v>
      </c>
      <c r="Q110" s="11">
        <v>54</v>
      </c>
      <c r="R110" s="11">
        <v>54</v>
      </c>
      <c r="S110" s="11">
        <v>54</v>
      </c>
      <c r="T110" s="11">
        <v>4</v>
      </c>
      <c r="U110" s="11">
        <v>5</v>
      </c>
      <c r="V110" s="11">
        <v>5</v>
      </c>
      <c r="W110" s="11">
        <v>5</v>
      </c>
      <c r="X110" s="11">
        <v>4</v>
      </c>
      <c r="Y110" s="11">
        <v>4</v>
      </c>
      <c r="Z110" s="27" t="s">
        <v>126</v>
      </c>
    </row>
    <row r="111" spans="1:26" x14ac:dyDescent="0.3">
      <c r="A111" s="10" t="s">
        <v>435</v>
      </c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</row>
    <row r="112" spans="1:26" ht="15" customHeight="1" thickBot="1" x14ac:dyDescent="0.35">
      <c r="A112" s="58" t="s">
        <v>436</v>
      </c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</row>
  </sheetData>
  <mergeCells count="201">
    <mergeCell ref="A1:Z1"/>
    <mergeCell ref="T98:T99"/>
    <mergeCell ref="U98:U99"/>
    <mergeCell ref="V98:V99"/>
    <mergeCell ref="W98:W99"/>
    <mergeCell ref="X98:X99"/>
    <mergeCell ref="Y98:Y99"/>
    <mergeCell ref="N98:N99"/>
    <mergeCell ref="O98:O99"/>
    <mergeCell ref="P98:P99"/>
    <mergeCell ref="Q98:Q99"/>
    <mergeCell ref="R98:R99"/>
    <mergeCell ref="S98:S99"/>
    <mergeCell ref="T76:T77"/>
    <mergeCell ref="U76:U77"/>
    <mergeCell ref="V76:V77"/>
    <mergeCell ref="W76:W77"/>
    <mergeCell ref="X76:X77"/>
    <mergeCell ref="Y76:Y77"/>
    <mergeCell ref="N76:N77"/>
    <mergeCell ref="O76:O77"/>
    <mergeCell ref="P76:P77"/>
    <mergeCell ref="Q76:Q77"/>
    <mergeCell ref="R76:R77"/>
    <mergeCell ref="S76:S77"/>
    <mergeCell ref="T60:T61"/>
    <mergeCell ref="U60:U61"/>
    <mergeCell ref="V60:V61"/>
    <mergeCell ref="W60:W61"/>
    <mergeCell ref="X60:X61"/>
    <mergeCell ref="Y60:Y61"/>
    <mergeCell ref="N60:N61"/>
    <mergeCell ref="O60:O61"/>
    <mergeCell ref="P60:P61"/>
    <mergeCell ref="Q60:Q61"/>
    <mergeCell ref="R60:R61"/>
    <mergeCell ref="S60:S61"/>
    <mergeCell ref="Y86:Y87"/>
    <mergeCell ref="S86:S87"/>
    <mergeCell ref="T86:T87"/>
    <mergeCell ref="U86:U87"/>
    <mergeCell ref="V86:V87"/>
    <mergeCell ref="W86:W87"/>
    <mergeCell ref="X86:X87"/>
    <mergeCell ref="N86:N87"/>
    <mergeCell ref="O86:O87"/>
    <mergeCell ref="P86:P87"/>
    <mergeCell ref="Q86:Q87"/>
    <mergeCell ref="R86:R87"/>
    <mergeCell ref="H98:H99"/>
    <mergeCell ref="I98:I99"/>
    <mergeCell ref="J98:J99"/>
    <mergeCell ref="K98:K99"/>
    <mergeCell ref="L98:L99"/>
    <mergeCell ref="M98:M99"/>
    <mergeCell ref="B98:B99"/>
    <mergeCell ref="C98:C99"/>
    <mergeCell ref="D98:D99"/>
    <mergeCell ref="E98:E99"/>
    <mergeCell ref="F98:F99"/>
    <mergeCell ref="G98:G99"/>
    <mergeCell ref="H86:H87"/>
    <mergeCell ref="I86:I87"/>
    <mergeCell ref="J86:J87"/>
    <mergeCell ref="K86:K87"/>
    <mergeCell ref="L86:L87"/>
    <mergeCell ref="M86:M87"/>
    <mergeCell ref="B86:B87"/>
    <mergeCell ref="C86:C87"/>
    <mergeCell ref="D86:D87"/>
    <mergeCell ref="E86:E87"/>
    <mergeCell ref="F86:F87"/>
    <mergeCell ref="G86:G87"/>
    <mergeCell ref="H76:H77"/>
    <mergeCell ref="I76:I77"/>
    <mergeCell ref="J76:J77"/>
    <mergeCell ref="K76:K77"/>
    <mergeCell ref="L76:L77"/>
    <mergeCell ref="M76:M77"/>
    <mergeCell ref="B76:B77"/>
    <mergeCell ref="C76:C77"/>
    <mergeCell ref="D76:D77"/>
    <mergeCell ref="E76:E77"/>
    <mergeCell ref="F76:F77"/>
    <mergeCell ref="G76:G77"/>
    <mergeCell ref="H60:H61"/>
    <mergeCell ref="I60:I61"/>
    <mergeCell ref="J60:J61"/>
    <mergeCell ref="K60:K61"/>
    <mergeCell ref="L60:L61"/>
    <mergeCell ref="M60:M61"/>
    <mergeCell ref="B60:B61"/>
    <mergeCell ref="C60:C61"/>
    <mergeCell ref="D60:D61"/>
    <mergeCell ref="E60:E61"/>
    <mergeCell ref="F60:F61"/>
    <mergeCell ref="G60:G61"/>
    <mergeCell ref="X41:X42"/>
    <mergeCell ref="Y41:Y42"/>
    <mergeCell ref="N41:N42"/>
    <mergeCell ref="O41:O42"/>
    <mergeCell ref="P41:P42"/>
    <mergeCell ref="Q41:Q42"/>
    <mergeCell ref="R41:R42"/>
    <mergeCell ref="S41:S42"/>
    <mergeCell ref="T51:T52"/>
    <mergeCell ref="U51:U52"/>
    <mergeCell ref="V51:V52"/>
    <mergeCell ref="W51:W52"/>
    <mergeCell ref="X51:X52"/>
    <mergeCell ref="Y51:Y52"/>
    <mergeCell ref="N51:N52"/>
    <mergeCell ref="O51:O52"/>
    <mergeCell ref="P51:P52"/>
    <mergeCell ref="Q51:Q52"/>
    <mergeCell ref="R51:R52"/>
    <mergeCell ref="S51:S52"/>
    <mergeCell ref="U26:U27"/>
    <mergeCell ref="R6:R7"/>
    <mergeCell ref="S6:S7"/>
    <mergeCell ref="T6:T7"/>
    <mergeCell ref="U6:U7"/>
    <mergeCell ref="T41:T42"/>
    <mergeCell ref="U41:U42"/>
    <mergeCell ref="V41:V42"/>
    <mergeCell ref="W41:W42"/>
    <mergeCell ref="N3:S3"/>
    <mergeCell ref="T3:Y3"/>
    <mergeCell ref="Z3:Z4"/>
    <mergeCell ref="N6:N7"/>
    <mergeCell ref="O6:O7"/>
    <mergeCell ref="P6:P7"/>
    <mergeCell ref="Q6:Q7"/>
    <mergeCell ref="M41:M42"/>
    <mergeCell ref="M6:M7"/>
    <mergeCell ref="X6:X7"/>
    <mergeCell ref="Y6:Y7"/>
    <mergeCell ref="N26:N27"/>
    <mergeCell ref="V6:V7"/>
    <mergeCell ref="W6:W7"/>
    <mergeCell ref="V26:V27"/>
    <mergeCell ref="W26:W27"/>
    <mergeCell ref="X26:X27"/>
    <mergeCell ref="Y26:Y27"/>
    <mergeCell ref="O26:O27"/>
    <mergeCell ref="P26:P27"/>
    <mergeCell ref="Q26:Q27"/>
    <mergeCell ref="R26:R27"/>
    <mergeCell ref="S26:S27"/>
    <mergeCell ref="T26:T27"/>
    <mergeCell ref="K51:K52"/>
    <mergeCell ref="L51:L52"/>
    <mergeCell ref="M51:M52"/>
    <mergeCell ref="B51:B52"/>
    <mergeCell ref="C51:C52"/>
    <mergeCell ref="D51:D52"/>
    <mergeCell ref="E51:E52"/>
    <mergeCell ref="F51:F52"/>
    <mergeCell ref="G51:G52"/>
    <mergeCell ref="H51:H52"/>
    <mergeCell ref="I51:I52"/>
    <mergeCell ref="J51:J52"/>
    <mergeCell ref="G41:G42"/>
    <mergeCell ref="H41:H42"/>
    <mergeCell ref="I41:I42"/>
    <mergeCell ref="J41:J42"/>
    <mergeCell ref="K41:K42"/>
    <mergeCell ref="L41:L42"/>
    <mergeCell ref="B41:B42"/>
    <mergeCell ref="C41:C42"/>
    <mergeCell ref="D41:D42"/>
    <mergeCell ref="E41:E42"/>
    <mergeCell ref="F41:F42"/>
    <mergeCell ref="K26:K27"/>
    <mergeCell ref="L26:L27"/>
    <mergeCell ref="M26:M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G6:G7"/>
    <mergeCell ref="H6:H7"/>
    <mergeCell ref="I6:I7"/>
    <mergeCell ref="J6:J7"/>
    <mergeCell ref="K6:K7"/>
    <mergeCell ref="L6:L7"/>
    <mergeCell ref="A2:A4"/>
    <mergeCell ref="B2:G2"/>
    <mergeCell ref="B3:G3"/>
    <mergeCell ref="H2:M2"/>
    <mergeCell ref="H3:M3"/>
    <mergeCell ref="B6:B7"/>
    <mergeCell ref="C6:C7"/>
    <mergeCell ref="D6:D7"/>
    <mergeCell ref="E6:E7"/>
    <mergeCell ref="F6:F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3C374-03A2-4FD2-A31C-82478994CA06}">
  <dimension ref="A1:N118"/>
  <sheetViews>
    <sheetView workbookViewId="0">
      <selection activeCell="W20" sqref="W20"/>
    </sheetView>
  </sheetViews>
  <sheetFormatPr defaultRowHeight="14.4" x14ac:dyDescent="0.3"/>
  <cols>
    <col min="1" max="1" width="11.5546875" customWidth="1"/>
  </cols>
  <sheetData>
    <row r="1" spans="1:14" ht="15" thickBot="1" x14ac:dyDescent="0.35">
      <c r="A1" s="1" t="s">
        <v>498</v>
      </c>
    </row>
    <row r="2" spans="1:14" x14ac:dyDescent="0.3">
      <c r="A2" s="250"/>
      <c r="B2" s="242" t="s">
        <v>499</v>
      </c>
      <c r="C2" s="243"/>
      <c r="D2" s="243"/>
      <c r="E2" s="243"/>
      <c r="F2" s="243"/>
      <c r="G2" s="243"/>
      <c r="H2" s="244"/>
      <c r="I2" s="242" t="s">
        <v>501</v>
      </c>
      <c r="J2" s="243"/>
      <c r="K2" s="243"/>
      <c r="L2" s="243"/>
      <c r="M2" s="243"/>
      <c r="N2" s="244"/>
    </row>
    <row r="3" spans="1:14" ht="15" thickBot="1" x14ac:dyDescent="0.35">
      <c r="A3" s="251"/>
      <c r="B3" s="245" t="s">
        <v>500</v>
      </c>
      <c r="C3" s="246"/>
      <c r="D3" s="246"/>
      <c r="E3" s="246"/>
      <c r="F3" s="246"/>
      <c r="G3" s="246"/>
      <c r="H3" s="247"/>
      <c r="I3" s="245" t="s">
        <v>502</v>
      </c>
      <c r="J3" s="246"/>
      <c r="K3" s="246"/>
      <c r="L3" s="246"/>
      <c r="M3" s="246"/>
      <c r="N3" s="247"/>
    </row>
    <row r="4" spans="1:14" x14ac:dyDescent="0.3">
      <c r="A4" s="251"/>
      <c r="B4" s="239">
        <v>2010</v>
      </c>
      <c r="C4" s="239">
        <v>2015</v>
      </c>
      <c r="D4" s="239">
        <v>2020</v>
      </c>
      <c r="E4" s="239">
        <v>2021</v>
      </c>
      <c r="F4" s="239">
        <v>2022</v>
      </c>
      <c r="G4" s="239">
        <v>2023</v>
      </c>
      <c r="H4" s="2" t="s">
        <v>3</v>
      </c>
      <c r="I4" s="239">
        <v>2010</v>
      </c>
      <c r="J4" s="239">
        <v>2015</v>
      </c>
      <c r="K4" s="239">
        <v>2020</v>
      </c>
      <c r="L4" s="239">
        <v>2021</v>
      </c>
      <c r="M4" s="239">
        <v>2022</v>
      </c>
      <c r="N4" s="239">
        <v>2023</v>
      </c>
    </row>
    <row r="5" spans="1:14" x14ac:dyDescent="0.3">
      <c r="A5" s="251"/>
      <c r="B5" s="240"/>
      <c r="C5" s="240"/>
      <c r="D5" s="240"/>
      <c r="E5" s="240"/>
      <c r="F5" s="240"/>
      <c r="G5" s="240"/>
      <c r="H5" s="2" t="s">
        <v>503</v>
      </c>
      <c r="I5" s="240"/>
      <c r="J5" s="240"/>
      <c r="K5" s="240"/>
      <c r="L5" s="240"/>
      <c r="M5" s="240"/>
      <c r="N5" s="240"/>
    </row>
    <row r="6" spans="1:14" ht="19.2" x14ac:dyDescent="0.3">
      <c r="A6" s="251"/>
      <c r="B6" s="240"/>
      <c r="C6" s="240"/>
      <c r="D6" s="240"/>
      <c r="E6" s="240"/>
      <c r="F6" s="240"/>
      <c r="G6" s="240"/>
      <c r="H6" s="2" t="s">
        <v>504</v>
      </c>
      <c r="I6" s="240"/>
      <c r="J6" s="240"/>
      <c r="K6" s="240"/>
      <c r="L6" s="240"/>
      <c r="M6" s="240"/>
      <c r="N6" s="240"/>
    </row>
    <row r="7" spans="1:14" x14ac:dyDescent="0.3">
      <c r="A7" s="251"/>
      <c r="B7" s="240"/>
      <c r="C7" s="240"/>
      <c r="D7" s="240"/>
      <c r="E7" s="240"/>
      <c r="F7" s="240"/>
      <c r="G7" s="240"/>
      <c r="H7" s="2" t="s">
        <v>505</v>
      </c>
      <c r="I7" s="240"/>
      <c r="J7" s="240"/>
      <c r="K7" s="240"/>
      <c r="L7" s="240"/>
      <c r="M7" s="240"/>
      <c r="N7" s="240"/>
    </row>
    <row r="8" spans="1:14" ht="15" thickBot="1" x14ac:dyDescent="0.35">
      <c r="A8" s="252"/>
      <c r="B8" s="241"/>
      <c r="C8" s="241"/>
      <c r="D8" s="241"/>
      <c r="E8" s="241"/>
      <c r="F8" s="241"/>
      <c r="G8" s="241"/>
      <c r="H8" s="4">
        <v>2023</v>
      </c>
      <c r="I8" s="241"/>
      <c r="J8" s="241"/>
      <c r="K8" s="241"/>
      <c r="L8" s="241"/>
      <c r="M8" s="241"/>
      <c r="N8" s="241"/>
    </row>
    <row r="9" spans="1:14" ht="19.2" x14ac:dyDescent="0.3">
      <c r="A9" s="5" t="s">
        <v>4</v>
      </c>
      <c r="B9" s="6" t="s">
        <v>506</v>
      </c>
      <c r="C9" s="9">
        <v>5702</v>
      </c>
      <c r="D9" s="9">
        <v>5697</v>
      </c>
      <c r="E9" s="9">
        <v>5643</v>
      </c>
      <c r="F9" s="6" t="s">
        <v>507</v>
      </c>
      <c r="G9" s="9">
        <v>6066</v>
      </c>
      <c r="H9" s="6"/>
      <c r="I9" s="6" t="s">
        <v>508</v>
      </c>
      <c r="J9" s="6" t="s">
        <v>509</v>
      </c>
      <c r="K9" s="6" t="s">
        <v>510</v>
      </c>
      <c r="L9" s="9">
        <v>49672</v>
      </c>
      <c r="M9" s="6" t="s">
        <v>511</v>
      </c>
      <c r="N9" s="32">
        <v>50831</v>
      </c>
    </row>
    <row r="10" spans="1:14" x14ac:dyDescent="0.3">
      <c r="A10" s="8" t="s">
        <v>5</v>
      </c>
      <c r="B10" s="230" t="s">
        <v>512</v>
      </c>
      <c r="C10" s="228">
        <v>5941</v>
      </c>
      <c r="D10" s="228">
        <v>5819</v>
      </c>
      <c r="E10" s="228">
        <v>5762</v>
      </c>
      <c r="F10" s="230" t="s">
        <v>513</v>
      </c>
      <c r="G10" s="228">
        <v>7500</v>
      </c>
      <c r="H10" s="230">
        <v>2</v>
      </c>
      <c r="I10" s="230" t="s">
        <v>514</v>
      </c>
      <c r="J10" s="230" t="s">
        <v>515</v>
      </c>
      <c r="K10" s="230" t="s">
        <v>516</v>
      </c>
      <c r="L10" s="228">
        <v>11064</v>
      </c>
      <c r="M10" s="230" t="s">
        <v>517</v>
      </c>
      <c r="N10" s="253">
        <v>11088</v>
      </c>
    </row>
    <row r="11" spans="1:14" ht="19.2" x14ac:dyDescent="0.3">
      <c r="A11" s="8" t="s">
        <v>6</v>
      </c>
      <c r="B11" s="230"/>
      <c r="C11" s="228"/>
      <c r="D11" s="228"/>
      <c r="E11" s="228"/>
      <c r="F11" s="230"/>
      <c r="G11" s="228"/>
      <c r="H11" s="230"/>
      <c r="I11" s="230"/>
      <c r="J11" s="230"/>
      <c r="K11" s="230"/>
      <c r="L11" s="228"/>
      <c r="M11" s="230"/>
      <c r="N11" s="253"/>
    </row>
    <row r="12" spans="1:14" ht="19.2" x14ac:dyDescent="0.3">
      <c r="A12" s="10" t="s">
        <v>7</v>
      </c>
      <c r="B12" s="11" t="s">
        <v>518</v>
      </c>
      <c r="C12" s="13">
        <v>6597</v>
      </c>
      <c r="D12" s="13">
        <v>6047</v>
      </c>
      <c r="E12" s="13">
        <v>5994</v>
      </c>
      <c r="F12" s="11" t="s">
        <v>519</v>
      </c>
      <c r="G12" s="13">
        <v>6001</v>
      </c>
      <c r="H12" s="11">
        <v>47</v>
      </c>
      <c r="I12" s="11">
        <v>736</v>
      </c>
      <c r="J12" s="11">
        <v>750</v>
      </c>
      <c r="K12" s="11">
        <v>706</v>
      </c>
      <c r="L12" s="11">
        <v>789</v>
      </c>
      <c r="M12" s="11">
        <v>826</v>
      </c>
      <c r="N12" s="12">
        <v>746</v>
      </c>
    </row>
    <row r="13" spans="1:14" ht="19.2" x14ac:dyDescent="0.3">
      <c r="A13" s="10" t="s">
        <v>8</v>
      </c>
      <c r="B13" s="11" t="s">
        <v>520</v>
      </c>
      <c r="C13" s="13">
        <v>7181</v>
      </c>
      <c r="D13" s="13">
        <v>7012</v>
      </c>
      <c r="E13" s="13">
        <v>7002</v>
      </c>
      <c r="F13" s="11" t="s">
        <v>521</v>
      </c>
      <c r="G13" s="13">
        <v>6792</v>
      </c>
      <c r="H13" s="11">
        <v>33</v>
      </c>
      <c r="I13" s="11">
        <v>617</v>
      </c>
      <c r="J13" s="11">
        <v>543</v>
      </c>
      <c r="K13" s="11">
        <v>464</v>
      </c>
      <c r="L13" s="11">
        <v>485</v>
      </c>
      <c r="M13" s="11">
        <v>484</v>
      </c>
      <c r="N13" s="12">
        <v>487</v>
      </c>
    </row>
    <row r="14" spans="1:14" ht="19.2" x14ac:dyDescent="0.3">
      <c r="A14" s="10" t="s">
        <v>9</v>
      </c>
      <c r="B14" s="11" t="s">
        <v>522</v>
      </c>
      <c r="C14" s="13">
        <v>6863</v>
      </c>
      <c r="D14" s="13">
        <v>6666</v>
      </c>
      <c r="E14" s="13">
        <v>6681</v>
      </c>
      <c r="F14" s="11" t="s">
        <v>523</v>
      </c>
      <c r="G14" s="13">
        <v>6592</v>
      </c>
      <c r="H14" s="11">
        <v>37</v>
      </c>
      <c r="I14" s="11">
        <v>580</v>
      </c>
      <c r="J14" s="11">
        <v>546</v>
      </c>
      <c r="K14" s="11">
        <v>439</v>
      </c>
      <c r="L14" s="11">
        <v>490</v>
      </c>
      <c r="M14" s="11">
        <v>495</v>
      </c>
      <c r="N14" s="12">
        <v>503</v>
      </c>
    </row>
    <row r="15" spans="1:14" ht="19.2" x14ac:dyDescent="0.3">
      <c r="A15" s="10" t="s">
        <v>12</v>
      </c>
      <c r="B15" s="11" t="s">
        <v>524</v>
      </c>
      <c r="C15" s="13">
        <v>4173</v>
      </c>
      <c r="D15" s="13">
        <v>6031</v>
      </c>
      <c r="E15" s="13">
        <v>6004</v>
      </c>
      <c r="F15" s="11" t="s">
        <v>525</v>
      </c>
      <c r="G15" s="13">
        <v>5899</v>
      </c>
      <c r="H15" s="11">
        <v>48</v>
      </c>
      <c r="I15" s="11">
        <v>884</v>
      </c>
      <c r="J15" s="11">
        <v>565</v>
      </c>
      <c r="K15" s="11">
        <v>694</v>
      </c>
      <c r="L15" s="11">
        <v>774</v>
      </c>
      <c r="M15" s="11">
        <v>865</v>
      </c>
      <c r="N15" s="12">
        <v>778</v>
      </c>
    </row>
    <row r="16" spans="1:14" ht="19.2" x14ac:dyDescent="0.3">
      <c r="A16" s="10" t="s">
        <v>13</v>
      </c>
      <c r="B16" s="11" t="s">
        <v>526</v>
      </c>
      <c r="C16" s="13">
        <v>6524</v>
      </c>
      <c r="D16" s="13">
        <v>8458</v>
      </c>
      <c r="E16" s="13">
        <v>8566</v>
      </c>
      <c r="F16" s="11" t="s">
        <v>527</v>
      </c>
      <c r="G16" s="13">
        <v>8511</v>
      </c>
      <c r="H16" s="11">
        <v>16</v>
      </c>
      <c r="I16" s="11">
        <v>475</v>
      </c>
      <c r="J16" s="11">
        <v>351</v>
      </c>
      <c r="K16" s="11">
        <v>289</v>
      </c>
      <c r="L16" s="11">
        <v>361</v>
      </c>
      <c r="M16" s="11">
        <v>383</v>
      </c>
      <c r="N16" s="12">
        <v>388</v>
      </c>
    </row>
    <row r="17" spans="1:14" ht="19.2" x14ac:dyDescent="0.3">
      <c r="A17" s="10" t="s">
        <v>14</v>
      </c>
      <c r="B17" s="11" t="s">
        <v>528</v>
      </c>
      <c r="C17" s="13">
        <v>7027</v>
      </c>
      <c r="D17" s="13">
        <v>6808</v>
      </c>
      <c r="E17" s="13">
        <v>6702</v>
      </c>
      <c r="F17" s="11" t="s">
        <v>529</v>
      </c>
      <c r="G17" s="13">
        <v>6642</v>
      </c>
      <c r="H17" s="11">
        <v>34</v>
      </c>
      <c r="I17" s="11">
        <v>439</v>
      </c>
      <c r="J17" s="11">
        <v>418</v>
      </c>
      <c r="K17" s="11">
        <v>375</v>
      </c>
      <c r="L17" s="11">
        <v>400</v>
      </c>
      <c r="M17" s="11">
        <v>409</v>
      </c>
      <c r="N17" s="12">
        <v>572</v>
      </c>
    </row>
    <row r="18" spans="1:14" ht="19.2" x14ac:dyDescent="0.3">
      <c r="A18" s="10" t="s">
        <v>16</v>
      </c>
      <c r="B18" s="11" t="s">
        <v>530</v>
      </c>
      <c r="C18" s="13">
        <v>10951</v>
      </c>
      <c r="D18" s="13">
        <v>10553</v>
      </c>
      <c r="E18" s="13">
        <v>10513</v>
      </c>
      <c r="F18" s="11" t="s">
        <v>531</v>
      </c>
      <c r="G18" s="13">
        <v>10260</v>
      </c>
      <c r="H18" s="11">
        <v>6</v>
      </c>
      <c r="I18" s="11">
        <v>286</v>
      </c>
      <c r="J18" s="11">
        <v>264</v>
      </c>
      <c r="K18" s="11">
        <v>252</v>
      </c>
      <c r="L18" s="11">
        <v>267</v>
      </c>
      <c r="M18" s="11">
        <v>284</v>
      </c>
      <c r="N18" s="12">
        <v>432</v>
      </c>
    </row>
    <row r="19" spans="1:14" x14ac:dyDescent="0.3">
      <c r="A19" s="10" t="s">
        <v>18</v>
      </c>
      <c r="B19" s="11" t="s">
        <v>532</v>
      </c>
      <c r="C19" s="13">
        <v>8911</v>
      </c>
      <c r="D19" s="13">
        <v>8284</v>
      </c>
      <c r="E19" s="13">
        <v>8243</v>
      </c>
      <c r="F19" s="11" t="s">
        <v>533</v>
      </c>
      <c r="G19" s="13">
        <v>8072</v>
      </c>
      <c r="H19" s="11">
        <v>17</v>
      </c>
      <c r="I19" s="11">
        <v>593</v>
      </c>
      <c r="J19" s="11">
        <v>511</v>
      </c>
      <c r="K19" s="11">
        <v>443</v>
      </c>
      <c r="L19" s="11">
        <v>476</v>
      </c>
      <c r="M19" s="11">
        <v>492</v>
      </c>
      <c r="N19" s="12">
        <v>534</v>
      </c>
    </row>
    <row r="20" spans="1:14" ht="19.2" x14ac:dyDescent="0.3">
      <c r="A20" s="10" t="s">
        <v>19</v>
      </c>
      <c r="B20" s="11" t="s">
        <v>534</v>
      </c>
      <c r="C20" s="13">
        <v>6237</v>
      </c>
      <c r="D20" s="13">
        <v>6956</v>
      </c>
      <c r="E20" s="13">
        <v>6965</v>
      </c>
      <c r="F20" s="11" t="s">
        <v>535</v>
      </c>
      <c r="G20" s="13">
        <v>6891</v>
      </c>
      <c r="H20" s="11">
        <v>30</v>
      </c>
      <c r="I20" s="11">
        <v>562</v>
      </c>
      <c r="J20" s="11">
        <v>440</v>
      </c>
      <c r="K20" s="11">
        <v>414</v>
      </c>
      <c r="L20" s="11">
        <v>451</v>
      </c>
      <c r="M20" s="11">
        <v>456</v>
      </c>
      <c r="N20" s="12">
        <v>495</v>
      </c>
    </row>
    <row r="21" spans="1:14" ht="19.2" x14ac:dyDescent="0.3">
      <c r="A21" s="10" t="s">
        <v>20</v>
      </c>
      <c r="B21" s="11" t="s">
        <v>536</v>
      </c>
      <c r="C21" s="13">
        <v>2791</v>
      </c>
      <c r="D21" s="13">
        <v>2181</v>
      </c>
      <c r="E21" s="13">
        <v>2061</v>
      </c>
      <c r="F21" s="11" t="s">
        <v>537</v>
      </c>
      <c r="G21" s="13">
        <v>1831</v>
      </c>
      <c r="H21" s="11">
        <v>83</v>
      </c>
      <c r="I21" s="11" t="s">
        <v>538</v>
      </c>
      <c r="J21" s="11" t="s">
        <v>539</v>
      </c>
      <c r="K21" s="11">
        <v>1484</v>
      </c>
      <c r="L21" s="13">
        <v>1712</v>
      </c>
      <c r="M21" s="11" t="s">
        <v>540</v>
      </c>
      <c r="N21" s="33">
        <v>1485</v>
      </c>
    </row>
    <row r="22" spans="1:14" ht="19.2" x14ac:dyDescent="0.3">
      <c r="A22" s="10" t="s">
        <v>21</v>
      </c>
      <c r="B22" s="11" t="s">
        <v>541</v>
      </c>
      <c r="C22" s="13">
        <v>6626</v>
      </c>
      <c r="D22" s="13">
        <v>6877</v>
      </c>
      <c r="E22" s="13">
        <v>6892</v>
      </c>
      <c r="F22" s="11" t="s">
        <v>542</v>
      </c>
      <c r="G22" s="13">
        <v>6796</v>
      </c>
      <c r="H22" s="11">
        <v>32</v>
      </c>
      <c r="I22" s="11">
        <v>328</v>
      </c>
      <c r="J22" s="11">
        <v>288</v>
      </c>
      <c r="K22" s="11">
        <v>244</v>
      </c>
      <c r="L22" s="11">
        <v>257</v>
      </c>
      <c r="M22" s="11">
        <v>259</v>
      </c>
      <c r="N22" s="12">
        <v>281</v>
      </c>
    </row>
    <row r="23" spans="1:14" ht="19.2" x14ac:dyDescent="0.3">
      <c r="A23" s="10" t="s">
        <v>22</v>
      </c>
      <c r="B23" s="11" t="s">
        <v>543</v>
      </c>
      <c r="C23" s="13">
        <v>5678</v>
      </c>
      <c r="D23" s="13">
        <v>5770</v>
      </c>
      <c r="E23" s="13">
        <v>5771</v>
      </c>
      <c r="F23" s="11" t="s">
        <v>544</v>
      </c>
      <c r="G23" s="13">
        <v>5850</v>
      </c>
      <c r="H23" s="11">
        <v>50</v>
      </c>
      <c r="I23" s="11">
        <v>507</v>
      </c>
      <c r="J23" s="11">
        <v>478</v>
      </c>
      <c r="K23" s="11">
        <v>434</v>
      </c>
      <c r="L23" s="11">
        <v>491</v>
      </c>
      <c r="M23" s="11">
        <v>492</v>
      </c>
      <c r="N23" s="12">
        <v>544</v>
      </c>
    </row>
    <row r="24" spans="1:14" ht="19.2" x14ac:dyDescent="0.3">
      <c r="A24" s="10" t="s">
        <v>23</v>
      </c>
      <c r="B24" s="11" t="s">
        <v>545</v>
      </c>
      <c r="C24" s="13">
        <v>9270</v>
      </c>
      <c r="D24" s="13">
        <v>9165</v>
      </c>
      <c r="E24" s="13">
        <v>9150</v>
      </c>
      <c r="F24" s="11" t="s">
        <v>546</v>
      </c>
      <c r="G24" s="13">
        <v>9143</v>
      </c>
      <c r="H24" s="11">
        <v>11</v>
      </c>
      <c r="I24" s="11">
        <v>595</v>
      </c>
      <c r="J24" s="11">
        <v>548</v>
      </c>
      <c r="K24" s="11">
        <v>431</v>
      </c>
      <c r="L24" s="11">
        <v>439</v>
      </c>
      <c r="M24" s="11">
        <v>442</v>
      </c>
      <c r="N24" s="12">
        <v>443</v>
      </c>
    </row>
    <row r="25" spans="1:14" ht="19.2" x14ac:dyDescent="0.3">
      <c r="A25" s="10" t="s">
        <v>24</v>
      </c>
      <c r="B25" s="11" t="s">
        <v>547</v>
      </c>
      <c r="C25" s="13">
        <v>8838</v>
      </c>
      <c r="D25" s="13">
        <v>9180</v>
      </c>
      <c r="E25" s="13">
        <v>9284</v>
      </c>
      <c r="F25" s="11" t="s">
        <v>548</v>
      </c>
      <c r="G25" s="13">
        <v>9364</v>
      </c>
      <c r="H25" s="11">
        <v>8</v>
      </c>
      <c r="I25" s="11">
        <v>579</v>
      </c>
      <c r="J25" s="11">
        <v>506</v>
      </c>
      <c r="K25" s="11">
        <v>496</v>
      </c>
      <c r="L25" s="11">
        <v>515</v>
      </c>
      <c r="M25" s="11">
        <v>517</v>
      </c>
      <c r="N25" s="12">
        <v>506</v>
      </c>
    </row>
    <row r="26" spans="1:14" ht="19.2" x14ac:dyDescent="0.3">
      <c r="A26" s="10" t="s">
        <v>25</v>
      </c>
      <c r="B26" s="11" t="s">
        <v>549</v>
      </c>
      <c r="C26" s="13">
        <v>7898</v>
      </c>
      <c r="D26" s="13">
        <v>7877</v>
      </c>
      <c r="E26" s="13">
        <v>7890</v>
      </c>
      <c r="F26" s="11" t="s">
        <v>550</v>
      </c>
      <c r="G26" s="13">
        <v>7809</v>
      </c>
      <c r="H26" s="11">
        <v>20</v>
      </c>
      <c r="I26" s="11">
        <v>595</v>
      </c>
      <c r="J26" s="11">
        <v>538</v>
      </c>
      <c r="K26" s="11">
        <v>432</v>
      </c>
      <c r="L26" s="11">
        <v>498</v>
      </c>
      <c r="M26" s="11">
        <v>511</v>
      </c>
      <c r="N26" s="12">
        <v>559</v>
      </c>
    </row>
    <row r="27" spans="1:14" ht="19.2" x14ac:dyDescent="0.3">
      <c r="A27" s="10" t="s">
        <v>26</v>
      </c>
      <c r="B27" s="11" t="s">
        <v>551</v>
      </c>
      <c r="C27" s="13">
        <v>4556</v>
      </c>
      <c r="D27" s="13">
        <v>4601</v>
      </c>
      <c r="E27" s="13">
        <v>4492</v>
      </c>
      <c r="F27" s="11" t="s">
        <v>552</v>
      </c>
      <c r="G27" s="13">
        <v>4400</v>
      </c>
      <c r="H27" s="11">
        <v>70</v>
      </c>
      <c r="I27" s="11">
        <v>595</v>
      </c>
      <c r="J27" s="11">
        <v>534</v>
      </c>
      <c r="K27" s="11">
        <v>457</v>
      </c>
      <c r="L27" s="11">
        <v>521</v>
      </c>
      <c r="M27" s="11">
        <v>533</v>
      </c>
      <c r="N27" s="12">
        <v>452</v>
      </c>
    </row>
    <row r="28" spans="1:14" ht="19.2" x14ac:dyDescent="0.3">
      <c r="A28" s="10" t="s">
        <v>28</v>
      </c>
      <c r="B28" s="11" t="s">
        <v>553</v>
      </c>
      <c r="C28" s="13">
        <v>6732</v>
      </c>
      <c r="D28" s="13">
        <v>6786</v>
      </c>
      <c r="E28" s="13">
        <v>6735</v>
      </c>
      <c r="F28" s="11" t="s">
        <v>554</v>
      </c>
      <c r="G28" s="13">
        <v>6512</v>
      </c>
      <c r="H28" s="11">
        <v>39</v>
      </c>
      <c r="I28" s="11">
        <v>480</v>
      </c>
      <c r="J28" s="11">
        <v>555</v>
      </c>
      <c r="K28" s="11">
        <v>431</v>
      </c>
      <c r="L28" s="11">
        <v>519</v>
      </c>
      <c r="M28" s="11">
        <v>451</v>
      </c>
      <c r="N28" s="12">
        <v>451</v>
      </c>
    </row>
    <row r="29" spans="1:14" x14ac:dyDescent="0.3">
      <c r="A29" s="10" t="s">
        <v>31</v>
      </c>
      <c r="B29" s="11" t="s">
        <v>555</v>
      </c>
      <c r="C29" s="13">
        <v>6630</v>
      </c>
      <c r="D29" s="13">
        <v>6438</v>
      </c>
      <c r="E29" s="13">
        <v>6413</v>
      </c>
      <c r="F29" s="11" t="s">
        <v>556</v>
      </c>
      <c r="G29" s="13">
        <v>12054</v>
      </c>
      <c r="H29" s="11">
        <v>2</v>
      </c>
      <c r="I29" s="11" t="s">
        <v>557</v>
      </c>
      <c r="J29" s="11" t="s">
        <v>558</v>
      </c>
      <c r="K29" s="11">
        <v>1391</v>
      </c>
      <c r="L29" s="13">
        <v>1617</v>
      </c>
      <c r="M29" s="11" t="s">
        <v>559</v>
      </c>
      <c r="N29" s="33">
        <v>1431</v>
      </c>
    </row>
    <row r="30" spans="1:14" ht="19.2" x14ac:dyDescent="0.3">
      <c r="A30" s="8" t="s">
        <v>33</v>
      </c>
      <c r="B30" s="230" t="s">
        <v>560</v>
      </c>
      <c r="C30" s="228">
        <v>7972</v>
      </c>
      <c r="D30" s="228">
        <v>7685</v>
      </c>
      <c r="E30" s="228">
        <v>7621</v>
      </c>
      <c r="F30" s="230" t="s">
        <v>561</v>
      </c>
      <c r="G30" s="228">
        <v>7555</v>
      </c>
      <c r="H30" s="230">
        <v>1</v>
      </c>
      <c r="I30" s="230" t="s">
        <v>562</v>
      </c>
      <c r="J30" s="230" t="s">
        <v>563</v>
      </c>
      <c r="K30" s="230" t="s">
        <v>564</v>
      </c>
      <c r="L30" s="228">
        <v>4619</v>
      </c>
      <c r="M30" s="230" t="s">
        <v>565</v>
      </c>
      <c r="N30" s="253">
        <v>4050</v>
      </c>
    </row>
    <row r="31" spans="1:14" ht="19.2" x14ac:dyDescent="0.3">
      <c r="A31" s="8" t="s">
        <v>6</v>
      </c>
      <c r="B31" s="230"/>
      <c r="C31" s="228"/>
      <c r="D31" s="228"/>
      <c r="E31" s="228"/>
      <c r="F31" s="230"/>
      <c r="G31" s="228"/>
      <c r="H31" s="230"/>
      <c r="I31" s="230"/>
      <c r="J31" s="230"/>
      <c r="K31" s="230"/>
      <c r="L31" s="228"/>
      <c r="M31" s="230"/>
      <c r="N31" s="253"/>
    </row>
    <row r="32" spans="1:14" ht="19.2" x14ac:dyDescent="0.3">
      <c r="A32" s="10" t="s">
        <v>36</v>
      </c>
      <c r="B32" s="11" t="s">
        <v>566</v>
      </c>
      <c r="C32" s="13">
        <v>6749</v>
      </c>
      <c r="D32" s="13">
        <v>7510</v>
      </c>
      <c r="E32" s="13">
        <v>7550</v>
      </c>
      <c r="F32" s="11" t="s">
        <v>567</v>
      </c>
      <c r="G32" s="13">
        <v>7537</v>
      </c>
      <c r="H32" s="11">
        <v>22</v>
      </c>
      <c r="I32" s="11">
        <v>497</v>
      </c>
      <c r="J32" s="11">
        <v>218</v>
      </c>
      <c r="K32" s="11">
        <v>143</v>
      </c>
      <c r="L32" s="11">
        <v>147</v>
      </c>
      <c r="M32" s="11">
        <v>152</v>
      </c>
      <c r="N32" s="12">
        <v>167</v>
      </c>
    </row>
    <row r="33" spans="1:14" ht="19.2" x14ac:dyDescent="0.3">
      <c r="A33" s="10" t="s">
        <v>38</v>
      </c>
      <c r="B33" s="11" t="s">
        <v>568</v>
      </c>
      <c r="C33" s="13">
        <v>8219</v>
      </c>
      <c r="D33" s="13">
        <v>6411</v>
      </c>
      <c r="E33" s="13">
        <v>6405</v>
      </c>
      <c r="F33" s="11" t="s">
        <v>569</v>
      </c>
      <c r="G33" s="13">
        <v>6349</v>
      </c>
      <c r="H33" s="11">
        <v>41</v>
      </c>
      <c r="I33" s="11">
        <v>421</v>
      </c>
      <c r="J33" s="11">
        <v>391</v>
      </c>
      <c r="K33" s="11">
        <v>297</v>
      </c>
      <c r="L33" s="11">
        <v>334</v>
      </c>
      <c r="M33" s="11">
        <v>347</v>
      </c>
      <c r="N33" s="12">
        <v>346</v>
      </c>
    </row>
    <row r="34" spans="1:14" ht="19.2" x14ac:dyDescent="0.3">
      <c r="A34" s="10" t="s">
        <v>40</v>
      </c>
      <c r="B34" s="11" t="s">
        <v>570</v>
      </c>
      <c r="C34" s="13">
        <v>6876</v>
      </c>
      <c r="D34" s="13">
        <v>7577</v>
      </c>
      <c r="E34" s="13">
        <v>7609</v>
      </c>
      <c r="F34" s="11" t="s">
        <v>561</v>
      </c>
      <c r="G34" s="13">
        <v>7313</v>
      </c>
      <c r="H34" s="11"/>
      <c r="I34" s="11">
        <v>446</v>
      </c>
      <c r="J34" s="11">
        <v>402</v>
      </c>
      <c r="K34" s="11">
        <v>356</v>
      </c>
      <c r="L34" s="11">
        <v>372</v>
      </c>
      <c r="M34" s="11">
        <v>392</v>
      </c>
      <c r="N34" s="12">
        <v>424</v>
      </c>
    </row>
    <row r="35" spans="1:14" x14ac:dyDescent="0.3">
      <c r="A35" s="14" t="s">
        <v>42</v>
      </c>
      <c r="B35" s="11"/>
      <c r="C35" s="11" t="s">
        <v>571</v>
      </c>
      <c r="D35" s="11"/>
      <c r="E35" s="11"/>
      <c r="F35" s="11"/>
      <c r="G35" s="11" t="s">
        <v>571</v>
      </c>
      <c r="H35" s="11"/>
      <c r="I35" s="11"/>
      <c r="J35" s="11"/>
      <c r="K35" s="11"/>
      <c r="L35" s="11"/>
      <c r="M35" s="11"/>
      <c r="N35" s="12"/>
    </row>
    <row r="36" spans="1:14" ht="28.8" x14ac:dyDescent="0.3">
      <c r="A36" s="15" t="s">
        <v>43</v>
      </c>
      <c r="B36" s="11" t="s">
        <v>572</v>
      </c>
      <c r="C36" s="13">
        <v>7423</v>
      </c>
      <c r="D36" s="13">
        <v>9741</v>
      </c>
      <c r="E36" s="13">
        <v>9594</v>
      </c>
      <c r="F36" s="11" t="s">
        <v>573</v>
      </c>
      <c r="G36" s="13">
        <v>8902</v>
      </c>
      <c r="H36" s="11">
        <v>12</v>
      </c>
      <c r="I36" s="11">
        <v>14</v>
      </c>
      <c r="J36" s="11">
        <v>18</v>
      </c>
      <c r="K36" s="11">
        <v>23</v>
      </c>
      <c r="L36" s="11">
        <v>24</v>
      </c>
      <c r="M36" s="11">
        <v>24</v>
      </c>
      <c r="N36" s="12">
        <v>14</v>
      </c>
    </row>
    <row r="37" spans="1:14" ht="38.4" x14ac:dyDescent="0.3">
      <c r="A37" s="72" t="s">
        <v>45</v>
      </c>
      <c r="B37" s="11" t="s">
        <v>574</v>
      </c>
      <c r="C37" s="13">
        <v>6855</v>
      </c>
      <c r="D37" s="13">
        <v>7486</v>
      </c>
      <c r="E37" s="13">
        <v>7525</v>
      </c>
      <c r="F37" s="11" t="s">
        <v>575</v>
      </c>
      <c r="G37" s="13">
        <v>7243</v>
      </c>
      <c r="H37" s="11">
        <v>25</v>
      </c>
      <c r="I37" s="11">
        <v>432</v>
      </c>
      <c r="J37" s="11">
        <v>384</v>
      </c>
      <c r="K37" s="11">
        <v>332</v>
      </c>
      <c r="L37" s="11">
        <v>348</v>
      </c>
      <c r="M37" s="11">
        <v>368</v>
      </c>
      <c r="N37" s="12">
        <v>410</v>
      </c>
    </row>
    <row r="38" spans="1:14" ht="19.2" x14ac:dyDescent="0.3">
      <c r="A38" s="10" t="s">
        <v>47</v>
      </c>
      <c r="B38" s="11" t="s">
        <v>576</v>
      </c>
      <c r="C38" s="13">
        <v>6448</v>
      </c>
      <c r="D38" s="13">
        <v>6109</v>
      </c>
      <c r="E38" s="13">
        <v>6107</v>
      </c>
      <c r="F38" s="11" t="s">
        <v>577</v>
      </c>
      <c r="G38" s="13">
        <v>6058</v>
      </c>
      <c r="H38" s="11">
        <v>44</v>
      </c>
      <c r="I38" s="11">
        <v>543</v>
      </c>
      <c r="J38" s="11">
        <v>643</v>
      </c>
      <c r="K38" s="11">
        <v>639</v>
      </c>
      <c r="L38" s="11">
        <v>682</v>
      </c>
      <c r="M38" s="11">
        <v>738</v>
      </c>
      <c r="N38" s="12">
        <v>558</v>
      </c>
    </row>
    <row r="39" spans="1:14" ht="19.2" x14ac:dyDescent="0.3">
      <c r="A39" s="10" t="s">
        <v>1064</v>
      </c>
      <c r="B39" s="11" t="s">
        <v>578</v>
      </c>
      <c r="C39" s="13">
        <v>4856</v>
      </c>
      <c r="D39" s="13">
        <v>4458</v>
      </c>
      <c r="E39" s="13">
        <v>4326</v>
      </c>
      <c r="F39" s="11" t="s">
        <v>579</v>
      </c>
      <c r="G39" s="13">
        <v>4206</v>
      </c>
      <c r="H39" s="11">
        <v>72</v>
      </c>
      <c r="I39" s="11">
        <v>371</v>
      </c>
      <c r="J39" s="11">
        <v>306</v>
      </c>
      <c r="K39" s="11">
        <v>257</v>
      </c>
      <c r="L39" s="11">
        <v>268</v>
      </c>
      <c r="M39" s="11">
        <v>283</v>
      </c>
      <c r="N39" s="12">
        <v>269</v>
      </c>
    </row>
    <row r="40" spans="1:14" ht="19.2" x14ac:dyDescent="0.3">
      <c r="A40" s="10" t="s">
        <v>51</v>
      </c>
      <c r="B40" s="11" t="s">
        <v>580</v>
      </c>
      <c r="C40" s="13">
        <v>3944</v>
      </c>
      <c r="D40" s="13">
        <v>3412</v>
      </c>
      <c r="E40" s="13">
        <v>3329</v>
      </c>
      <c r="F40" s="11" t="s">
        <v>581</v>
      </c>
      <c r="G40" s="13">
        <v>3229</v>
      </c>
      <c r="H40" s="11">
        <v>78</v>
      </c>
      <c r="I40" s="11">
        <v>360</v>
      </c>
      <c r="J40" s="11">
        <v>454</v>
      </c>
      <c r="K40" s="11">
        <v>454</v>
      </c>
      <c r="L40" s="11">
        <v>538</v>
      </c>
      <c r="M40" s="11">
        <v>579</v>
      </c>
      <c r="N40" s="12">
        <v>413</v>
      </c>
    </row>
    <row r="41" spans="1:14" ht="19.2" x14ac:dyDescent="0.3">
      <c r="A41" s="10" t="s">
        <v>52</v>
      </c>
      <c r="B41" s="11" t="s">
        <v>582</v>
      </c>
      <c r="C41" s="13">
        <v>8168</v>
      </c>
      <c r="D41" s="13">
        <v>8308</v>
      </c>
      <c r="E41" s="13">
        <v>7876</v>
      </c>
      <c r="F41" s="11" t="s">
        <v>583</v>
      </c>
      <c r="G41" s="13">
        <v>7443</v>
      </c>
      <c r="H41" s="11">
        <v>24</v>
      </c>
      <c r="I41" s="11">
        <v>487</v>
      </c>
      <c r="J41" s="11">
        <v>466</v>
      </c>
      <c r="K41" s="11">
        <v>354</v>
      </c>
      <c r="L41" s="11">
        <v>417</v>
      </c>
      <c r="M41" s="11">
        <v>416</v>
      </c>
      <c r="N41" s="12">
        <v>402</v>
      </c>
    </row>
    <row r="42" spans="1:14" ht="19.2" x14ac:dyDescent="0.3">
      <c r="A42" s="10" t="s">
        <v>53</v>
      </c>
      <c r="B42" s="11" t="s">
        <v>584</v>
      </c>
      <c r="C42" s="13">
        <v>8251</v>
      </c>
      <c r="D42" s="13">
        <v>8060</v>
      </c>
      <c r="E42" s="13">
        <v>8024</v>
      </c>
      <c r="F42" s="11" t="s">
        <v>585</v>
      </c>
      <c r="G42" s="13">
        <v>7900</v>
      </c>
      <c r="H42" s="11">
        <v>18</v>
      </c>
      <c r="I42" s="11">
        <v>294</v>
      </c>
      <c r="J42" s="11">
        <v>373</v>
      </c>
      <c r="K42" s="11">
        <v>392</v>
      </c>
      <c r="L42" s="11">
        <v>341</v>
      </c>
      <c r="M42" s="11">
        <v>350</v>
      </c>
      <c r="N42" s="12">
        <v>332</v>
      </c>
    </row>
    <row r="43" spans="1:14" ht="19.2" x14ac:dyDescent="0.3">
      <c r="A43" s="10" t="s">
        <v>55</v>
      </c>
      <c r="B43" s="11" t="s">
        <v>586</v>
      </c>
      <c r="C43" s="13">
        <v>10870</v>
      </c>
      <c r="D43" s="13">
        <v>10697</v>
      </c>
      <c r="E43" s="13">
        <v>10737</v>
      </c>
      <c r="F43" s="11" t="s">
        <v>587</v>
      </c>
      <c r="G43" s="13">
        <v>10512</v>
      </c>
      <c r="H43" s="11">
        <v>4</v>
      </c>
      <c r="I43" s="11">
        <v>376</v>
      </c>
      <c r="J43" s="11">
        <v>335</v>
      </c>
      <c r="K43" s="11">
        <v>266</v>
      </c>
      <c r="L43" s="11">
        <v>262</v>
      </c>
      <c r="M43" s="11">
        <v>263</v>
      </c>
      <c r="N43" s="12">
        <v>188</v>
      </c>
    </row>
    <row r="44" spans="1:14" ht="19.2" x14ac:dyDescent="0.3">
      <c r="A44" s="10" t="s">
        <v>57</v>
      </c>
      <c r="B44" s="11" t="s">
        <v>588</v>
      </c>
      <c r="C44" s="13">
        <v>10182</v>
      </c>
      <c r="D44" s="13">
        <v>9878</v>
      </c>
      <c r="E44" s="13">
        <v>9833</v>
      </c>
      <c r="F44" s="11" t="s">
        <v>589</v>
      </c>
      <c r="G44" s="11">
        <v>9919</v>
      </c>
      <c r="H44" s="11">
        <v>7</v>
      </c>
      <c r="I44" s="11" t="s">
        <v>195</v>
      </c>
      <c r="J44" s="11" t="s">
        <v>590</v>
      </c>
      <c r="K44" s="11">
        <v>1024</v>
      </c>
      <c r="L44" s="13">
        <v>1257</v>
      </c>
      <c r="M44" s="11" t="s">
        <v>591</v>
      </c>
      <c r="N44" s="12">
        <v>951</v>
      </c>
    </row>
    <row r="45" spans="1:14" x14ac:dyDescent="0.3">
      <c r="A45" s="8" t="s">
        <v>60</v>
      </c>
      <c r="B45" s="230" t="s">
        <v>592</v>
      </c>
      <c r="C45" s="228">
        <v>4677</v>
      </c>
      <c r="D45" s="228">
        <v>4801</v>
      </c>
      <c r="E45" s="228">
        <v>4774</v>
      </c>
      <c r="F45" s="230" t="s">
        <v>593</v>
      </c>
      <c r="G45" s="228">
        <v>4696</v>
      </c>
      <c r="H45" s="230">
        <v>6</v>
      </c>
      <c r="I45" s="230" t="s">
        <v>594</v>
      </c>
      <c r="J45" s="230" t="s">
        <v>595</v>
      </c>
      <c r="K45" s="230" t="s">
        <v>596</v>
      </c>
      <c r="L45" s="228">
        <v>4829</v>
      </c>
      <c r="M45" s="230" t="s">
        <v>597</v>
      </c>
      <c r="N45" s="253">
        <v>5395</v>
      </c>
    </row>
    <row r="46" spans="1:14" ht="19.2" x14ac:dyDescent="0.3">
      <c r="A46" s="8" t="s">
        <v>6</v>
      </c>
      <c r="B46" s="230"/>
      <c r="C46" s="228"/>
      <c r="D46" s="228"/>
      <c r="E46" s="228"/>
      <c r="F46" s="230"/>
      <c r="G46" s="228"/>
      <c r="H46" s="230"/>
      <c r="I46" s="230"/>
      <c r="J46" s="230"/>
      <c r="K46" s="230"/>
      <c r="L46" s="228"/>
      <c r="M46" s="230"/>
      <c r="N46" s="253"/>
    </row>
    <row r="47" spans="1:14" ht="19.2" x14ac:dyDescent="0.3">
      <c r="A47" s="10" t="s">
        <v>61</v>
      </c>
      <c r="B47" s="11" t="s">
        <v>598</v>
      </c>
      <c r="C47" s="13">
        <v>5377</v>
      </c>
      <c r="D47" s="13">
        <v>4950</v>
      </c>
      <c r="E47" s="13">
        <v>4897</v>
      </c>
      <c r="F47" s="11" t="s">
        <v>599</v>
      </c>
      <c r="G47" s="13">
        <v>4936</v>
      </c>
      <c r="H47" s="11">
        <v>64</v>
      </c>
      <c r="I47" s="11">
        <v>202</v>
      </c>
      <c r="J47" s="11">
        <v>179</v>
      </c>
      <c r="K47" s="11">
        <v>160</v>
      </c>
      <c r="L47" s="11">
        <v>170</v>
      </c>
      <c r="M47" s="11">
        <v>172</v>
      </c>
      <c r="N47" s="12">
        <v>180</v>
      </c>
    </row>
    <row r="48" spans="1:14" ht="19.2" x14ac:dyDescent="0.3">
      <c r="A48" s="10" t="s">
        <v>62</v>
      </c>
      <c r="B48" s="11" t="s">
        <v>582</v>
      </c>
      <c r="C48" s="13">
        <v>9697</v>
      </c>
      <c r="D48" s="13">
        <v>9425</v>
      </c>
      <c r="E48" s="13">
        <v>9303</v>
      </c>
      <c r="F48" s="11" t="s">
        <v>600</v>
      </c>
      <c r="G48" s="13">
        <v>9245</v>
      </c>
      <c r="H48" s="11">
        <v>9</v>
      </c>
      <c r="I48" s="11">
        <v>149</v>
      </c>
      <c r="J48" s="11">
        <v>139</v>
      </c>
      <c r="K48" s="11">
        <v>84</v>
      </c>
      <c r="L48" s="11">
        <v>88</v>
      </c>
      <c r="M48" s="11">
        <v>97</v>
      </c>
      <c r="N48" s="12">
        <v>156</v>
      </c>
    </row>
    <row r="49" spans="1:14" ht="19.2" x14ac:dyDescent="0.3">
      <c r="A49" s="10" t="s">
        <v>63</v>
      </c>
      <c r="B49" s="11"/>
      <c r="C49" s="13">
        <v>5858</v>
      </c>
      <c r="D49" s="13">
        <v>5614</v>
      </c>
      <c r="E49" s="13">
        <v>5550</v>
      </c>
      <c r="F49" s="11" t="s">
        <v>601</v>
      </c>
      <c r="G49" s="13">
        <v>5223</v>
      </c>
      <c r="H49" s="11">
        <v>59</v>
      </c>
      <c r="I49" s="11"/>
      <c r="J49" s="11">
        <v>573</v>
      </c>
      <c r="K49" s="11">
        <v>540</v>
      </c>
      <c r="L49" s="11">
        <v>537</v>
      </c>
      <c r="M49" s="11">
        <v>537</v>
      </c>
      <c r="N49" s="12">
        <v>496</v>
      </c>
    </row>
    <row r="50" spans="1:14" ht="19.2" x14ac:dyDescent="0.3">
      <c r="A50" s="10" t="s">
        <v>65</v>
      </c>
      <c r="B50" s="11" t="s">
        <v>602</v>
      </c>
      <c r="C50" s="13">
        <v>3617</v>
      </c>
      <c r="D50" s="13">
        <v>3922</v>
      </c>
      <c r="E50" s="13">
        <v>3901</v>
      </c>
      <c r="F50" s="11" t="s">
        <v>603</v>
      </c>
      <c r="G50" s="13">
        <v>3875</v>
      </c>
      <c r="H50" s="11">
        <v>74</v>
      </c>
      <c r="I50" s="11" t="s">
        <v>309</v>
      </c>
      <c r="J50" s="11" t="s">
        <v>604</v>
      </c>
      <c r="K50" s="11" t="s">
        <v>591</v>
      </c>
      <c r="L50" s="13">
        <v>1323</v>
      </c>
      <c r="M50" s="11" t="s">
        <v>605</v>
      </c>
      <c r="N50" s="33">
        <v>1539</v>
      </c>
    </row>
    <row r="51" spans="1:14" ht="19.2" x14ac:dyDescent="0.3">
      <c r="A51" s="10" t="s">
        <v>66</v>
      </c>
      <c r="B51" s="11" t="s">
        <v>606</v>
      </c>
      <c r="C51" s="13">
        <v>6006</v>
      </c>
      <c r="D51" s="13">
        <v>6016</v>
      </c>
      <c r="E51" s="13">
        <v>6019</v>
      </c>
      <c r="F51" s="11" t="s">
        <v>607</v>
      </c>
      <c r="G51" s="13">
        <v>6029</v>
      </c>
      <c r="H51" s="11">
        <v>45</v>
      </c>
      <c r="I51" s="11">
        <v>413</v>
      </c>
      <c r="J51" s="11">
        <v>362</v>
      </c>
      <c r="K51" s="11">
        <v>300</v>
      </c>
      <c r="L51" s="11">
        <v>317</v>
      </c>
      <c r="M51" s="11">
        <v>328</v>
      </c>
      <c r="N51" s="12">
        <v>405</v>
      </c>
    </row>
    <row r="52" spans="1:14" ht="19.2" x14ac:dyDescent="0.3">
      <c r="A52" s="10" t="s">
        <v>67</v>
      </c>
      <c r="B52" s="11" t="s">
        <v>608</v>
      </c>
      <c r="C52" s="13">
        <v>3735</v>
      </c>
      <c r="D52" s="13">
        <v>5074</v>
      </c>
      <c r="E52" s="13">
        <v>5120</v>
      </c>
      <c r="F52" s="11" t="s">
        <v>609</v>
      </c>
      <c r="G52" s="13">
        <v>5061</v>
      </c>
      <c r="H52" s="11">
        <v>61</v>
      </c>
      <c r="I52" s="11" t="s">
        <v>610</v>
      </c>
      <c r="J52" s="11">
        <v>640</v>
      </c>
      <c r="K52" s="11">
        <v>561</v>
      </c>
      <c r="L52" s="11">
        <v>688</v>
      </c>
      <c r="M52" s="11">
        <v>701</v>
      </c>
      <c r="N52" s="12">
        <v>739</v>
      </c>
    </row>
    <row r="53" spans="1:14" ht="19.2" x14ac:dyDescent="0.3">
      <c r="A53" s="10" t="s">
        <v>70</v>
      </c>
      <c r="B53" s="11" t="s">
        <v>598</v>
      </c>
      <c r="C53" s="13">
        <v>5434</v>
      </c>
      <c r="D53" s="13">
        <v>5096</v>
      </c>
      <c r="E53" s="13">
        <v>5080</v>
      </c>
      <c r="F53" s="11" t="s">
        <v>611</v>
      </c>
      <c r="G53" s="13">
        <v>5036</v>
      </c>
      <c r="H53" s="11">
        <v>62</v>
      </c>
      <c r="I53" s="11" t="s">
        <v>612</v>
      </c>
      <c r="J53" s="11" t="s">
        <v>613</v>
      </c>
      <c r="K53" s="11" t="s">
        <v>614</v>
      </c>
      <c r="L53" s="13">
        <v>1622</v>
      </c>
      <c r="M53" s="11" t="s">
        <v>615</v>
      </c>
      <c r="N53" s="33">
        <v>1730</v>
      </c>
    </row>
    <row r="54" spans="1:14" x14ac:dyDescent="0.3">
      <c r="A54" s="10" t="s">
        <v>71</v>
      </c>
      <c r="B54" s="11"/>
      <c r="C54" s="13">
        <v>4205</v>
      </c>
      <c r="D54" s="13">
        <v>3139</v>
      </c>
      <c r="E54" s="13">
        <v>2905</v>
      </c>
      <c r="F54" s="11" t="s">
        <v>616</v>
      </c>
      <c r="G54" s="13">
        <v>2693</v>
      </c>
      <c r="H54" s="11">
        <v>80</v>
      </c>
      <c r="I54" s="11"/>
      <c r="J54" s="11">
        <v>116</v>
      </c>
      <c r="K54" s="11">
        <v>88</v>
      </c>
      <c r="L54" s="11">
        <v>83</v>
      </c>
      <c r="M54" s="11">
        <v>100</v>
      </c>
      <c r="N54" s="12">
        <v>150</v>
      </c>
    </row>
    <row r="55" spans="1:14" ht="19.2" x14ac:dyDescent="0.3">
      <c r="A55" s="8" t="s">
        <v>73</v>
      </c>
      <c r="B55" s="230" t="s">
        <v>617</v>
      </c>
      <c r="C55" s="228">
        <v>3712</v>
      </c>
      <c r="D55" s="228">
        <v>3640</v>
      </c>
      <c r="E55" s="228">
        <v>3590</v>
      </c>
      <c r="F55" s="230" t="s">
        <v>618</v>
      </c>
      <c r="G55" s="228">
        <v>3578</v>
      </c>
      <c r="H55" s="230">
        <v>8</v>
      </c>
      <c r="I55" s="230" t="s">
        <v>619</v>
      </c>
      <c r="J55" s="230" t="s">
        <v>620</v>
      </c>
      <c r="K55" s="230" t="s">
        <v>621</v>
      </c>
      <c r="L55" s="228">
        <v>3120</v>
      </c>
      <c r="M55" s="230" t="s">
        <v>622</v>
      </c>
      <c r="N55" s="253">
        <v>2934</v>
      </c>
    </row>
    <row r="56" spans="1:14" ht="19.2" x14ac:dyDescent="0.3">
      <c r="A56" s="8" t="s">
        <v>6</v>
      </c>
      <c r="B56" s="230"/>
      <c r="C56" s="228"/>
      <c r="D56" s="228"/>
      <c r="E56" s="228"/>
      <c r="F56" s="230"/>
      <c r="G56" s="228"/>
      <c r="H56" s="230"/>
      <c r="I56" s="230"/>
      <c r="J56" s="230"/>
      <c r="K56" s="230"/>
      <c r="L56" s="228"/>
      <c r="M56" s="230"/>
      <c r="N56" s="253"/>
    </row>
    <row r="57" spans="1:14" ht="19.2" x14ac:dyDescent="0.3">
      <c r="A57" s="10" t="s">
        <v>74</v>
      </c>
      <c r="B57" s="11" t="s">
        <v>623</v>
      </c>
      <c r="C57" s="13">
        <v>2658</v>
      </c>
      <c r="D57" s="13">
        <v>2534</v>
      </c>
      <c r="E57" s="13">
        <v>2374</v>
      </c>
      <c r="F57" s="11" t="s">
        <v>624</v>
      </c>
      <c r="G57" s="13">
        <v>2339</v>
      </c>
      <c r="H57" s="11">
        <v>82</v>
      </c>
      <c r="I57" s="11">
        <v>994</v>
      </c>
      <c r="J57" s="11">
        <v>895</v>
      </c>
      <c r="K57" s="11">
        <v>673</v>
      </c>
      <c r="L57" s="11">
        <v>770</v>
      </c>
      <c r="M57" s="11">
        <v>813</v>
      </c>
      <c r="N57" s="12">
        <v>927</v>
      </c>
    </row>
    <row r="58" spans="1:14" ht="19.2" x14ac:dyDescent="0.3">
      <c r="A58" s="10" t="s">
        <v>75</v>
      </c>
      <c r="B58" s="11" t="s">
        <v>625</v>
      </c>
      <c r="C58" s="13">
        <v>1428</v>
      </c>
      <c r="D58" s="13">
        <v>1330</v>
      </c>
      <c r="E58" s="13">
        <v>1320</v>
      </c>
      <c r="F58" s="11" t="s">
        <v>338</v>
      </c>
      <c r="G58" s="13">
        <v>1306</v>
      </c>
      <c r="H58" s="11">
        <v>85</v>
      </c>
      <c r="I58" s="11">
        <v>192</v>
      </c>
      <c r="J58" s="11">
        <v>121</v>
      </c>
      <c r="K58" s="11">
        <v>82</v>
      </c>
      <c r="L58" s="11">
        <v>96</v>
      </c>
      <c r="M58" s="11">
        <v>105</v>
      </c>
      <c r="N58" s="12">
        <v>67</v>
      </c>
    </row>
    <row r="59" spans="1:14" ht="28.8" x14ac:dyDescent="0.3">
      <c r="A59" s="10" t="s">
        <v>76</v>
      </c>
      <c r="B59" s="11" t="s">
        <v>626</v>
      </c>
      <c r="C59" s="13">
        <v>5689</v>
      </c>
      <c r="D59" s="13">
        <v>5538</v>
      </c>
      <c r="E59" s="13">
        <v>5494</v>
      </c>
      <c r="F59" s="11" t="s">
        <v>627</v>
      </c>
      <c r="G59" s="13">
        <v>5527</v>
      </c>
      <c r="H59" s="11">
        <v>56</v>
      </c>
      <c r="I59" s="11">
        <v>258</v>
      </c>
      <c r="J59" s="11">
        <v>277</v>
      </c>
      <c r="K59" s="11">
        <v>198</v>
      </c>
      <c r="L59" s="11">
        <v>274</v>
      </c>
      <c r="M59" s="11">
        <v>285</v>
      </c>
      <c r="N59" s="12">
        <v>252</v>
      </c>
    </row>
    <row r="60" spans="1:14" ht="28.8" x14ac:dyDescent="0.3">
      <c r="A60" s="10" t="s">
        <v>77</v>
      </c>
      <c r="B60" s="11" t="s">
        <v>628</v>
      </c>
      <c r="C60" s="13">
        <v>5624</v>
      </c>
      <c r="D60" s="13">
        <v>5433</v>
      </c>
      <c r="E60" s="13">
        <v>5398</v>
      </c>
      <c r="F60" s="11" t="s">
        <v>629</v>
      </c>
      <c r="G60" s="13">
        <v>5343</v>
      </c>
      <c r="H60" s="11">
        <v>57</v>
      </c>
      <c r="I60" s="11">
        <v>225</v>
      </c>
      <c r="J60" s="11">
        <v>190</v>
      </c>
      <c r="K60" s="11">
        <v>118</v>
      </c>
      <c r="L60" s="11">
        <v>154</v>
      </c>
      <c r="M60" s="11">
        <v>157</v>
      </c>
      <c r="N60" s="12">
        <v>206</v>
      </c>
    </row>
    <row r="61" spans="1:14" ht="28.8" x14ac:dyDescent="0.3">
      <c r="A61" s="10" t="s">
        <v>1066</v>
      </c>
      <c r="B61" s="11" t="s">
        <v>630</v>
      </c>
      <c r="C61" s="13">
        <v>5135</v>
      </c>
      <c r="D61" s="13">
        <v>4989</v>
      </c>
      <c r="E61" s="13">
        <v>4960</v>
      </c>
      <c r="F61" s="11" t="s">
        <v>631</v>
      </c>
      <c r="G61" s="13">
        <v>4936</v>
      </c>
      <c r="H61" s="11">
        <v>64</v>
      </c>
      <c r="I61" s="11">
        <v>200</v>
      </c>
      <c r="J61" s="11">
        <v>195</v>
      </c>
      <c r="K61" s="11">
        <v>144</v>
      </c>
      <c r="L61" s="11">
        <v>158</v>
      </c>
      <c r="M61" s="11">
        <v>161</v>
      </c>
      <c r="N61" s="12">
        <v>132</v>
      </c>
    </row>
    <row r="62" spans="1:14" ht="19.2" x14ac:dyDescent="0.3">
      <c r="A62" s="10" t="s">
        <v>78</v>
      </c>
      <c r="B62" s="11" t="s">
        <v>632</v>
      </c>
      <c r="C62" s="13">
        <v>1186</v>
      </c>
      <c r="D62" s="13">
        <v>1429</v>
      </c>
      <c r="E62" s="13">
        <v>1470</v>
      </c>
      <c r="F62" s="11" t="s">
        <v>633</v>
      </c>
      <c r="G62" s="13">
        <v>1483</v>
      </c>
      <c r="H62" s="11">
        <v>84</v>
      </c>
      <c r="I62" s="11">
        <v>212</v>
      </c>
      <c r="J62" s="11">
        <v>260</v>
      </c>
      <c r="K62" s="11">
        <v>410</v>
      </c>
      <c r="L62" s="11">
        <v>549</v>
      </c>
      <c r="M62" s="11">
        <v>597</v>
      </c>
      <c r="N62" s="12">
        <v>354</v>
      </c>
    </row>
    <row r="63" spans="1:14" ht="19.8" thickBot="1" x14ac:dyDescent="0.35">
      <c r="A63" s="16" t="s">
        <v>79</v>
      </c>
      <c r="B63" s="17" t="s">
        <v>634</v>
      </c>
      <c r="C63" s="23">
        <v>5163</v>
      </c>
      <c r="D63" s="23">
        <v>5187</v>
      </c>
      <c r="E63" s="23">
        <v>5221</v>
      </c>
      <c r="F63" s="17" t="s">
        <v>635</v>
      </c>
      <c r="G63" s="23">
        <v>5289</v>
      </c>
      <c r="H63" s="17">
        <v>58</v>
      </c>
      <c r="I63" s="17" t="s">
        <v>636</v>
      </c>
      <c r="J63" s="17" t="s">
        <v>637</v>
      </c>
      <c r="K63" s="17">
        <v>964</v>
      </c>
      <c r="L63" s="23">
        <v>1119</v>
      </c>
      <c r="M63" s="17" t="s">
        <v>638</v>
      </c>
      <c r="N63" s="18">
        <v>996</v>
      </c>
    </row>
    <row r="64" spans="1:14" x14ac:dyDescent="0.3">
      <c r="A64" s="20" t="s">
        <v>80</v>
      </c>
      <c r="B64" s="235" t="s">
        <v>639</v>
      </c>
      <c r="C64" s="248">
        <v>6245</v>
      </c>
      <c r="D64" s="248">
        <v>6242</v>
      </c>
      <c r="E64" s="248">
        <v>6198</v>
      </c>
      <c r="F64" s="235" t="s">
        <v>640</v>
      </c>
      <c r="G64" s="248">
        <v>6108</v>
      </c>
      <c r="H64" s="235">
        <v>4</v>
      </c>
      <c r="I64" s="235" t="s">
        <v>641</v>
      </c>
      <c r="J64" s="235" t="s">
        <v>642</v>
      </c>
      <c r="K64" s="235" t="s">
        <v>643</v>
      </c>
      <c r="L64" s="248">
        <v>11784</v>
      </c>
      <c r="M64" s="235" t="s">
        <v>644</v>
      </c>
      <c r="N64" s="254">
        <v>13566</v>
      </c>
    </row>
    <row r="65" spans="1:14" ht="19.2" x14ac:dyDescent="0.3">
      <c r="A65" s="8" t="s">
        <v>6</v>
      </c>
      <c r="B65" s="230"/>
      <c r="C65" s="228"/>
      <c r="D65" s="228"/>
      <c r="E65" s="228"/>
      <c r="F65" s="230"/>
      <c r="G65" s="228"/>
      <c r="H65" s="230"/>
      <c r="I65" s="230"/>
      <c r="J65" s="230"/>
      <c r="K65" s="230"/>
      <c r="L65" s="228"/>
      <c r="M65" s="230"/>
      <c r="N65" s="253"/>
    </row>
    <row r="66" spans="1:14" ht="19.2" x14ac:dyDescent="0.3">
      <c r="A66" s="72" t="s">
        <v>81</v>
      </c>
      <c r="B66" s="11" t="s">
        <v>645</v>
      </c>
      <c r="C66" s="13">
        <v>7629</v>
      </c>
      <c r="D66" s="13">
        <v>7086</v>
      </c>
      <c r="E66" s="13">
        <v>6800</v>
      </c>
      <c r="F66" s="11" t="s">
        <v>646</v>
      </c>
      <c r="G66" s="13">
        <v>6490</v>
      </c>
      <c r="H66" s="11">
        <v>40</v>
      </c>
      <c r="I66" s="11" t="s">
        <v>647</v>
      </c>
      <c r="J66" s="11" t="s">
        <v>648</v>
      </c>
      <c r="K66" s="11" t="s">
        <v>649</v>
      </c>
      <c r="L66" s="13">
        <v>1798</v>
      </c>
      <c r="M66" s="11" t="s">
        <v>650</v>
      </c>
      <c r="N66" s="33">
        <v>2387</v>
      </c>
    </row>
    <row r="67" spans="1:14" ht="19.2" x14ac:dyDescent="0.3">
      <c r="A67" s="10" t="s">
        <v>82</v>
      </c>
      <c r="B67" s="11" t="s">
        <v>651</v>
      </c>
      <c r="C67" s="13">
        <v>7727</v>
      </c>
      <c r="D67" s="13">
        <v>7223</v>
      </c>
      <c r="E67" s="13">
        <v>7148</v>
      </c>
      <c r="F67" s="11" t="s">
        <v>652</v>
      </c>
      <c r="G67" s="13">
        <v>6956</v>
      </c>
      <c r="H67" s="11">
        <v>28</v>
      </c>
      <c r="I67" s="11">
        <v>385</v>
      </c>
      <c r="J67" s="11">
        <v>373</v>
      </c>
      <c r="K67" s="11">
        <v>282</v>
      </c>
      <c r="L67" s="11">
        <v>323</v>
      </c>
      <c r="M67" s="11">
        <v>330</v>
      </c>
      <c r="N67" s="12">
        <v>317</v>
      </c>
    </row>
    <row r="68" spans="1:14" ht="19.2" x14ac:dyDescent="0.3">
      <c r="A68" s="10" t="s">
        <v>83</v>
      </c>
      <c r="B68" s="11" t="s">
        <v>653</v>
      </c>
      <c r="C68" s="13">
        <v>8234</v>
      </c>
      <c r="D68" s="13">
        <v>7812</v>
      </c>
      <c r="E68" s="13">
        <v>7808</v>
      </c>
      <c r="F68" s="11" t="s">
        <v>654</v>
      </c>
      <c r="G68" s="13">
        <v>7886</v>
      </c>
      <c r="H68" s="11">
        <v>19</v>
      </c>
      <c r="I68" s="11">
        <v>469</v>
      </c>
      <c r="J68" s="11">
        <v>436</v>
      </c>
      <c r="K68" s="11">
        <v>294</v>
      </c>
      <c r="L68" s="11">
        <v>394</v>
      </c>
      <c r="M68" s="11">
        <v>405</v>
      </c>
      <c r="N68" s="12">
        <v>407</v>
      </c>
    </row>
    <row r="69" spans="1:14" ht="19.2" x14ac:dyDescent="0.3">
      <c r="A69" s="10" t="s">
        <v>84</v>
      </c>
      <c r="B69" s="11" t="s">
        <v>655</v>
      </c>
      <c r="C69" s="13">
        <v>5996</v>
      </c>
      <c r="D69" s="13">
        <v>5837</v>
      </c>
      <c r="E69" s="13">
        <v>5844</v>
      </c>
      <c r="F69" s="11" t="s">
        <v>656</v>
      </c>
      <c r="G69" s="13">
        <v>5868</v>
      </c>
      <c r="H69" s="11">
        <v>49</v>
      </c>
      <c r="I69" s="11" t="s">
        <v>657</v>
      </c>
      <c r="J69" s="11" t="s">
        <v>658</v>
      </c>
      <c r="K69" s="11" t="s">
        <v>659</v>
      </c>
      <c r="L69" s="13">
        <v>1437</v>
      </c>
      <c r="M69" s="11" t="s">
        <v>660</v>
      </c>
      <c r="N69" s="33">
        <v>1781</v>
      </c>
    </row>
    <row r="70" spans="1:14" ht="19.2" x14ac:dyDescent="0.3">
      <c r="A70" s="10" t="s">
        <v>85</v>
      </c>
      <c r="B70" s="11" t="s">
        <v>661</v>
      </c>
      <c r="C70" s="13">
        <v>3596</v>
      </c>
      <c r="D70" s="13">
        <v>3632</v>
      </c>
      <c r="E70" s="13">
        <v>3646</v>
      </c>
      <c r="F70" s="11" t="s">
        <v>662</v>
      </c>
      <c r="G70" s="13">
        <v>3663</v>
      </c>
      <c r="H70" s="11">
        <v>75</v>
      </c>
      <c r="I70" s="11">
        <v>617</v>
      </c>
      <c r="J70" s="11">
        <v>584</v>
      </c>
      <c r="K70" s="11">
        <v>526</v>
      </c>
      <c r="L70" s="11">
        <v>547</v>
      </c>
      <c r="M70" s="11">
        <v>561</v>
      </c>
      <c r="N70" s="12">
        <v>636</v>
      </c>
    </row>
    <row r="71" spans="1:14" ht="19.2" x14ac:dyDescent="0.3">
      <c r="A71" s="10" t="s">
        <v>86</v>
      </c>
      <c r="B71" s="11" t="s">
        <v>663</v>
      </c>
      <c r="C71" s="13">
        <v>7793</v>
      </c>
      <c r="D71" s="13">
        <v>7849</v>
      </c>
      <c r="E71" s="13">
        <v>7735</v>
      </c>
      <c r="F71" s="11" t="s">
        <v>664</v>
      </c>
      <c r="G71" s="13">
        <v>7548</v>
      </c>
      <c r="H71" s="11">
        <v>21</v>
      </c>
      <c r="I71" s="11">
        <v>692</v>
      </c>
      <c r="J71" s="11">
        <v>665</v>
      </c>
      <c r="K71" s="11">
        <v>455</v>
      </c>
      <c r="L71" s="11">
        <v>590</v>
      </c>
      <c r="M71" s="11">
        <v>594</v>
      </c>
      <c r="N71" s="12">
        <v>822</v>
      </c>
    </row>
    <row r="72" spans="1:14" x14ac:dyDescent="0.3">
      <c r="A72" s="10" t="s">
        <v>87</v>
      </c>
      <c r="B72" s="11" t="s">
        <v>609</v>
      </c>
      <c r="C72" s="13">
        <v>4238</v>
      </c>
      <c r="D72" s="13">
        <v>4713</v>
      </c>
      <c r="E72" s="13">
        <v>4722</v>
      </c>
      <c r="F72" s="11" t="s">
        <v>665</v>
      </c>
      <c r="G72" s="13">
        <v>4738</v>
      </c>
      <c r="H72" s="11">
        <v>67</v>
      </c>
      <c r="I72" s="11" t="s">
        <v>666</v>
      </c>
      <c r="J72" s="11">
        <v>872</v>
      </c>
      <c r="K72" s="11">
        <v>992</v>
      </c>
      <c r="L72" s="13">
        <v>1027</v>
      </c>
      <c r="M72" s="11" t="s">
        <v>667</v>
      </c>
      <c r="N72" s="33">
        <v>1133</v>
      </c>
    </row>
    <row r="73" spans="1:14" ht="19.2" x14ac:dyDescent="0.3">
      <c r="A73" s="10" t="s">
        <v>88</v>
      </c>
      <c r="B73" s="11" t="s">
        <v>668</v>
      </c>
      <c r="C73" s="13">
        <v>10585</v>
      </c>
      <c r="D73" s="13">
        <v>10713</v>
      </c>
      <c r="E73" s="13">
        <v>10747</v>
      </c>
      <c r="F73" s="11" t="s">
        <v>669</v>
      </c>
      <c r="G73" s="13">
        <v>10482</v>
      </c>
      <c r="H73" s="11">
        <v>5</v>
      </c>
      <c r="I73" s="11">
        <v>732</v>
      </c>
      <c r="J73" s="11">
        <v>696</v>
      </c>
      <c r="K73" s="11">
        <v>627</v>
      </c>
      <c r="L73" s="11">
        <v>687</v>
      </c>
      <c r="M73" s="11">
        <v>685</v>
      </c>
      <c r="N73" s="12">
        <v>830</v>
      </c>
    </row>
    <row r="74" spans="1:14" ht="19.2" x14ac:dyDescent="0.3">
      <c r="A74" s="10" t="s">
        <v>89</v>
      </c>
      <c r="B74" s="11" t="s">
        <v>670</v>
      </c>
      <c r="C74" s="13">
        <v>6258</v>
      </c>
      <c r="D74" s="13">
        <v>5972</v>
      </c>
      <c r="E74" s="13">
        <v>5933</v>
      </c>
      <c r="F74" s="11" t="s">
        <v>671</v>
      </c>
      <c r="G74" s="13">
        <v>5806</v>
      </c>
      <c r="H74" s="11">
        <v>51</v>
      </c>
      <c r="I74" s="11" t="s">
        <v>672</v>
      </c>
      <c r="J74" s="11" t="s">
        <v>673</v>
      </c>
      <c r="K74" s="11" t="s">
        <v>674</v>
      </c>
      <c r="L74" s="13">
        <v>1191</v>
      </c>
      <c r="M74" s="11" t="s">
        <v>675</v>
      </c>
      <c r="N74" s="33">
        <v>1349</v>
      </c>
    </row>
    <row r="75" spans="1:14" ht="19.2" x14ac:dyDescent="0.3">
      <c r="A75" s="10" t="s">
        <v>90</v>
      </c>
      <c r="B75" s="11" t="s">
        <v>676</v>
      </c>
      <c r="C75" s="13">
        <v>5854</v>
      </c>
      <c r="D75" s="13">
        <v>6630</v>
      </c>
      <c r="E75" s="13">
        <v>6658</v>
      </c>
      <c r="F75" s="11" t="s">
        <v>677</v>
      </c>
      <c r="G75" s="13">
        <v>6593</v>
      </c>
      <c r="H75" s="11">
        <v>36</v>
      </c>
      <c r="I75" s="11">
        <v>870</v>
      </c>
      <c r="J75" s="11">
        <v>668</v>
      </c>
      <c r="K75" s="11">
        <v>585</v>
      </c>
      <c r="L75" s="11">
        <v>686</v>
      </c>
      <c r="M75" s="11">
        <v>706</v>
      </c>
      <c r="N75" s="12">
        <v>870</v>
      </c>
    </row>
    <row r="76" spans="1:14" ht="19.2" x14ac:dyDescent="0.3">
      <c r="A76" s="10" t="s">
        <v>91</v>
      </c>
      <c r="B76" s="11" t="s">
        <v>678</v>
      </c>
      <c r="C76" s="13">
        <v>6572</v>
      </c>
      <c r="D76" s="13">
        <v>6573</v>
      </c>
      <c r="E76" s="13">
        <v>6608</v>
      </c>
      <c r="F76" s="11" t="s">
        <v>679</v>
      </c>
      <c r="G76" s="13">
        <v>6641</v>
      </c>
      <c r="H76" s="11">
        <v>35</v>
      </c>
      <c r="I76" s="11">
        <v>671</v>
      </c>
      <c r="J76" s="11">
        <v>681</v>
      </c>
      <c r="K76" s="11">
        <v>624</v>
      </c>
      <c r="L76" s="11">
        <v>674</v>
      </c>
      <c r="M76" s="11">
        <v>706</v>
      </c>
      <c r="N76" s="12">
        <v>608</v>
      </c>
    </row>
    <row r="77" spans="1:14" ht="19.2" x14ac:dyDescent="0.3">
      <c r="A77" s="10" t="s">
        <v>92</v>
      </c>
      <c r="B77" s="11" t="s">
        <v>680</v>
      </c>
      <c r="C77" s="13">
        <v>4794</v>
      </c>
      <c r="D77" s="13">
        <v>5319</v>
      </c>
      <c r="E77" s="13">
        <v>5300</v>
      </c>
      <c r="F77" s="11" t="s">
        <v>681</v>
      </c>
      <c r="G77" s="13">
        <v>5198</v>
      </c>
      <c r="H77" s="11">
        <v>60</v>
      </c>
      <c r="I77" s="11" t="s">
        <v>682</v>
      </c>
      <c r="J77" s="11">
        <v>919</v>
      </c>
      <c r="K77" s="11">
        <v>940</v>
      </c>
      <c r="L77" s="13">
        <v>1013</v>
      </c>
      <c r="M77" s="11" t="s">
        <v>683</v>
      </c>
      <c r="N77" s="33">
        <v>1020</v>
      </c>
    </row>
    <row r="78" spans="1:14" ht="19.2" x14ac:dyDescent="0.3">
      <c r="A78" s="10" t="s">
        <v>93</v>
      </c>
      <c r="B78" s="11" t="s">
        <v>684</v>
      </c>
      <c r="C78" s="13">
        <v>5824</v>
      </c>
      <c r="D78" s="13">
        <v>5653</v>
      </c>
      <c r="E78" s="13">
        <v>5705</v>
      </c>
      <c r="F78" s="11" t="s">
        <v>685</v>
      </c>
      <c r="G78" s="13">
        <v>5728</v>
      </c>
      <c r="H78" s="11">
        <v>52</v>
      </c>
      <c r="I78" s="11" t="s">
        <v>686</v>
      </c>
      <c r="J78" s="11" t="s">
        <v>420</v>
      </c>
      <c r="K78" s="11">
        <v>877</v>
      </c>
      <c r="L78" s="11">
        <v>945</v>
      </c>
      <c r="M78" s="11">
        <v>961</v>
      </c>
      <c r="N78" s="12">
        <v>916</v>
      </c>
    </row>
    <row r="79" spans="1:14" ht="19.2" x14ac:dyDescent="0.3">
      <c r="A79" s="10" t="s">
        <v>94</v>
      </c>
      <c r="B79" s="11" t="s">
        <v>687</v>
      </c>
      <c r="C79" s="13">
        <v>6683</v>
      </c>
      <c r="D79" s="13">
        <v>6971</v>
      </c>
      <c r="E79" s="13">
        <v>6963</v>
      </c>
      <c r="F79" s="11" t="s">
        <v>688</v>
      </c>
      <c r="G79" s="13">
        <v>6888</v>
      </c>
      <c r="H79" s="11">
        <v>31</v>
      </c>
      <c r="I79" s="11">
        <v>526</v>
      </c>
      <c r="J79" s="11">
        <v>473</v>
      </c>
      <c r="K79" s="11">
        <v>439</v>
      </c>
      <c r="L79" s="11">
        <v>474</v>
      </c>
      <c r="M79" s="11">
        <v>475</v>
      </c>
      <c r="N79" s="12">
        <v>489</v>
      </c>
    </row>
    <row r="80" spans="1:14" x14ac:dyDescent="0.3">
      <c r="A80" s="8" t="s">
        <v>95</v>
      </c>
      <c r="B80" s="230" t="s">
        <v>689</v>
      </c>
      <c r="C80" s="228">
        <v>4432</v>
      </c>
      <c r="D80" s="228">
        <v>4543</v>
      </c>
      <c r="E80" s="228">
        <v>4437</v>
      </c>
      <c r="F80" s="230" t="s">
        <v>690</v>
      </c>
      <c r="G80" s="228">
        <v>4332</v>
      </c>
      <c r="H80" s="230">
        <v>7</v>
      </c>
      <c r="I80" s="230" t="s">
        <v>691</v>
      </c>
      <c r="J80" s="230" t="s">
        <v>692</v>
      </c>
      <c r="K80" s="230" t="s">
        <v>693</v>
      </c>
      <c r="L80" s="228">
        <v>4541</v>
      </c>
      <c r="M80" s="230" t="s">
        <v>694</v>
      </c>
      <c r="N80" s="253">
        <v>4264</v>
      </c>
    </row>
    <row r="81" spans="1:14" ht="19.2" x14ac:dyDescent="0.3">
      <c r="A81" s="8" t="s">
        <v>6</v>
      </c>
      <c r="B81" s="230"/>
      <c r="C81" s="228"/>
      <c r="D81" s="228"/>
      <c r="E81" s="228"/>
      <c r="F81" s="230"/>
      <c r="G81" s="228"/>
      <c r="H81" s="230"/>
      <c r="I81" s="230"/>
      <c r="J81" s="230"/>
      <c r="K81" s="230"/>
      <c r="L81" s="228"/>
      <c r="M81" s="230"/>
      <c r="N81" s="253"/>
    </row>
    <row r="82" spans="1:14" ht="19.2" x14ac:dyDescent="0.3">
      <c r="A82" s="10" t="s">
        <v>96</v>
      </c>
      <c r="B82" s="11" t="s">
        <v>695</v>
      </c>
      <c r="C82" s="13">
        <v>8033</v>
      </c>
      <c r="D82" s="13">
        <v>9789</v>
      </c>
      <c r="E82" s="13">
        <v>9788</v>
      </c>
      <c r="F82" s="11" t="s">
        <v>696</v>
      </c>
      <c r="G82" s="13">
        <v>9231</v>
      </c>
      <c r="H82" s="11">
        <v>10</v>
      </c>
      <c r="I82" s="11">
        <v>467</v>
      </c>
      <c r="J82" s="11">
        <v>351</v>
      </c>
      <c r="K82" s="11">
        <v>403</v>
      </c>
      <c r="L82" s="11">
        <v>425</v>
      </c>
      <c r="M82" s="11">
        <v>425</v>
      </c>
      <c r="N82" s="12">
        <v>457</v>
      </c>
    </row>
    <row r="83" spans="1:14" ht="19.2" x14ac:dyDescent="0.3">
      <c r="A83" s="10" t="s">
        <v>97</v>
      </c>
      <c r="B83" s="11" t="s">
        <v>697</v>
      </c>
      <c r="C83" s="13">
        <v>3836</v>
      </c>
      <c r="D83" s="13">
        <v>3727</v>
      </c>
      <c r="E83" s="13">
        <v>3708</v>
      </c>
      <c r="F83" s="11" t="s">
        <v>698</v>
      </c>
      <c r="G83" s="13">
        <v>3656</v>
      </c>
      <c r="H83" s="11">
        <v>76</v>
      </c>
      <c r="I83" s="11" t="s">
        <v>699</v>
      </c>
      <c r="J83" s="11" t="s">
        <v>700</v>
      </c>
      <c r="K83" s="11" t="s">
        <v>701</v>
      </c>
      <c r="L83" s="13">
        <v>1494</v>
      </c>
      <c r="M83" s="11" t="s">
        <v>702</v>
      </c>
      <c r="N83" s="33">
        <v>1262</v>
      </c>
    </row>
    <row r="84" spans="1:14" ht="19.2" x14ac:dyDescent="0.3">
      <c r="A84" s="10" t="s">
        <v>98</v>
      </c>
      <c r="B84" s="11" t="s">
        <v>703</v>
      </c>
      <c r="C84" s="13">
        <v>4041</v>
      </c>
      <c r="D84" s="13">
        <v>4380</v>
      </c>
      <c r="E84" s="13">
        <v>4117</v>
      </c>
      <c r="F84" s="11" t="s">
        <v>704</v>
      </c>
      <c r="G84" s="13">
        <v>4066</v>
      </c>
      <c r="H84" s="11"/>
      <c r="I84" s="11" t="s">
        <v>495</v>
      </c>
      <c r="J84" s="11" t="s">
        <v>705</v>
      </c>
      <c r="K84" s="11" t="s">
        <v>706</v>
      </c>
      <c r="L84" s="13">
        <v>1340</v>
      </c>
      <c r="M84" s="11" t="s">
        <v>707</v>
      </c>
      <c r="N84" s="33">
        <v>1439</v>
      </c>
    </row>
    <row r="85" spans="1:14" x14ac:dyDescent="0.3">
      <c r="A85" s="14" t="s">
        <v>42</v>
      </c>
      <c r="B85" s="11"/>
      <c r="C85" s="11" t="s">
        <v>571</v>
      </c>
      <c r="D85" s="11"/>
      <c r="E85" s="11" t="s">
        <v>571</v>
      </c>
      <c r="F85" s="11"/>
      <c r="G85" s="11"/>
      <c r="H85" s="11"/>
      <c r="I85" s="11"/>
      <c r="J85" s="11"/>
      <c r="K85" s="11"/>
      <c r="L85" s="11"/>
      <c r="M85" s="11"/>
      <c r="N85" s="12"/>
    </row>
    <row r="86" spans="1:14" ht="38.4" x14ac:dyDescent="0.3">
      <c r="A86" s="78" t="s">
        <v>1069</v>
      </c>
      <c r="B86" s="11" t="s">
        <v>708</v>
      </c>
      <c r="C86" s="13">
        <v>2826</v>
      </c>
      <c r="D86" s="13">
        <v>3155</v>
      </c>
      <c r="E86" s="13">
        <v>3125</v>
      </c>
      <c r="F86" s="11" t="s">
        <v>709</v>
      </c>
      <c r="G86" s="13">
        <v>3069</v>
      </c>
      <c r="H86" s="11">
        <v>79</v>
      </c>
      <c r="I86" s="11">
        <v>440</v>
      </c>
      <c r="J86" s="11">
        <v>412</v>
      </c>
      <c r="K86" s="11">
        <v>292</v>
      </c>
      <c r="L86" s="11">
        <v>419</v>
      </c>
      <c r="M86" s="11">
        <v>460</v>
      </c>
      <c r="N86" s="12">
        <v>456</v>
      </c>
    </row>
    <row r="87" spans="1:14" ht="38.4" x14ac:dyDescent="0.3">
      <c r="A87" s="15" t="s">
        <v>101</v>
      </c>
      <c r="B87" s="11" t="s">
        <v>712</v>
      </c>
      <c r="C87" s="13">
        <v>3226</v>
      </c>
      <c r="D87" s="13">
        <v>3111</v>
      </c>
      <c r="E87" s="13">
        <v>2734</v>
      </c>
      <c r="F87" s="11" t="s">
        <v>713</v>
      </c>
      <c r="G87" s="13">
        <v>2658</v>
      </c>
      <c r="H87" s="11">
        <v>81</v>
      </c>
      <c r="I87" s="11">
        <v>141</v>
      </c>
      <c r="J87" s="11">
        <v>279</v>
      </c>
      <c r="K87" s="11">
        <v>357</v>
      </c>
      <c r="L87" s="11">
        <v>446</v>
      </c>
      <c r="M87" s="11">
        <v>557</v>
      </c>
      <c r="N87" s="12">
        <v>165</v>
      </c>
    </row>
    <row r="88" spans="1:14" ht="38.4" x14ac:dyDescent="0.3">
      <c r="A88" s="72" t="s">
        <v>922</v>
      </c>
      <c r="B88" s="11" t="s">
        <v>714</v>
      </c>
      <c r="C88" s="13">
        <v>5668</v>
      </c>
      <c r="D88" s="13">
        <v>6094</v>
      </c>
      <c r="E88" s="13">
        <v>5620</v>
      </c>
      <c r="F88" s="11" t="s">
        <v>715</v>
      </c>
      <c r="G88" s="13">
        <v>5600</v>
      </c>
      <c r="H88" s="11">
        <v>54</v>
      </c>
      <c r="I88" s="11">
        <v>507</v>
      </c>
      <c r="J88" s="11">
        <v>532</v>
      </c>
      <c r="K88" s="11">
        <v>419</v>
      </c>
      <c r="L88" s="11">
        <v>475</v>
      </c>
      <c r="M88" s="11">
        <v>507</v>
      </c>
      <c r="N88" s="12">
        <v>818</v>
      </c>
    </row>
    <row r="89" spans="1:14" ht="19.2" x14ac:dyDescent="0.3">
      <c r="A89" s="10" t="s">
        <v>103</v>
      </c>
      <c r="B89" s="11" t="s">
        <v>716</v>
      </c>
      <c r="C89" s="13">
        <v>4703</v>
      </c>
      <c r="D89" s="13">
        <v>4538</v>
      </c>
      <c r="E89" s="13">
        <v>4494</v>
      </c>
      <c r="F89" s="11" t="s">
        <v>552</v>
      </c>
      <c r="G89" s="13">
        <v>4393</v>
      </c>
      <c r="H89" s="11">
        <v>71</v>
      </c>
      <c r="I89" s="11" t="s">
        <v>717</v>
      </c>
      <c r="J89" s="11" t="s">
        <v>718</v>
      </c>
      <c r="K89" s="11" t="s">
        <v>719</v>
      </c>
      <c r="L89" s="13">
        <v>1283</v>
      </c>
      <c r="M89" s="11" t="s">
        <v>720</v>
      </c>
      <c r="N89" s="33">
        <v>1106</v>
      </c>
    </row>
    <row r="90" spans="1:14" x14ac:dyDescent="0.3">
      <c r="A90" s="8" t="s">
        <v>104</v>
      </c>
      <c r="B90" s="230" t="s">
        <v>721</v>
      </c>
      <c r="C90" s="228">
        <v>5343</v>
      </c>
      <c r="D90" s="228">
        <v>5606</v>
      </c>
      <c r="E90" s="228">
        <v>5553</v>
      </c>
      <c r="F90" s="230" t="s">
        <v>722</v>
      </c>
      <c r="G90" s="228">
        <v>5433</v>
      </c>
      <c r="H90" s="230">
        <v>5</v>
      </c>
      <c r="I90" s="230" t="s">
        <v>723</v>
      </c>
      <c r="J90" s="230" t="s">
        <v>724</v>
      </c>
      <c r="K90" s="230" t="s">
        <v>725</v>
      </c>
      <c r="L90" s="228">
        <v>6450</v>
      </c>
      <c r="M90" s="230" t="s">
        <v>726</v>
      </c>
      <c r="N90" s="253">
        <v>6527</v>
      </c>
    </row>
    <row r="91" spans="1:14" ht="19.2" x14ac:dyDescent="0.3">
      <c r="A91" s="8" t="s">
        <v>6</v>
      </c>
      <c r="B91" s="230"/>
      <c r="C91" s="228"/>
      <c r="D91" s="228"/>
      <c r="E91" s="228"/>
      <c r="F91" s="230"/>
      <c r="G91" s="228"/>
      <c r="H91" s="230"/>
      <c r="I91" s="230"/>
      <c r="J91" s="230"/>
      <c r="K91" s="230"/>
      <c r="L91" s="228"/>
      <c r="M91" s="230"/>
      <c r="N91" s="253"/>
    </row>
    <row r="92" spans="1:14" ht="19.2" x14ac:dyDescent="0.3">
      <c r="A92" s="10" t="s">
        <v>105</v>
      </c>
      <c r="B92" s="11" t="s">
        <v>727</v>
      </c>
      <c r="C92" s="13">
        <v>7034</v>
      </c>
      <c r="D92" s="13">
        <v>7076</v>
      </c>
      <c r="E92" s="13">
        <v>7104</v>
      </c>
      <c r="F92" s="11" t="s">
        <v>728</v>
      </c>
      <c r="G92" s="13">
        <v>6933</v>
      </c>
      <c r="H92" s="11">
        <v>29</v>
      </c>
      <c r="I92" s="11">
        <v>125</v>
      </c>
      <c r="J92" s="11">
        <v>103</v>
      </c>
      <c r="K92" s="11">
        <v>90</v>
      </c>
      <c r="L92" s="11">
        <v>104</v>
      </c>
      <c r="M92" s="11">
        <v>118</v>
      </c>
      <c r="N92" s="12">
        <v>120</v>
      </c>
    </row>
    <row r="93" spans="1:14" ht="19.2" x14ac:dyDescent="0.3">
      <c r="A93" s="10" t="s">
        <v>106</v>
      </c>
      <c r="B93" s="11" t="s">
        <v>729</v>
      </c>
      <c r="C93" s="13">
        <v>9420</v>
      </c>
      <c r="D93" s="13">
        <v>9010</v>
      </c>
      <c r="E93" s="13">
        <v>8838</v>
      </c>
      <c r="F93" s="11" t="s">
        <v>730</v>
      </c>
      <c r="G93" s="13">
        <v>8732</v>
      </c>
      <c r="H93" s="11">
        <v>15</v>
      </c>
      <c r="I93" s="11">
        <v>150</v>
      </c>
      <c r="J93" s="11">
        <v>157</v>
      </c>
      <c r="K93" s="11">
        <v>116</v>
      </c>
      <c r="L93" s="11">
        <v>142</v>
      </c>
      <c r="M93" s="11">
        <v>155</v>
      </c>
      <c r="N93" s="12">
        <v>139</v>
      </c>
    </row>
    <row r="94" spans="1:14" ht="19.2" x14ac:dyDescent="0.3">
      <c r="A94" s="10" t="s">
        <v>107</v>
      </c>
      <c r="B94" s="11" t="s">
        <v>731</v>
      </c>
      <c r="C94" s="13">
        <v>6132</v>
      </c>
      <c r="D94" s="13">
        <v>5878</v>
      </c>
      <c r="E94" s="13">
        <v>5861</v>
      </c>
      <c r="F94" s="11" t="s">
        <v>732</v>
      </c>
      <c r="G94" s="13">
        <v>5661</v>
      </c>
      <c r="H94" s="11">
        <v>53</v>
      </c>
      <c r="I94" s="11">
        <v>298</v>
      </c>
      <c r="J94" s="11">
        <v>235</v>
      </c>
      <c r="K94" s="11">
        <v>138</v>
      </c>
      <c r="L94" s="11">
        <v>203</v>
      </c>
      <c r="M94" s="11">
        <v>209</v>
      </c>
      <c r="N94" s="12">
        <v>185</v>
      </c>
    </row>
    <row r="95" spans="1:14" x14ac:dyDescent="0.3">
      <c r="A95" s="10" t="s">
        <v>108</v>
      </c>
      <c r="B95" s="11" t="s">
        <v>733</v>
      </c>
      <c r="C95" s="13">
        <v>5499</v>
      </c>
      <c r="D95" s="13">
        <v>6047</v>
      </c>
      <c r="E95" s="13">
        <v>6065</v>
      </c>
      <c r="F95" s="11" t="s">
        <v>734</v>
      </c>
      <c r="G95" s="13">
        <v>6028</v>
      </c>
      <c r="H95" s="11">
        <v>46</v>
      </c>
      <c r="I95" s="11" t="s">
        <v>735</v>
      </c>
      <c r="J95" s="11">
        <v>872</v>
      </c>
      <c r="K95" s="11">
        <v>685</v>
      </c>
      <c r="L95" s="11">
        <v>792</v>
      </c>
      <c r="M95" s="11">
        <v>815</v>
      </c>
      <c r="N95" s="12">
        <v>930</v>
      </c>
    </row>
    <row r="96" spans="1:14" ht="19.2" x14ac:dyDescent="0.3">
      <c r="A96" s="10" t="s">
        <v>109</v>
      </c>
      <c r="B96" s="11" t="s">
        <v>736</v>
      </c>
      <c r="C96" s="13">
        <v>7222</v>
      </c>
      <c r="D96" s="13">
        <v>6773</v>
      </c>
      <c r="E96" s="13">
        <v>6606</v>
      </c>
      <c r="F96" s="11" t="s">
        <v>737</v>
      </c>
      <c r="G96" s="13">
        <v>6333</v>
      </c>
      <c r="H96" s="11">
        <v>42</v>
      </c>
      <c r="I96" s="11" t="s">
        <v>483</v>
      </c>
      <c r="J96" s="11" t="s">
        <v>738</v>
      </c>
      <c r="K96" s="11">
        <v>980</v>
      </c>
      <c r="L96" s="13">
        <v>1278</v>
      </c>
      <c r="M96" s="11" t="s">
        <v>739</v>
      </c>
      <c r="N96" s="33">
        <v>1329</v>
      </c>
    </row>
    <row r="97" spans="1:14" ht="19.2" x14ac:dyDescent="0.3">
      <c r="A97" s="10" t="s">
        <v>110</v>
      </c>
      <c r="B97" s="11" t="s">
        <v>740</v>
      </c>
      <c r="C97" s="13">
        <v>3208</v>
      </c>
      <c r="D97" s="13">
        <v>4786</v>
      </c>
      <c r="E97" s="13">
        <v>4699</v>
      </c>
      <c r="F97" s="11" t="s">
        <v>741</v>
      </c>
      <c r="G97" s="13">
        <v>4597</v>
      </c>
      <c r="H97" s="11">
        <v>69</v>
      </c>
      <c r="I97" s="11">
        <v>926</v>
      </c>
      <c r="J97" s="11">
        <v>642</v>
      </c>
      <c r="K97" s="11">
        <v>569</v>
      </c>
      <c r="L97" s="11">
        <v>735</v>
      </c>
      <c r="M97" s="11">
        <v>800</v>
      </c>
      <c r="N97" s="12">
        <v>727</v>
      </c>
    </row>
    <row r="98" spans="1:14" ht="19.2" x14ac:dyDescent="0.3">
      <c r="A98" s="10" t="s">
        <v>111</v>
      </c>
      <c r="B98" s="11" t="s">
        <v>742</v>
      </c>
      <c r="C98" s="13">
        <v>5410</v>
      </c>
      <c r="D98" s="13">
        <v>5095</v>
      </c>
      <c r="E98" s="13">
        <v>5058</v>
      </c>
      <c r="F98" s="11" t="s">
        <v>743</v>
      </c>
      <c r="G98" s="13">
        <v>4961</v>
      </c>
      <c r="H98" s="11">
        <v>63</v>
      </c>
      <c r="I98" s="11" t="s">
        <v>744</v>
      </c>
      <c r="J98" s="11" t="s">
        <v>745</v>
      </c>
      <c r="K98" s="11">
        <v>852</v>
      </c>
      <c r="L98" s="11">
        <v>970</v>
      </c>
      <c r="M98" s="11">
        <v>990</v>
      </c>
      <c r="N98" s="12">
        <v>990</v>
      </c>
    </row>
    <row r="99" spans="1:14" ht="19.2" x14ac:dyDescent="0.3">
      <c r="A99" s="10" t="s">
        <v>112</v>
      </c>
      <c r="B99" s="11" t="s">
        <v>746</v>
      </c>
      <c r="C99" s="13">
        <v>3522</v>
      </c>
      <c r="D99" s="13">
        <v>4120</v>
      </c>
      <c r="E99" s="13">
        <v>4062</v>
      </c>
      <c r="F99" s="11" t="s">
        <v>747</v>
      </c>
      <c r="G99" s="13">
        <v>3889</v>
      </c>
      <c r="H99" s="11">
        <v>73</v>
      </c>
      <c r="I99" s="11">
        <v>966</v>
      </c>
      <c r="J99" s="11" t="s">
        <v>745</v>
      </c>
      <c r="K99" s="11">
        <v>968</v>
      </c>
      <c r="L99" s="13">
        <v>1246</v>
      </c>
      <c r="M99" s="11" t="s">
        <v>748</v>
      </c>
      <c r="N99" s="12">
        <v>870</v>
      </c>
    </row>
    <row r="100" spans="1:14" x14ac:dyDescent="0.3">
      <c r="A100" s="10" t="s">
        <v>113</v>
      </c>
      <c r="B100" s="11" t="s">
        <v>749</v>
      </c>
      <c r="C100" s="13">
        <v>6987</v>
      </c>
      <c r="D100" s="13">
        <v>6989</v>
      </c>
      <c r="E100" s="13">
        <v>7027</v>
      </c>
      <c r="F100" s="11" t="s">
        <v>750</v>
      </c>
      <c r="G100" s="13">
        <v>7002</v>
      </c>
      <c r="H100" s="11">
        <v>27</v>
      </c>
      <c r="I100" s="11">
        <v>929</v>
      </c>
      <c r="J100" s="11">
        <v>801</v>
      </c>
      <c r="K100" s="11">
        <v>709</v>
      </c>
      <c r="L100" s="11">
        <v>679</v>
      </c>
      <c r="M100" s="11">
        <v>724</v>
      </c>
      <c r="N100" s="12">
        <v>802</v>
      </c>
    </row>
    <row r="101" spans="1:14" ht="19.2" x14ac:dyDescent="0.3">
      <c r="A101" s="10" t="s">
        <v>114</v>
      </c>
      <c r="B101" s="11" t="s">
        <v>751</v>
      </c>
      <c r="C101" s="13">
        <v>4376</v>
      </c>
      <c r="D101" s="13">
        <v>4636</v>
      </c>
      <c r="E101" s="13">
        <v>4652</v>
      </c>
      <c r="F101" s="11" t="s">
        <v>752</v>
      </c>
      <c r="G101" s="13">
        <v>4694</v>
      </c>
      <c r="H101" s="11">
        <v>68</v>
      </c>
      <c r="I101" s="11">
        <v>332</v>
      </c>
      <c r="J101" s="11">
        <v>314</v>
      </c>
      <c r="K101" s="11">
        <v>251</v>
      </c>
      <c r="L101" s="11">
        <v>301</v>
      </c>
      <c r="M101" s="11">
        <v>331</v>
      </c>
      <c r="N101" s="12">
        <v>434</v>
      </c>
    </row>
    <row r="102" spans="1:14" ht="19.2" x14ac:dyDescent="0.3">
      <c r="A102" s="8" t="s">
        <v>115</v>
      </c>
      <c r="B102" s="230" t="s">
        <v>753</v>
      </c>
      <c r="C102" s="228">
        <v>5844</v>
      </c>
      <c r="D102" s="228">
        <v>6084</v>
      </c>
      <c r="E102" s="228">
        <v>6076</v>
      </c>
      <c r="F102" s="230" t="s">
        <v>754</v>
      </c>
      <c r="G102" s="228">
        <v>6139</v>
      </c>
      <c r="H102" s="230">
        <v>3</v>
      </c>
      <c r="I102" s="230" t="s">
        <v>755</v>
      </c>
      <c r="J102" s="230" t="s">
        <v>756</v>
      </c>
      <c r="K102" s="230" t="s">
        <v>757</v>
      </c>
      <c r="L102" s="228">
        <v>3264</v>
      </c>
      <c r="M102" s="230" t="s">
        <v>758</v>
      </c>
      <c r="N102" s="253">
        <v>3008</v>
      </c>
    </row>
    <row r="103" spans="1:14" ht="19.2" x14ac:dyDescent="0.3">
      <c r="A103" s="8" t="s">
        <v>6</v>
      </c>
      <c r="B103" s="230"/>
      <c r="C103" s="228"/>
      <c r="D103" s="228"/>
      <c r="E103" s="228"/>
      <c r="F103" s="230"/>
      <c r="G103" s="228"/>
      <c r="H103" s="230"/>
      <c r="I103" s="230"/>
      <c r="J103" s="230"/>
      <c r="K103" s="230"/>
      <c r="L103" s="228"/>
      <c r="M103" s="230"/>
      <c r="N103" s="253"/>
    </row>
    <row r="104" spans="1:14" ht="19.2" x14ac:dyDescent="0.3">
      <c r="A104" s="10" t="s">
        <v>116</v>
      </c>
      <c r="B104" s="11" t="s">
        <v>759</v>
      </c>
      <c r="C104" s="13">
        <v>5402</v>
      </c>
      <c r="D104" s="13">
        <v>5649</v>
      </c>
      <c r="E104" s="13">
        <v>5661</v>
      </c>
      <c r="F104" s="11" t="s">
        <v>760</v>
      </c>
      <c r="G104" s="13">
        <v>5587</v>
      </c>
      <c r="H104" s="11">
        <v>55</v>
      </c>
      <c r="I104" s="11">
        <v>410</v>
      </c>
      <c r="J104" s="11">
        <v>342</v>
      </c>
      <c r="K104" s="11">
        <v>285</v>
      </c>
      <c r="L104" s="11">
        <v>398</v>
      </c>
      <c r="M104" s="11">
        <v>407</v>
      </c>
      <c r="N104" s="12">
        <v>483</v>
      </c>
    </row>
    <row r="105" spans="1:14" ht="19.2" x14ac:dyDescent="0.3">
      <c r="A105" s="10" t="s">
        <v>117</v>
      </c>
      <c r="B105" s="11" t="s">
        <v>761</v>
      </c>
      <c r="C105" s="13">
        <v>8645</v>
      </c>
      <c r="D105" s="13">
        <v>8900</v>
      </c>
      <c r="E105" s="13">
        <v>8811</v>
      </c>
      <c r="F105" s="11" t="s">
        <v>762</v>
      </c>
      <c r="G105" s="13">
        <v>8837</v>
      </c>
      <c r="H105" s="11">
        <v>13</v>
      </c>
      <c r="I105" s="11">
        <v>499</v>
      </c>
      <c r="J105" s="11">
        <v>470</v>
      </c>
      <c r="K105" s="11">
        <v>350</v>
      </c>
      <c r="L105" s="11">
        <v>431</v>
      </c>
      <c r="M105" s="11">
        <v>488</v>
      </c>
      <c r="N105" s="12">
        <v>443</v>
      </c>
    </row>
    <row r="106" spans="1:14" ht="19.2" x14ac:dyDescent="0.3">
      <c r="A106" s="10" t="s">
        <v>118</v>
      </c>
      <c r="B106" s="11" t="s">
        <v>763</v>
      </c>
      <c r="C106" s="13">
        <v>6907</v>
      </c>
      <c r="D106" s="13">
        <v>6673</v>
      </c>
      <c r="E106" s="13">
        <v>6655</v>
      </c>
      <c r="F106" s="11" t="s">
        <v>764</v>
      </c>
      <c r="G106" s="13">
        <v>6518</v>
      </c>
      <c r="H106" s="11">
        <v>38</v>
      </c>
      <c r="I106" s="11">
        <v>474</v>
      </c>
      <c r="J106" s="11">
        <v>414</v>
      </c>
      <c r="K106" s="11">
        <v>338</v>
      </c>
      <c r="L106" s="11">
        <v>396</v>
      </c>
      <c r="M106" s="11">
        <v>414</v>
      </c>
      <c r="N106" s="12">
        <v>466</v>
      </c>
    </row>
    <row r="107" spans="1:14" ht="19.2" x14ac:dyDescent="0.3">
      <c r="A107" s="10" t="s">
        <v>119</v>
      </c>
      <c r="B107" s="11" t="s">
        <v>765</v>
      </c>
      <c r="C107" s="13">
        <v>7830</v>
      </c>
      <c r="D107" s="13">
        <v>7648</v>
      </c>
      <c r="E107" s="13">
        <v>7642</v>
      </c>
      <c r="F107" s="11" t="s">
        <v>766</v>
      </c>
      <c r="G107" s="13">
        <v>7520</v>
      </c>
      <c r="H107" s="11">
        <v>23</v>
      </c>
      <c r="I107" s="11">
        <v>165</v>
      </c>
      <c r="J107" s="11">
        <v>157</v>
      </c>
      <c r="K107" s="11">
        <v>149</v>
      </c>
      <c r="L107" s="11">
        <v>163</v>
      </c>
      <c r="M107" s="11">
        <v>160</v>
      </c>
      <c r="N107" s="12">
        <v>152</v>
      </c>
    </row>
    <row r="108" spans="1:14" ht="19.2" x14ac:dyDescent="0.3">
      <c r="A108" s="10" t="s">
        <v>120</v>
      </c>
      <c r="B108" s="11" t="s">
        <v>767</v>
      </c>
      <c r="C108" s="13">
        <v>3283</v>
      </c>
      <c r="D108" s="13">
        <v>3224</v>
      </c>
      <c r="E108" s="13">
        <v>3212</v>
      </c>
      <c r="F108" s="11" t="s">
        <v>768</v>
      </c>
      <c r="G108" s="13">
        <v>3577</v>
      </c>
      <c r="H108" s="11">
        <v>77</v>
      </c>
      <c r="I108" s="11">
        <v>496</v>
      </c>
      <c r="J108" s="11">
        <v>446</v>
      </c>
      <c r="K108" s="11">
        <v>384</v>
      </c>
      <c r="L108" s="11">
        <v>420</v>
      </c>
      <c r="M108" s="11">
        <v>441</v>
      </c>
      <c r="N108" s="12">
        <v>531</v>
      </c>
    </row>
    <row r="109" spans="1:14" ht="19.2" x14ac:dyDescent="0.3">
      <c r="A109" s="10" t="s">
        <v>121</v>
      </c>
      <c r="B109" s="11" t="s">
        <v>769</v>
      </c>
      <c r="C109" s="13">
        <v>6405</v>
      </c>
      <c r="D109" s="13">
        <v>7047</v>
      </c>
      <c r="E109" s="13">
        <v>7042</v>
      </c>
      <c r="F109" s="11" t="s">
        <v>770</v>
      </c>
      <c r="G109" s="13">
        <v>7103</v>
      </c>
      <c r="H109" s="11">
        <v>26</v>
      </c>
      <c r="I109" s="11">
        <v>481</v>
      </c>
      <c r="J109" s="11">
        <v>538</v>
      </c>
      <c r="K109" s="11">
        <v>611</v>
      </c>
      <c r="L109" s="11">
        <v>662</v>
      </c>
      <c r="M109" s="11">
        <v>708</v>
      </c>
      <c r="N109" s="12">
        <v>337</v>
      </c>
    </row>
    <row r="110" spans="1:14" ht="19.2" x14ac:dyDescent="0.3">
      <c r="A110" s="10" t="s">
        <v>122</v>
      </c>
      <c r="B110" s="11" t="s">
        <v>771</v>
      </c>
      <c r="C110" s="13">
        <v>4354</v>
      </c>
      <c r="D110" s="13">
        <v>4904</v>
      </c>
      <c r="E110" s="13">
        <v>4902</v>
      </c>
      <c r="F110" s="11" t="s">
        <v>772</v>
      </c>
      <c r="G110" s="13">
        <v>4829</v>
      </c>
      <c r="H110" s="11">
        <v>66</v>
      </c>
      <c r="I110" s="11">
        <v>308</v>
      </c>
      <c r="J110" s="11">
        <v>277</v>
      </c>
      <c r="K110" s="11">
        <v>221</v>
      </c>
      <c r="L110" s="11">
        <v>201</v>
      </c>
      <c r="M110" s="11">
        <v>210</v>
      </c>
      <c r="N110" s="12">
        <v>225</v>
      </c>
    </row>
    <row r="111" spans="1:14" ht="19.2" x14ac:dyDescent="0.3">
      <c r="A111" s="10" t="s">
        <v>123</v>
      </c>
      <c r="B111" s="11" t="s">
        <v>773</v>
      </c>
      <c r="C111" s="13">
        <v>10866</v>
      </c>
      <c r="D111" s="13">
        <v>10933</v>
      </c>
      <c r="E111" s="13">
        <v>10819</v>
      </c>
      <c r="F111" s="11" t="s">
        <v>774</v>
      </c>
      <c r="G111" s="13">
        <v>10550</v>
      </c>
      <c r="H111" s="11">
        <v>3</v>
      </c>
      <c r="I111" s="11">
        <v>92</v>
      </c>
      <c r="J111" s="11">
        <v>85</v>
      </c>
      <c r="K111" s="11">
        <v>68</v>
      </c>
      <c r="L111" s="11">
        <v>80</v>
      </c>
      <c r="M111" s="11">
        <v>80</v>
      </c>
      <c r="N111" s="12">
        <v>75</v>
      </c>
    </row>
    <row r="112" spans="1:14" ht="19.2" x14ac:dyDescent="0.3">
      <c r="A112" s="10" t="s">
        <v>124</v>
      </c>
      <c r="B112" s="11" t="s">
        <v>775</v>
      </c>
      <c r="C112" s="13">
        <v>6493</v>
      </c>
      <c r="D112" s="13">
        <v>6264</v>
      </c>
      <c r="E112" s="13">
        <v>6256</v>
      </c>
      <c r="F112" s="11" t="s">
        <v>776</v>
      </c>
      <c r="G112" s="13">
        <v>6276</v>
      </c>
      <c r="H112" s="11">
        <v>43</v>
      </c>
      <c r="I112" s="11">
        <v>260</v>
      </c>
      <c r="J112" s="11">
        <v>282</v>
      </c>
      <c r="K112" s="11">
        <v>343</v>
      </c>
      <c r="L112" s="11">
        <v>431</v>
      </c>
      <c r="M112" s="11">
        <v>414</v>
      </c>
      <c r="N112" s="12">
        <v>214</v>
      </c>
    </row>
    <row r="113" spans="1:14" ht="28.8" x14ac:dyDescent="0.3">
      <c r="A113" s="10" t="s">
        <v>125</v>
      </c>
      <c r="B113" s="11" t="s">
        <v>777</v>
      </c>
      <c r="C113" s="13">
        <v>5571</v>
      </c>
      <c r="D113" s="13">
        <v>8660</v>
      </c>
      <c r="E113" s="13">
        <v>8762</v>
      </c>
      <c r="F113" s="11" t="s">
        <v>778</v>
      </c>
      <c r="G113" s="13">
        <v>8834</v>
      </c>
      <c r="H113" s="11">
        <v>14</v>
      </c>
      <c r="I113" s="11">
        <v>84</v>
      </c>
      <c r="J113" s="11">
        <v>49</v>
      </c>
      <c r="K113" s="11">
        <v>45</v>
      </c>
      <c r="L113" s="11">
        <v>55</v>
      </c>
      <c r="M113" s="11">
        <v>53</v>
      </c>
      <c r="N113" s="12">
        <v>56</v>
      </c>
    </row>
    <row r="114" spans="1:14" ht="28.8" x14ac:dyDescent="0.3">
      <c r="A114" s="10" t="s">
        <v>126</v>
      </c>
      <c r="B114" s="11" t="s">
        <v>779</v>
      </c>
      <c r="C114" s="13">
        <v>13250</v>
      </c>
      <c r="D114" s="13">
        <v>15124</v>
      </c>
      <c r="E114" s="13">
        <v>15047</v>
      </c>
      <c r="F114" s="11" t="s">
        <v>780</v>
      </c>
      <c r="G114" s="13">
        <v>14479</v>
      </c>
      <c r="H114" s="11">
        <v>1</v>
      </c>
      <c r="I114" s="11">
        <v>50</v>
      </c>
      <c r="J114" s="11">
        <v>32</v>
      </c>
      <c r="K114" s="11">
        <v>41</v>
      </c>
      <c r="L114" s="11">
        <v>29</v>
      </c>
      <c r="M114" s="11">
        <v>38</v>
      </c>
      <c r="N114" s="12">
        <v>26</v>
      </c>
    </row>
    <row r="115" spans="1:14" x14ac:dyDescent="0.3">
      <c r="A115" s="255" t="s">
        <v>127</v>
      </c>
      <c r="B115" s="256"/>
      <c r="C115" s="256"/>
      <c r="D115" s="256"/>
      <c r="E115" s="256"/>
      <c r="F115" s="256"/>
      <c r="G115" s="256"/>
      <c r="H115" s="256"/>
      <c r="I115" s="256"/>
      <c r="J115" s="256"/>
      <c r="K115" s="256"/>
      <c r="L115" s="256"/>
      <c r="M115" s="256"/>
      <c r="N115" s="257"/>
    </row>
    <row r="116" spans="1:14" x14ac:dyDescent="0.3">
      <c r="A116" s="258" t="s">
        <v>781</v>
      </c>
      <c r="B116" s="259"/>
      <c r="C116" s="259"/>
      <c r="D116" s="259"/>
      <c r="E116" s="259"/>
      <c r="F116" s="259"/>
      <c r="G116" s="259"/>
      <c r="H116" s="259"/>
      <c r="I116" s="259"/>
      <c r="J116" s="259"/>
      <c r="K116" s="259"/>
      <c r="L116" s="259"/>
      <c r="M116" s="259"/>
      <c r="N116" s="260"/>
    </row>
    <row r="117" spans="1:14" x14ac:dyDescent="0.3">
      <c r="A117" s="258" t="s">
        <v>782</v>
      </c>
      <c r="B117" s="259"/>
      <c r="C117" s="259"/>
      <c r="D117" s="259"/>
      <c r="E117" s="259"/>
      <c r="F117" s="259"/>
      <c r="G117" s="259"/>
      <c r="H117" s="259"/>
      <c r="I117" s="259"/>
      <c r="J117" s="259"/>
      <c r="K117" s="259"/>
      <c r="L117" s="259"/>
      <c r="M117" s="259"/>
      <c r="N117" s="260"/>
    </row>
    <row r="118" spans="1:14" ht="15" thickBot="1" x14ac:dyDescent="0.35">
      <c r="A118" s="261" t="s">
        <v>783</v>
      </c>
      <c r="B118" s="262"/>
      <c r="C118" s="262"/>
      <c r="D118" s="262"/>
      <c r="E118" s="262"/>
      <c r="F118" s="262"/>
      <c r="G118" s="262"/>
      <c r="H118" s="262"/>
      <c r="I118" s="262"/>
      <c r="J118" s="262"/>
      <c r="K118" s="262"/>
      <c r="L118" s="262"/>
      <c r="M118" s="262"/>
      <c r="N118" s="263"/>
    </row>
  </sheetData>
  <mergeCells count="125">
    <mergeCell ref="A115:N115"/>
    <mergeCell ref="A116:N116"/>
    <mergeCell ref="A117:N117"/>
    <mergeCell ref="A118:N118"/>
    <mergeCell ref="H102:H103"/>
    <mergeCell ref="I102:I103"/>
    <mergeCell ref="J102:J103"/>
    <mergeCell ref="K102:K103"/>
    <mergeCell ref="L102:L103"/>
    <mergeCell ref="M102:M103"/>
    <mergeCell ref="E64:E65"/>
    <mergeCell ref="F64:F65"/>
    <mergeCell ref="K90:K91"/>
    <mergeCell ref="L90:L91"/>
    <mergeCell ref="M90:M91"/>
    <mergeCell ref="N90:N91"/>
    <mergeCell ref="B102:B103"/>
    <mergeCell ref="C102:C103"/>
    <mergeCell ref="D102:D103"/>
    <mergeCell ref="E102:E103"/>
    <mergeCell ref="F102:F103"/>
    <mergeCell ref="G102:G103"/>
    <mergeCell ref="N102:N103"/>
    <mergeCell ref="B90:B91"/>
    <mergeCell ref="C90:C91"/>
    <mergeCell ref="D90:D91"/>
    <mergeCell ref="E90:E91"/>
    <mergeCell ref="F90:F91"/>
    <mergeCell ref="G90:G91"/>
    <mergeCell ref="H90:H91"/>
    <mergeCell ref="I90:I91"/>
    <mergeCell ref="J90:J91"/>
    <mergeCell ref="B80:B81"/>
    <mergeCell ref="C80:C81"/>
    <mergeCell ref="D80:D81"/>
    <mergeCell ref="E80:E81"/>
    <mergeCell ref="F80:F81"/>
    <mergeCell ref="G80:G81"/>
    <mergeCell ref="N80:N81"/>
    <mergeCell ref="H80:H81"/>
    <mergeCell ref="I80:I81"/>
    <mergeCell ref="J80:J81"/>
    <mergeCell ref="K80:K81"/>
    <mergeCell ref="L80:L81"/>
    <mergeCell ref="M80:M81"/>
    <mergeCell ref="N55:N56"/>
    <mergeCell ref="B55:B56"/>
    <mergeCell ref="C55:C56"/>
    <mergeCell ref="D55:D56"/>
    <mergeCell ref="G64:G65"/>
    <mergeCell ref="H64:H65"/>
    <mergeCell ref="I64:I65"/>
    <mergeCell ref="J64:J65"/>
    <mergeCell ref="K55:K56"/>
    <mergeCell ref="L55:L56"/>
    <mergeCell ref="M55:M56"/>
    <mergeCell ref="E55:E56"/>
    <mergeCell ref="F55:F56"/>
    <mergeCell ref="G55:G56"/>
    <mergeCell ref="H55:H56"/>
    <mergeCell ref="I55:I56"/>
    <mergeCell ref="J55:J56"/>
    <mergeCell ref="K64:K65"/>
    <mergeCell ref="L64:L65"/>
    <mergeCell ref="M64:M65"/>
    <mergeCell ref="N64:N65"/>
    <mergeCell ref="B64:B65"/>
    <mergeCell ref="C64:C65"/>
    <mergeCell ref="D64:D65"/>
    <mergeCell ref="C10:C11"/>
    <mergeCell ref="D10:D11"/>
    <mergeCell ref="E10:E11"/>
    <mergeCell ref="F10:F11"/>
    <mergeCell ref="G10:G11"/>
    <mergeCell ref="H10:H11"/>
    <mergeCell ref="B45:B46"/>
    <mergeCell ref="C45:C46"/>
    <mergeCell ref="D45:D46"/>
    <mergeCell ref="E45:E46"/>
    <mergeCell ref="F45:F46"/>
    <mergeCell ref="G45:G46"/>
    <mergeCell ref="N45:N46"/>
    <mergeCell ref="H45:H46"/>
    <mergeCell ref="I45:I46"/>
    <mergeCell ref="J45:J46"/>
    <mergeCell ref="K45:K46"/>
    <mergeCell ref="L45:L46"/>
    <mergeCell ref="M45:M46"/>
    <mergeCell ref="B30:B31"/>
    <mergeCell ref="C30:C31"/>
    <mergeCell ref="D30:D31"/>
    <mergeCell ref="E30:E31"/>
    <mergeCell ref="F30:F31"/>
    <mergeCell ref="G30:G31"/>
    <mergeCell ref="N30:N31"/>
    <mergeCell ref="H30:H31"/>
    <mergeCell ref="I30:I31"/>
    <mergeCell ref="J30:J31"/>
    <mergeCell ref="K30:K31"/>
    <mergeCell ref="L30:L31"/>
    <mergeCell ref="M30:M31"/>
    <mergeCell ref="I10:I11"/>
    <mergeCell ref="J10:J11"/>
    <mergeCell ref="A2:A8"/>
    <mergeCell ref="B2:H2"/>
    <mergeCell ref="B3:H3"/>
    <mergeCell ref="I2:N2"/>
    <mergeCell ref="I3:N3"/>
    <mergeCell ref="B4:B8"/>
    <mergeCell ref="C4:C8"/>
    <mergeCell ref="D4:D8"/>
    <mergeCell ref="E4:E8"/>
    <mergeCell ref="F4:F8"/>
    <mergeCell ref="N4:N8"/>
    <mergeCell ref="G4:G8"/>
    <mergeCell ref="I4:I8"/>
    <mergeCell ref="J4:J8"/>
    <mergeCell ref="K4:K8"/>
    <mergeCell ref="L4:L8"/>
    <mergeCell ref="M4:M8"/>
    <mergeCell ref="K10:K11"/>
    <mergeCell ref="L10:L11"/>
    <mergeCell ref="M10:M11"/>
    <mergeCell ref="N10:N11"/>
    <mergeCell ref="B10:B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FB7EE-BE6D-478B-90A6-A6ADB8B5C1A5}">
  <dimension ref="A1:H114"/>
  <sheetViews>
    <sheetView workbookViewId="0">
      <selection activeCell="W20" sqref="W20"/>
    </sheetView>
  </sheetViews>
  <sheetFormatPr defaultRowHeight="14.4" x14ac:dyDescent="0.3"/>
  <sheetData>
    <row r="1" spans="1:8" x14ac:dyDescent="0.3">
      <c r="A1" s="1" t="s">
        <v>784</v>
      </c>
    </row>
    <row r="2" spans="1:8" ht="15" thickBot="1" x14ac:dyDescent="0.35">
      <c r="A2" s="34" t="s">
        <v>785</v>
      </c>
    </row>
    <row r="3" spans="1:8" ht="19.2" x14ac:dyDescent="0.3">
      <c r="A3" s="264"/>
      <c r="B3" s="239">
        <v>2010</v>
      </c>
      <c r="C3" s="239">
        <v>2015</v>
      </c>
      <c r="D3" s="239">
        <v>2020</v>
      </c>
      <c r="E3" s="239">
        <v>2021</v>
      </c>
      <c r="F3" s="239">
        <v>2022</v>
      </c>
      <c r="G3" s="239">
        <v>2023</v>
      </c>
      <c r="H3" s="3" t="s">
        <v>786</v>
      </c>
    </row>
    <row r="4" spans="1:8" ht="19.2" x14ac:dyDescent="0.3">
      <c r="A4" s="265"/>
      <c r="B4" s="240"/>
      <c r="C4" s="240"/>
      <c r="D4" s="240"/>
      <c r="E4" s="240"/>
      <c r="F4" s="240"/>
      <c r="G4" s="240"/>
      <c r="H4" s="2" t="s">
        <v>504</v>
      </c>
    </row>
    <row r="5" spans="1:8" x14ac:dyDescent="0.3">
      <c r="A5" s="265"/>
      <c r="B5" s="240"/>
      <c r="C5" s="240"/>
      <c r="D5" s="240"/>
      <c r="E5" s="240"/>
      <c r="F5" s="240"/>
      <c r="G5" s="240"/>
      <c r="H5" s="2" t="s">
        <v>505</v>
      </c>
    </row>
    <row r="6" spans="1:8" ht="15" thickBot="1" x14ac:dyDescent="0.35">
      <c r="A6" s="266"/>
      <c r="B6" s="241"/>
      <c r="C6" s="241"/>
      <c r="D6" s="241"/>
      <c r="E6" s="241"/>
      <c r="F6" s="241"/>
      <c r="G6" s="241"/>
      <c r="H6" s="4">
        <v>2023</v>
      </c>
    </row>
    <row r="7" spans="1:8" ht="19.2" x14ac:dyDescent="0.3">
      <c r="A7" s="5" t="s">
        <v>4</v>
      </c>
      <c r="B7" s="6" t="s">
        <v>787</v>
      </c>
      <c r="C7" s="9">
        <v>1382</v>
      </c>
      <c r="D7" s="6">
        <v>936</v>
      </c>
      <c r="E7" s="6">
        <v>817</v>
      </c>
      <c r="F7" s="6">
        <v>693</v>
      </c>
      <c r="G7" s="6">
        <v>579</v>
      </c>
      <c r="H7" s="7"/>
    </row>
    <row r="8" spans="1:8" ht="19.2" x14ac:dyDescent="0.3">
      <c r="A8" s="8" t="s">
        <v>5</v>
      </c>
      <c r="B8" s="230" t="s">
        <v>788</v>
      </c>
      <c r="C8" s="228">
        <v>2014</v>
      </c>
      <c r="D8" s="228">
        <v>1730</v>
      </c>
      <c r="E8" s="228">
        <v>1513</v>
      </c>
      <c r="F8" s="230" t="s">
        <v>789</v>
      </c>
      <c r="G8" s="228">
        <v>1053</v>
      </c>
      <c r="H8" s="234">
        <v>2</v>
      </c>
    </row>
    <row r="9" spans="1:8" ht="19.2" x14ac:dyDescent="0.3">
      <c r="A9" s="8" t="s">
        <v>6</v>
      </c>
      <c r="B9" s="230"/>
      <c r="C9" s="228"/>
      <c r="D9" s="228"/>
      <c r="E9" s="228"/>
      <c r="F9" s="230"/>
      <c r="G9" s="228"/>
      <c r="H9" s="234"/>
    </row>
    <row r="10" spans="1:8" ht="19.2" x14ac:dyDescent="0.3">
      <c r="A10" s="10" t="s">
        <v>7</v>
      </c>
      <c r="B10" s="11" t="s">
        <v>790</v>
      </c>
      <c r="C10" s="13">
        <v>4404</v>
      </c>
      <c r="D10" s="13">
        <v>1896</v>
      </c>
      <c r="E10" s="13">
        <v>2041</v>
      </c>
      <c r="F10" s="11" t="s">
        <v>791</v>
      </c>
      <c r="G10" s="11">
        <v>852</v>
      </c>
      <c r="H10" s="12">
        <v>47</v>
      </c>
    </row>
    <row r="11" spans="1:8" ht="19.2" x14ac:dyDescent="0.3">
      <c r="A11" s="10" t="s">
        <v>8</v>
      </c>
      <c r="B11" s="11">
        <v>388</v>
      </c>
      <c r="C11" s="11">
        <v>550</v>
      </c>
      <c r="D11" s="11">
        <v>359</v>
      </c>
      <c r="E11" s="11">
        <v>296</v>
      </c>
      <c r="F11" s="11">
        <v>254</v>
      </c>
      <c r="G11" s="11">
        <v>234</v>
      </c>
      <c r="H11" s="12">
        <v>33</v>
      </c>
    </row>
    <row r="12" spans="1:8" ht="19.2" x14ac:dyDescent="0.3">
      <c r="A12" s="10" t="s">
        <v>9</v>
      </c>
      <c r="B12" s="11">
        <v>249</v>
      </c>
      <c r="C12" s="11">
        <v>795</v>
      </c>
      <c r="D12" s="11">
        <v>605</v>
      </c>
      <c r="E12" s="11">
        <v>817</v>
      </c>
      <c r="F12" s="11">
        <v>562</v>
      </c>
      <c r="G12" s="11">
        <v>552</v>
      </c>
      <c r="H12" s="12">
        <v>37</v>
      </c>
    </row>
    <row r="13" spans="1:8" ht="19.2" x14ac:dyDescent="0.3">
      <c r="A13" s="10" t="s">
        <v>12</v>
      </c>
      <c r="B13" s="11" t="s">
        <v>792</v>
      </c>
      <c r="C13" s="13">
        <v>1067</v>
      </c>
      <c r="D13" s="11">
        <v>460</v>
      </c>
      <c r="E13" s="11">
        <v>753</v>
      </c>
      <c r="F13" s="11">
        <v>470</v>
      </c>
      <c r="G13" s="11">
        <v>480</v>
      </c>
      <c r="H13" s="12">
        <v>48</v>
      </c>
    </row>
    <row r="14" spans="1:8" ht="19.2" x14ac:dyDescent="0.3">
      <c r="A14" s="10" t="s">
        <v>13</v>
      </c>
      <c r="B14" s="11">
        <v>420</v>
      </c>
      <c r="C14" s="11">
        <v>619</v>
      </c>
      <c r="D14" s="11">
        <v>549</v>
      </c>
      <c r="E14" s="11">
        <v>426</v>
      </c>
      <c r="F14" s="11">
        <v>376</v>
      </c>
      <c r="G14" s="11">
        <v>321</v>
      </c>
      <c r="H14" s="12">
        <v>16</v>
      </c>
    </row>
    <row r="15" spans="1:8" ht="19.2" x14ac:dyDescent="0.3">
      <c r="A15" s="10" t="s">
        <v>14</v>
      </c>
      <c r="B15" s="11">
        <v>769</v>
      </c>
      <c r="C15" s="13">
        <v>1020</v>
      </c>
      <c r="D15" s="11">
        <v>820</v>
      </c>
      <c r="E15" s="11">
        <v>843</v>
      </c>
      <c r="F15" s="11">
        <v>676</v>
      </c>
      <c r="G15" s="11">
        <v>622</v>
      </c>
      <c r="H15" s="12">
        <v>34</v>
      </c>
    </row>
    <row r="16" spans="1:8" ht="19.2" x14ac:dyDescent="0.3">
      <c r="A16" s="10" t="s">
        <v>16</v>
      </c>
      <c r="B16" s="11" t="s">
        <v>793</v>
      </c>
      <c r="C16" s="11">
        <v>748</v>
      </c>
      <c r="D16" s="11">
        <v>772</v>
      </c>
      <c r="E16" s="11">
        <v>361</v>
      </c>
      <c r="F16" s="11">
        <v>431</v>
      </c>
      <c r="G16" s="11">
        <v>386</v>
      </c>
      <c r="H16" s="12">
        <v>6</v>
      </c>
    </row>
    <row r="17" spans="1:8" ht="19.2" x14ac:dyDescent="0.3">
      <c r="A17" s="10" t="s">
        <v>18</v>
      </c>
      <c r="B17" s="11" t="s">
        <v>794</v>
      </c>
      <c r="C17" s="13">
        <v>1411</v>
      </c>
      <c r="D17" s="13">
        <v>1004</v>
      </c>
      <c r="E17" s="13">
        <v>1028</v>
      </c>
      <c r="F17" s="11" t="s">
        <v>795</v>
      </c>
      <c r="G17" s="11">
        <v>394</v>
      </c>
      <c r="H17" s="12">
        <v>17</v>
      </c>
    </row>
    <row r="18" spans="1:8" ht="19.2" x14ac:dyDescent="0.3">
      <c r="A18" s="10" t="s">
        <v>19</v>
      </c>
      <c r="B18" s="11">
        <v>508</v>
      </c>
      <c r="C18" s="11">
        <v>792</v>
      </c>
      <c r="D18" s="11">
        <v>240</v>
      </c>
      <c r="E18" s="11">
        <v>173</v>
      </c>
      <c r="F18" s="11">
        <v>140</v>
      </c>
      <c r="G18" s="11">
        <v>132</v>
      </c>
      <c r="H18" s="12">
        <v>30</v>
      </c>
    </row>
    <row r="19" spans="1:8" ht="19.2" x14ac:dyDescent="0.3">
      <c r="A19" s="10" t="s">
        <v>20</v>
      </c>
      <c r="B19" s="11">
        <v>745</v>
      </c>
      <c r="C19" s="11">
        <v>792</v>
      </c>
      <c r="D19" s="11">
        <v>287</v>
      </c>
      <c r="E19" s="11">
        <v>291</v>
      </c>
      <c r="F19" s="11">
        <v>244</v>
      </c>
      <c r="G19" s="11">
        <v>198</v>
      </c>
      <c r="H19" s="12">
        <v>83</v>
      </c>
    </row>
    <row r="20" spans="1:8" ht="19.2" x14ac:dyDescent="0.3">
      <c r="A20" s="10" t="s">
        <v>21</v>
      </c>
      <c r="B20" s="11">
        <v>564</v>
      </c>
      <c r="C20" s="11">
        <v>708</v>
      </c>
      <c r="D20" s="11">
        <v>359</v>
      </c>
      <c r="E20" s="11">
        <v>423</v>
      </c>
      <c r="F20" s="11">
        <v>268</v>
      </c>
      <c r="G20" s="11">
        <v>188</v>
      </c>
      <c r="H20" s="12">
        <v>32</v>
      </c>
    </row>
    <row r="21" spans="1:8" ht="19.2" x14ac:dyDescent="0.3">
      <c r="A21" s="10" t="s">
        <v>22</v>
      </c>
      <c r="B21" s="11">
        <v>517</v>
      </c>
      <c r="C21" s="11">
        <v>551</v>
      </c>
      <c r="D21" s="11">
        <v>381</v>
      </c>
      <c r="E21" s="11">
        <v>373</v>
      </c>
      <c r="F21" s="11">
        <v>608</v>
      </c>
      <c r="G21" s="11">
        <v>408</v>
      </c>
      <c r="H21" s="12">
        <v>50</v>
      </c>
    </row>
    <row r="22" spans="1:8" ht="19.2" x14ac:dyDescent="0.3">
      <c r="A22" s="10" t="s">
        <v>23</v>
      </c>
      <c r="B22" s="11" t="s">
        <v>796</v>
      </c>
      <c r="C22" s="13">
        <v>5578</v>
      </c>
      <c r="D22" s="13">
        <v>3796</v>
      </c>
      <c r="E22" s="13">
        <v>3846</v>
      </c>
      <c r="F22" s="11" t="s">
        <v>797</v>
      </c>
      <c r="G22" s="13">
        <v>2592</v>
      </c>
      <c r="H22" s="12">
        <v>11</v>
      </c>
    </row>
    <row r="23" spans="1:8" ht="19.2" x14ac:dyDescent="0.3">
      <c r="A23" s="10" t="s">
        <v>24</v>
      </c>
      <c r="B23" s="11">
        <v>362</v>
      </c>
      <c r="C23" s="11">
        <v>785</v>
      </c>
      <c r="D23" s="11">
        <v>179</v>
      </c>
      <c r="E23" s="11">
        <v>180</v>
      </c>
      <c r="F23" s="11">
        <v>171</v>
      </c>
      <c r="G23" s="11">
        <v>154</v>
      </c>
      <c r="H23" s="12">
        <v>8</v>
      </c>
    </row>
    <row r="24" spans="1:8" ht="19.2" x14ac:dyDescent="0.3">
      <c r="A24" s="10" t="s">
        <v>25</v>
      </c>
      <c r="B24" s="11">
        <v>504</v>
      </c>
      <c r="C24" s="11">
        <v>602</v>
      </c>
      <c r="D24" s="11">
        <v>300</v>
      </c>
      <c r="E24" s="11">
        <v>305</v>
      </c>
      <c r="F24" s="11">
        <v>329</v>
      </c>
      <c r="G24" s="11">
        <v>307</v>
      </c>
      <c r="H24" s="12">
        <v>20</v>
      </c>
    </row>
    <row r="25" spans="1:8" ht="19.2" x14ac:dyDescent="0.3">
      <c r="A25" s="10" t="s">
        <v>26</v>
      </c>
      <c r="B25" s="11">
        <v>597</v>
      </c>
      <c r="C25" s="11">
        <v>574</v>
      </c>
      <c r="D25" s="11">
        <v>333</v>
      </c>
      <c r="E25" s="11">
        <v>449</v>
      </c>
      <c r="F25" s="11">
        <v>263</v>
      </c>
      <c r="G25" s="11">
        <v>191</v>
      </c>
      <c r="H25" s="12">
        <v>70</v>
      </c>
    </row>
    <row r="26" spans="1:8" ht="19.2" x14ac:dyDescent="0.3">
      <c r="A26" s="10" t="s">
        <v>28</v>
      </c>
      <c r="B26" s="11">
        <v>617</v>
      </c>
      <c r="C26" s="13">
        <v>1048</v>
      </c>
      <c r="D26" s="11">
        <v>556</v>
      </c>
      <c r="E26" s="11">
        <v>961</v>
      </c>
      <c r="F26" s="11">
        <v>651</v>
      </c>
      <c r="G26" s="11">
        <v>509</v>
      </c>
      <c r="H26" s="12">
        <v>39</v>
      </c>
    </row>
    <row r="27" spans="1:8" x14ac:dyDescent="0.3">
      <c r="A27" s="10" t="s">
        <v>31</v>
      </c>
      <c r="B27" s="11" t="s">
        <v>798</v>
      </c>
      <c r="C27" s="13">
        <v>3860</v>
      </c>
      <c r="D27" s="13">
        <v>4095</v>
      </c>
      <c r="E27" s="13">
        <v>3297</v>
      </c>
      <c r="F27" s="11" t="s">
        <v>799</v>
      </c>
      <c r="G27" s="13">
        <v>2383</v>
      </c>
      <c r="H27" s="12">
        <v>2</v>
      </c>
    </row>
    <row r="28" spans="1:8" ht="19.2" x14ac:dyDescent="0.3">
      <c r="A28" s="8" t="s">
        <v>33</v>
      </c>
      <c r="B28" s="230" t="s">
        <v>800</v>
      </c>
      <c r="C28" s="228">
        <v>2335</v>
      </c>
      <c r="D28" s="228">
        <v>1344</v>
      </c>
      <c r="E28" s="228">
        <v>1179</v>
      </c>
      <c r="F28" s="230">
        <v>913</v>
      </c>
      <c r="G28" s="230">
        <v>895</v>
      </c>
      <c r="H28" s="234">
        <v>1</v>
      </c>
    </row>
    <row r="29" spans="1:8" ht="19.2" x14ac:dyDescent="0.3">
      <c r="A29" s="8" t="s">
        <v>6</v>
      </c>
      <c r="B29" s="230"/>
      <c r="C29" s="228"/>
      <c r="D29" s="228"/>
      <c r="E29" s="228"/>
      <c r="F29" s="230"/>
      <c r="G29" s="230"/>
      <c r="H29" s="234"/>
    </row>
    <row r="30" spans="1:8" ht="19.2" x14ac:dyDescent="0.3">
      <c r="A30" s="10" t="s">
        <v>36</v>
      </c>
      <c r="B30" s="11" t="s">
        <v>801</v>
      </c>
      <c r="C30" s="13">
        <v>2396</v>
      </c>
      <c r="D30" s="13">
        <v>1151</v>
      </c>
      <c r="E30" s="13">
        <v>1715</v>
      </c>
      <c r="F30" s="11" t="s">
        <v>802</v>
      </c>
      <c r="G30" s="11">
        <v>564</v>
      </c>
      <c r="H30" s="12">
        <v>22</v>
      </c>
    </row>
    <row r="31" spans="1:8" ht="19.2" x14ac:dyDescent="0.3">
      <c r="A31" s="10" t="s">
        <v>38</v>
      </c>
      <c r="B31" s="11">
        <v>827</v>
      </c>
      <c r="C31" s="13">
        <v>1322</v>
      </c>
      <c r="D31" s="13">
        <v>1018</v>
      </c>
      <c r="E31" s="13">
        <v>1022</v>
      </c>
      <c r="F31" s="11">
        <v>807</v>
      </c>
      <c r="G31" s="11">
        <v>770</v>
      </c>
      <c r="H31" s="12">
        <v>41</v>
      </c>
    </row>
    <row r="32" spans="1:8" ht="19.2" x14ac:dyDescent="0.3">
      <c r="A32" s="10" t="s">
        <v>40</v>
      </c>
      <c r="B32" s="11" t="s">
        <v>803</v>
      </c>
      <c r="C32" s="13">
        <v>2303</v>
      </c>
      <c r="D32" s="13">
        <v>1759</v>
      </c>
      <c r="E32" s="13">
        <v>1393</v>
      </c>
      <c r="F32" s="11" t="s">
        <v>804</v>
      </c>
      <c r="G32" s="13">
        <v>1250</v>
      </c>
      <c r="H32" s="12"/>
    </row>
    <row r="33" spans="1:8" ht="19.2" x14ac:dyDescent="0.3">
      <c r="A33" s="14" t="s">
        <v>42</v>
      </c>
      <c r="B33" s="11"/>
      <c r="C33" s="11"/>
      <c r="D33" s="11"/>
      <c r="E33" s="11"/>
      <c r="F33" s="11"/>
      <c r="G33" s="11"/>
      <c r="H33" s="12"/>
    </row>
    <row r="34" spans="1:8" ht="28.8" x14ac:dyDescent="0.3">
      <c r="A34" s="15" t="s">
        <v>43</v>
      </c>
      <c r="B34" s="11">
        <v>349</v>
      </c>
      <c r="C34" s="11">
        <v>533</v>
      </c>
      <c r="D34" s="13">
        <v>1171</v>
      </c>
      <c r="E34" s="11">
        <v>795</v>
      </c>
      <c r="F34" s="11">
        <v>493</v>
      </c>
      <c r="G34" s="11">
        <v>866</v>
      </c>
      <c r="H34" s="12">
        <v>12</v>
      </c>
    </row>
    <row r="35" spans="1:8" ht="48" x14ac:dyDescent="0.3">
      <c r="A35" s="72" t="s">
        <v>45</v>
      </c>
      <c r="B35" s="11" t="s">
        <v>187</v>
      </c>
      <c r="C35" s="13">
        <v>2372</v>
      </c>
      <c r="D35" s="13">
        <v>1784</v>
      </c>
      <c r="E35" s="13">
        <v>1418</v>
      </c>
      <c r="F35" s="11" t="s">
        <v>632</v>
      </c>
      <c r="G35" s="13">
        <v>1250</v>
      </c>
      <c r="H35" s="12">
        <v>25</v>
      </c>
    </row>
    <row r="36" spans="1:8" ht="19.2" x14ac:dyDescent="0.3">
      <c r="A36" s="10" t="s">
        <v>47</v>
      </c>
      <c r="B36" s="11" t="s">
        <v>637</v>
      </c>
      <c r="C36" s="13">
        <v>1178</v>
      </c>
      <c r="D36" s="11">
        <v>833</v>
      </c>
      <c r="E36" s="13">
        <v>1130</v>
      </c>
      <c r="F36" s="11">
        <v>724</v>
      </c>
      <c r="G36" s="13">
        <v>1061</v>
      </c>
      <c r="H36" s="12">
        <v>44</v>
      </c>
    </row>
    <row r="37" spans="1:8" ht="28.8" x14ac:dyDescent="0.3">
      <c r="A37" s="10" t="s">
        <v>1064</v>
      </c>
      <c r="B37" s="11">
        <v>987</v>
      </c>
      <c r="C37" s="13">
        <v>1741</v>
      </c>
      <c r="D37" s="11">
        <v>506</v>
      </c>
      <c r="E37" s="11">
        <v>469</v>
      </c>
      <c r="F37" s="11">
        <v>350</v>
      </c>
      <c r="G37" s="11">
        <v>319</v>
      </c>
      <c r="H37" s="12">
        <v>72</v>
      </c>
    </row>
    <row r="38" spans="1:8" ht="19.2" x14ac:dyDescent="0.3">
      <c r="A38" s="10" t="s">
        <v>51</v>
      </c>
      <c r="B38" s="11">
        <v>351</v>
      </c>
      <c r="C38" s="11">
        <v>445</v>
      </c>
      <c r="D38" s="11">
        <v>207</v>
      </c>
      <c r="E38" s="11">
        <v>260</v>
      </c>
      <c r="F38" s="11">
        <v>153</v>
      </c>
      <c r="G38" s="11">
        <v>130</v>
      </c>
      <c r="H38" s="12">
        <v>78</v>
      </c>
    </row>
    <row r="39" spans="1:8" ht="19.2" x14ac:dyDescent="0.3">
      <c r="A39" s="10" t="s">
        <v>52</v>
      </c>
      <c r="B39" s="11">
        <v>819</v>
      </c>
      <c r="C39" s="11">
        <v>781</v>
      </c>
      <c r="D39" s="11">
        <v>397</v>
      </c>
      <c r="E39" s="11">
        <v>729</v>
      </c>
      <c r="F39" s="11">
        <v>210</v>
      </c>
      <c r="G39" s="11">
        <v>837</v>
      </c>
      <c r="H39" s="12">
        <v>24</v>
      </c>
    </row>
    <row r="40" spans="1:8" ht="19.2" x14ac:dyDescent="0.3">
      <c r="A40" s="10" t="s">
        <v>53</v>
      </c>
      <c r="B40" s="11" t="s">
        <v>805</v>
      </c>
      <c r="C40" s="13">
        <v>1889</v>
      </c>
      <c r="D40" s="13">
        <v>1495</v>
      </c>
      <c r="E40" s="13">
        <v>1288</v>
      </c>
      <c r="F40" s="11" t="s">
        <v>806</v>
      </c>
      <c r="G40" s="11">
        <v>717</v>
      </c>
      <c r="H40" s="12">
        <v>18</v>
      </c>
    </row>
    <row r="41" spans="1:8" ht="19.2" x14ac:dyDescent="0.3">
      <c r="A41" s="10" t="s">
        <v>55</v>
      </c>
      <c r="B41" s="11" t="s">
        <v>486</v>
      </c>
      <c r="C41" s="13">
        <v>1075</v>
      </c>
      <c r="D41" s="11">
        <v>770</v>
      </c>
      <c r="E41" s="11">
        <v>720</v>
      </c>
      <c r="F41" s="11">
        <v>376</v>
      </c>
      <c r="G41" s="11">
        <v>353</v>
      </c>
      <c r="H41" s="12">
        <v>4</v>
      </c>
    </row>
    <row r="42" spans="1:8" ht="19.2" x14ac:dyDescent="0.3">
      <c r="A42" s="10" t="s">
        <v>57</v>
      </c>
      <c r="B42" s="11" t="s">
        <v>807</v>
      </c>
      <c r="C42" s="13">
        <v>3928</v>
      </c>
      <c r="D42" s="13">
        <v>2150</v>
      </c>
      <c r="E42" s="13">
        <v>1667</v>
      </c>
      <c r="F42" s="11" t="s">
        <v>808</v>
      </c>
      <c r="G42" s="13">
        <v>1313</v>
      </c>
      <c r="H42" s="12">
        <v>7</v>
      </c>
    </row>
    <row r="43" spans="1:8" ht="28.8" x14ac:dyDescent="0.3">
      <c r="A43" s="8" t="s">
        <v>809</v>
      </c>
      <c r="B43" s="6" t="s">
        <v>810</v>
      </c>
      <c r="C43" s="6">
        <v>786</v>
      </c>
      <c r="D43" s="6">
        <v>381</v>
      </c>
      <c r="E43" s="6">
        <v>326</v>
      </c>
      <c r="F43" s="6">
        <v>288</v>
      </c>
      <c r="G43" s="6">
        <v>217</v>
      </c>
      <c r="H43" s="7">
        <v>6</v>
      </c>
    </row>
    <row r="44" spans="1:8" ht="19.2" x14ac:dyDescent="0.3">
      <c r="A44" s="10" t="s">
        <v>61</v>
      </c>
      <c r="B44" s="11">
        <v>363</v>
      </c>
      <c r="C44" s="11">
        <v>478</v>
      </c>
      <c r="D44" s="11">
        <v>218</v>
      </c>
      <c r="E44" s="11">
        <v>208</v>
      </c>
      <c r="F44" s="11">
        <v>189</v>
      </c>
      <c r="G44" s="11">
        <v>186</v>
      </c>
      <c r="H44" s="12">
        <v>64</v>
      </c>
    </row>
    <row r="45" spans="1:8" ht="19.2" x14ac:dyDescent="0.3">
      <c r="A45" s="10" t="s">
        <v>62</v>
      </c>
      <c r="B45" s="11">
        <v>380</v>
      </c>
      <c r="C45" s="11">
        <v>305</v>
      </c>
      <c r="D45" s="11">
        <v>162</v>
      </c>
      <c r="E45" s="11">
        <v>235</v>
      </c>
      <c r="F45" s="11">
        <v>142</v>
      </c>
      <c r="G45" s="11">
        <v>142</v>
      </c>
      <c r="H45" s="12">
        <v>9</v>
      </c>
    </row>
    <row r="46" spans="1:8" ht="19.2" x14ac:dyDescent="0.3">
      <c r="A46" s="10" t="s">
        <v>63</v>
      </c>
      <c r="B46" s="11"/>
      <c r="C46" s="11">
        <v>684</v>
      </c>
      <c r="D46" s="11">
        <v>247</v>
      </c>
      <c r="E46" s="11">
        <v>307</v>
      </c>
      <c r="F46" s="11">
        <v>182</v>
      </c>
      <c r="G46" s="11">
        <v>136</v>
      </c>
      <c r="H46" s="12">
        <v>59</v>
      </c>
    </row>
    <row r="47" spans="1:8" ht="19.2" x14ac:dyDescent="0.3">
      <c r="A47" s="10" t="s">
        <v>65</v>
      </c>
      <c r="B47" s="11">
        <v>756</v>
      </c>
      <c r="C47" s="11">
        <v>711</v>
      </c>
      <c r="D47" s="11">
        <v>305</v>
      </c>
      <c r="E47" s="11">
        <v>313</v>
      </c>
      <c r="F47" s="11">
        <v>307</v>
      </c>
      <c r="G47" s="11">
        <v>230</v>
      </c>
      <c r="H47" s="12">
        <v>74</v>
      </c>
    </row>
    <row r="48" spans="1:8" ht="19.2" x14ac:dyDescent="0.3">
      <c r="A48" s="10" t="s">
        <v>66</v>
      </c>
      <c r="B48" s="11">
        <v>387</v>
      </c>
      <c r="C48" s="11">
        <v>525</v>
      </c>
      <c r="D48" s="11">
        <v>241</v>
      </c>
      <c r="E48" s="11">
        <v>251</v>
      </c>
      <c r="F48" s="11">
        <v>262</v>
      </c>
      <c r="G48" s="11">
        <v>104</v>
      </c>
      <c r="H48" s="12">
        <v>45</v>
      </c>
    </row>
    <row r="49" spans="1:8" ht="19.2" x14ac:dyDescent="0.3">
      <c r="A49" s="10" t="s">
        <v>67</v>
      </c>
      <c r="B49" s="11">
        <v>850</v>
      </c>
      <c r="C49" s="11">
        <v>761</v>
      </c>
      <c r="D49" s="11">
        <v>397</v>
      </c>
      <c r="E49" s="11">
        <v>292</v>
      </c>
      <c r="F49" s="11">
        <v>193</v>
      </c>
      <c r="G49" s="11">
        <v>156</v>
      </c>
      <c r="H49" s="12">
        <v>61</v>
      </c>
    </row>
    <row r="50" spans="1:8" ht="19.2" x14ac:dyDescent="0.3">
      <c r="A50" s="10" t="s">
        <v>70</v>
      </c>
      <c r="B50" s="11" t="s">
        <v>811</v>
      </c>
      <c r="C50" s="11">
        <v>910</v>
      </c>
      <c r="D50" s="11">
        <v>525</v>
      </c>
      <c r="E50" s="11">
        <v>359</v>
      </c>
      <c r="F50" s="11">
        <v>365</v>
      </c>
      <c r="G50" s="11">
        <v>310</v>
      </c>
      <c r="H50" s="12">
        <v>62</v>
      </c>
    </row>
    <row r="51" spans="1:8" ht="28.8" x14ac:dyDescent="0.3">
      <c r="A51" s="10" t="s">
        <v>71</v>
      </c>
      <c r="B51" s="11"/>
      <c r="C51" s="13">
        <v>2437</v>
      </c>
      <c r="D51" s="13">
        <v>1012</v>
      </c>
      <c r="E51" s="11">
        <v>735</v>
      </c>
      <c r="F51" s="11">
        <v>498</v>
      </c>
      <c r="G51" s="11">
        <v>195</v>
      </c>
      <c r="H51" s="12">
        <v>80</v>
      </c>
    </row>
    <row r="52" spans="1:8" ht="19.2" x14ac:dyDescent="0.3">
      <c r="A52" s="8" t="s">
        <v>73</v>
      </c>
      <c r="B52" s="230">
        <v>289</v>
      </c>
      <c r="C52" s="230">
        <v>280</v>
      </c>
      <c r="D52" s="230">
        <v>118</v>
      </c>
      <c r="E52" s="230">
        <v>136</v>
      </c>
      <c r="F52" s="230">
        <v>95</v>
      </c>
      <c r="G52" s="230">
        <v>86</v>
      </c>
      <c r="H52" s="234">
        <v>8</v>
      </c>
    </row>
    <row r="53" spans="1:8" ht="19.2" x14ac:dyDescent="0.3">
      <c r="A53" s="8" t="s">
        <v>6</v>
      </c>
      <c r="B53" s="230"/>
      <c r="C53" s="230"/>
      <c r="D53" s="230"/>
      <c r="E53" s="230"/>
      <c r="F53" s="230"/>
      <c r="G53" s="230"/>
      <c r="H53" s="234"/>
    </row>
    <row r="54" spans="1:8" ht="19.2" x14ac:dyDescent="0.3">
      <c r="A54" s="10" t="s">
        <v>74</v>
      </c>
      <c r="B54" s="11">
        <v>109</v>
      </c>
      <c r="C54" s="11">
        <v>141</v>
      </c>
      <c r="D54" s="11">
        <v>97</v>
      </c>
      <c r="E54" s="11">
        <v>85</v>
      </c>
      <c r="F54" s="11">
        <v>68</v>
      </c>
      <c r="G54" s="11">
        <v>56</v>
      </c>
      <c r="H54" s="12">
        <v>82</v>
      </c>
    </row>
    <row r="55" spans="1:8" ht="19.2" x14ac:dyDescent="0.3">
      <c r="A55" s="10" t="s">
        <v>75</v>
      </c>
      <c r="B55" s="11">
        <v>46</v>
      </c>
      <c r="C55" s="11">
        <v>32</v>
      </c>
      <c r="D55" s="11">
        <v>14</v>
      </c>
      <c r="E55" s="11">
        <v>10</v>
      </c>
      <c r="F55" s="11">
        <v>14</v>
      </c>
      <c r="G55" s="11">
        <v>10</v>
      </c>
      <c r="H55" s="12">
        <v>85</v>
      </c>
    </row>
    <row r="56" spans="1:8" ht="28.8" x14ac:dyDescent="0.3">
      <c r="A56" s="10" t="s">
        <v>76</v>
      </c>
      <c r="B56" s="11">
        <v>242</v>
      </c>
      <c r="C56" s="11">
        <v>127</v>
      </c>
      <c r="D56" s="11">
        <v>57</v>
      </c>
      <c r="E56" s="11">
        <v>55</v>
      </c>
      <c r="F56" s="11">
        <v>43</v>
      </c>
      <c r="G56" s="11">
        <v>49</v>
      </c>
      <c r="H56" s="12">
        <v>56</v>
      </c>
    </row>
    <row r="57" spans="1:8" ht="28.8" x14ac:dyDescent="0.3">
      <c r="A57" s="10" t="s">
        <v>77</v>
      </c>
      <c r="B57" s="11">
        <v>231</v>
      </c>
      <c r="C57" s="11">
        <v>177</v>
      </c>
      <c r="D57" s="11">
        <v>124</v>
      </c>
      <c r="E57" s="11">
        <v>122</v>
      </c>
      <c r="F57" s="11">
        <v>103</v>
      </c>
      <c r="G57" s="11">
        <v>95</v>
      </c>
      <c r="H57" s="12">
        <v>57</v>
      </c>
    </row>
    <row r="58" spans="1:8" ht="28.8" x14ac:dyDescent="0.3">
      <c r="A58" s="10" t="s">
        <v>1066</v>
      </c>
      <c r="B58" s="11">
        <v>314</v>
      </c>
      <c r="C58" s="11">
        <v>262</v>
      </c>
      <c r="D58" s="11">
        <v>111</v>
      </c>
      <c r="E58" s="11">
        <v>110</v>
      </c>
      <c r="F58" s="11">
        <v>111</v>
      </c>
      <c r="G58" s="11">
        <v>85</v>
      </c>
      <c r="H58" s="12">
        <v>64</v>
      </c>
    </row>
    <row r="59" spans="1:8" ht="19.2" x14ac:dyDescent="0.3">
      <c r="A59" s="10" t="s">
        <v>78</v>
      </c>
      <c r="B59" s="11">
        <v>50</v>
      </c>
      <c r="C59" s="11">
        <v>51</v>
      </c>
      <c r="D59" s="11">
        <v>39</v>
      </c>
      <c r="E59" s="11">
        <v>36</v>
      </c>
      <c r="F59" s="11">
        <v>30</v>
      </c>
      <c r="G59" s="11">
        <v>28</v>
      </c>
      <c r="H59" s="12">
        <v>84</v>
      </c>
    </row>
    <row r="60" spans="1:8" ht="19.8" thickBot="1" x14ac:dyDescent="0.35">
      <c r="A60" s="16" t="s">
        <v>79</v>
      </c>
      <c r="B60" s="17">
        <v>638</v>
      </c>
      <c r="C60" s="17">
        <v>647</v>
      </c>
      <c r="D60" s="17">
        <v>218</v>
      </c>
      <c r="E60" s="17">
        <v>299</v>
      </c>
      <c r="F60" s="17">
        <v>186</v>
      </c>
      <c r="G60" s="17">
        <v>173</v>
      </c>
      <c r="H60" s="18">
        <v>58</v>
      </c>
    </row>
    <row r="61" spans="1:8" ht="19.2" x14ac:dyDescent="0.3">
      <c r="A61" s="8" t="s">
        <v>80</v>
      </c>
      <c r="B61" s="235" t="s">
        <v>318</v>
      </c>
      <c r="C61" s="248">
        <v>1519</v>
      </c>
      <c r="D61" s="235">
        <v>813</v>
      </c>
      <c r="E61" s="235">
        <v>682</v>
      </c>
      <c r="F61" s="235">
        <v>567</v>
      </c>
      <c r="G61" s="235">
        <v>515</v>
      </c>
      <c r="H61" s="237">
        <v>4</v>
      </c>
    </row>
    <row r="62" spans="1:8" ht="19.2" x14ac:dyDescent="0.3">
      <c r="A62" s="8" t="s">
        <v>6</v>
      </c>
      <c r="B62" s="230"/>
      <c r="C62" s="228"/>
      <c r="D62" s="230"/>
      <c r="E62" s="230"/>
      <c r="F62" s="230"/>
      <c r="G62" s="230"/>
      <c r="H62" s="234"/>
    </row>
    <row r="63" spans="1:8" ht="28.8" x14ac:dyDescent="0.3">
      <c r="A63" s="10" t="s">
        <v>81</v>
      </c>
      <c r="B63" s="11" t="s">
        <v>812</v>
      </c>
      <c r="C63" s="13">
        <v>1172</v>
      </c>
      <c r="D63" s="11">
        <v>633</v>
      </c>
      <c r="E63" s="11">
        <v>489</v>
      </c>
      <c r="F63" s="11">
        <v>415</v>
      </c>
      <c r="G63" s="11">
        <v>278</v>
      </c>
      <c r="H63" s="12">
        <v>40</v>
      </c>
    </row>
    <row r="64" spans="1:8" ht="19.2" x14ac:dyDescent="0.3">
      <c r="A64" s="10" t="s">
        <v>82</v>
      </c>
      <c r="B64" s="11" t="s">
        <v>813</v>
      </c>
      <c r="C64" s="13">
        <v>2831</v>
      </c>
      <c r="D64" s="13">
        <v>1914</v>
      </c>
      <c r="E64" s="13">
        <v>1890</v>
      </c>
      <c r="F64" s="11" t="s">
        <v>814</v>
      </c>
      <c r="G64" s="13">
        <v>1618</v>
      </c>
      <c r="H64" s="12">
        <v>28</v>
      </c>
    </row>
    <row r="65" spans="1:8" ht="19.2" x14ac:dyDescent="0.3">
      <c r="A65" s="10" t="s">
        <v>83</v>
      </c>
      <c r="B65" s="11">
        <v>513</v>
      </c>
      <c r="C65" s="11">
        <v>595</v>
      </c>
      <c r="D65" s="11">
        <v>267</v>
      </c>
      <c r="E65" s="11">
        <v>430</v>
      </c>
      <c r="F65" s="11">
        <v>227</v>
      </c>
      <c r="G65" s="11">
        <v>225</v>
      </c>
      <c r="H65" s="12">
        <v>19</v>
      </c>
    </row>
    <row r="66" spans="1:8" ht="19.2" x14ac:dyDescent="0.3">
      <c r="A66" s="10" t="s">
        <v>84</v>
      </c>
      <c r="B66" s="11" t="s">
        <v>815</v>
      </c>
      <c r="C66" s="13">
        <v>1556</v>
      </c>
      <c r="D66" s="11">
        <v>603</v>
      </c>
      <c r="E66" s="11">
        <v>429</v>
      </c>
      <c r="F66" s="11">
        <v>392</v>
      </c>
      <c r="G66" s="11">
        <v>349</v>
      </c>
      <c r="H66" s="12">
        <v>49</v>
      </c>
    </row>
    <row r="67" spans="1:8" ht="19.2" x14ac:dyDescent="0.3">
      <c r="A67" s="10" t="s">
        <v>85</v>
      </c>
      <c r="B67" s="11">
        <v>786</v>
      </c>
      <c r="C67" s="13">
        <v>1444</v>
      </c>
      <c r="D67" s="11">
        <v>627</v>
      </c>
      <c r="E67" s="11">
        <v>561</v>
      </c>
      <c r="F67" s="11">
        <v>592</v>
      </c>
      <c r="G67" s="11">
        <v>520</v>
      </c>
      <c r="H67" s="12">
        <v>75</v>
      </c>
    </row>
    <row r="68" spans="1:8" ht="19.2" x14ac:dyDescent="0.3">
      <c r="A68" s="10" t="s">
        <v>86</v>
      </c>
      <c r="B68" s="11" t="s">
        <v>816</v>
      </c>
      <c r="C68" s="13">
        <v>1771</v>
      </c>
      <c r="D68" s="11">
        <v>762</v>
      </c>
      <c r="E68" s="11">
        <v>651</v>
      </c>
      <c r="F68" s="11">
        <v>486</v>
      </c>
      <c r="G68" s="11">
        <v>509</v>
      </c>
      <c r="H68" s="12">
        <v>21</v>
      </c>
    </row>
    <row r="69" spans="1:8" ht="19.2" x14ac:dyDescent="0.3">
      <c r="A69" s="10" t="s">
        <v>87</v>
      </c>
      <c r="B69" s="11" t="s">
        <v>450</v>
      </c>
      <c r="C69" s="13">
        <v>1526</v>
      </c>
      <c r="D69" s="11">
        <v>793</v>
      </c>
      <c r="E69" s="11">
        <v>631</v>
      </c>
      <c r="F69" s="11">
        <v>396</v>
      </c>
      <c r="G69" s="11">
        <v>370</v>
      </c>
      <c r="H69" s="12">
        <v>67</v>
      </c>
    </row>
    <row r="70" spans="1:8" ht="19.2" x14ac:dyDescent="0.3">
      <c r="A70" s="10" t="s">
        <v>88</v>
      </c>
      <c r="B70" s="11" t="s">
        <v>307</v>
      </c>
      <c r="C70" s="13">
        <v>1400</v>
      </c>
      <c r="D70" s="11">
        <v>862</v>
      </c>
      <c r="E70" s="11">
        <v>708</v>
      </c>
      <c r="F70" s="11">
        <v>621</v>
      </c>
      <c r="G70" s="11">
        <v>605</v>
      </c>
      <c r="H70" s="12">
        <v>5</v>
      </c>
    </row>
    <row r="71" spans="1:8" ht="19.2" x14ac:dyDescent="0.3">
      <c r="A71" s="10" t="s">
        <v>89</v>
      </c>
      <c r="B71" s="11" t="s">
        <v>817</v>
      </c>
      <c r="C71" s="13">
        <v>3205</v>
      </c>
      <c r="D71" s="13">
        <v>1782</v>
      </c>
      <c r="E71" s="13">
        <v>1740</v>
      </c>
      <c r="F71" s="11" t="s">
        <v>818</v>
      </c>
      <c r="G71" s="13">
        <v>1201</v>
      </c>
      <c r="H71" s="12">
        <v>51</v>
      </c>
    </row>
    <row r="72" spans="1:8" ht="19.2" x14ac:dyDescent="0.3">
      <c r="A72" s="10" t="s">
        <v>90</v>
      </c>
      <c r="B72" s="11">
        <v>510</v>
      </c>
      <c r="C72" s="11">
        <v>937</v>
      </c>
      <c r="D72" s="11">
        <v>372</v>
      </c>
      <c r="E72" s="11">
        <v>409</v>
      </c>
      <c r="F72" s="11">
        <v>345</v>
      </c>
      <c r="G72" s="11">
        <v>291</v>
      </c>
      <c r="H72" s="12">
        <v>36</v>
      </c>
    </row>
    <row r="73" spans="1:8" ht="19.2" x14ac:dyDescent="0.3">
      <c r="A73" s="10" t="s">
        <v>91</v>
      </c>
      <c r="B73" s="11" t="s">
        <v>819</v>
      </c>
      <c r="C73" s="13">
        <v>1090</v>
      </c>
      <c r="D73" s="11">
        <v>631</v>
      </c>
      <c r="E73" s="11">
        <v>627</v>
      </c>
      <c r="F73" s="11">
        <v>469</v>
      </c>
      <c r="G73" s="11">
        <v>455</v>
      </c>
      <c r="H73" s="12">
        <v>35</v>
      </c>
    </row>
    <row r="74" spans="1:8" ht="19.2" x14ac:dyDescent="0.3">
      <c r="A74" s="10" t="s">
        <v>92</v>
      </c>
      <c r="B74" s="11">
        <v>737</v>
      </c>
      <c r="C74" s="13">
        <v>1126</v>
      </c>
      <c r="D74" s="11">
        <v>713</v>
      </c>
      <c r="E74" s="11">
        <v>506</v>
      </c>
      <c r="F74" s="11">
        <v>404</v>
      </c>
      <c r="G74" s="11">
        <v>285</v>
      </c>
      <c r="H74" s="12">
        <v>60</v>
      </c>
    </row>
    <row r="75" spans="1:8" ht="19.2" x14ac:dyDescent="0.3">
      <c r="A75" s="10" t="s">
        <v>93</v>
      </c>
      <c r="B75" s="11" t="s">
        <v>183</v>
      </c>
      <c r="C75" s="13">
        <v>1310</v>
      </c>
      <c r="D75" s="11">
        <v>604</v>
      </c>
      <c r="E75" s="11">
        <v>452</v>
      </c>
      <c r="F75" s="11">
        <v>420</v>
      </c>
      <c r="G75" s="11">
        <v>405</v>
      </c>
      <c r="H75" s="12">
        <v>52</v>
      </c>
    </row>
    <row r="76" spans="1:8" ht="19.2" x14ac:dyDescent="0.3">
      <c r="A76" s="10" t="s">
        <v>94</v>
      </c>
      <c r="B76" s="11">
        <v>666</v>
      </c>
      <c r="C76" s="11">
        <v>803</v>
      </c>
      <c r="D76" s="13">
        <v>1171</v>
      </c>
      <c r="E76" s="11">
        <v>594</v>
      </c>
      <c r="F76" s="11">
        <v>660</v>
      </c>
      <c r="G76" s="13">
        <v>1143</v>
      </c>
      <c r="H76" s="12">
        <v>31</v>
      </c>
    </row>
    <row r="77" spans="1:8" x14ac:dyDescent="0.3">
      <c r="A77" s="8" t="s">
        <v>95</v>
      </c>
      <c r="B77" s="230">
        <v>749</v>
      </c>
      <c r="C77" s="230">
        <v>965</v>
      </c>
      <c r="D77" s="230">
        <v>614</v>
      </c>
      <c r="E77" s="230">
        <v>514</v>
      </c>
      <c r="F77" s="230">
        <v>473</v>
      </c>
      <c r="G77" s="230">
        <v>331</v>
      </c>
      <c r="H77" s="234">
        <v>7</v>
      </c>
    </row>
    <row r="78" spans="1:8" ht="19.2" x14ac:dyDescent="0.3">
      <c r="A78" s="8" t="s">
        <v>6</v>
      </c>
      <c r="B78" s="230"/>
      <c r="C78" s="230"/>
      <c r="D78" s="230"/>
      <c r="E78" s="230"/>
      <c r="F78" s="230"/>
      <c r="G78" s="230"/>
      <c r="H78" s="234"/>
    </row>
    <row r="79" spans="1:8" ht="19.2" x14ac:dyDescent="0.3">
      <c r="A79" s="10" t="s">
        <v>96</v>
      </c>
      <c r="B79" s="11">
        <v>479</v>
      </c>
      <c r="C79" s="11">
        <v>534</v>
      </c>
      <c r="D79" s="11">
        <v>356</v>
      </c>
      <c r="E79" s="11">
        <v>259</v>
      </c>
      <c r="F79" s="11">
        <v>171</v>
      </c>
      <c r="G79" s="11">
        <v>196</v>
      </c>
      <c r="H79" s="12">
        <v>10</v>
      </c>
    </row>
    <row r="80" spans="1:8" ht="19.2" x14ac:dyDescent="0.3">
      <c r="A80" s="10" t="s">
        <v>97</v>
      </c>
      <c r="B80" s="11">
        <v>630</v>
      </c>
      <c r="C80" s="11">
        <v>712</v>
      </c>
      <c r="D80" s="11">
        <v>521</v>
      </c>
      <c r="E80" s="11">
        <v>620</v>
      </c>
      <c r="F80" s="11">
        <v>471</v>
      </c>
      <c r="G80" s="11">
        <v>375</v>
      </c>
      <c r="H80" s="12">
        <v>76</v>
      </c>
    </row>
    <row r="81" spans="1:8" ht="19.2" x14ac:dyDescent="0.3">
      <c r="A81" s="10" t="s">
        <v>98</v>
      </c>
      <c r="B81" s="11">
        <v>797</v>
      </c>
      <c r="C81" s="11">
        <v>605</v>
      </c>
      <c r="D81" s="11">
        <v>414</v>
      </c>
      <c r="E81" s="11">
        <v>277</v>
      </c>
      <c r="F81" s="11">
        <v>249</v>
      </c>
      <c r="G81" s="11">
        <v>204</v>
      </c>
      <c r="H81" s="12"/>
    </row>
    <row r="82" spans="1:8" ht="19.2" x14ac:dyDescent="0.3">
      <c r="A82" s="14" t="s">
        <v>42</v>
      </c>
      <c r="B82" s="11"/>
      <c r="C82" s="11"/>
      <c r="D82" s="11"/>
      <c r="E82" s="11"/>
      <c r="F82" s="11"/>
      <c r="G82" s="11"/>
      <c r="H82" s="12"/>
    </row>
    <row r="83" spans="1:8" ht="48" x14ac:dyDescent="0.3">
      <c r="A83" s="78" t="s">
        <v>1069</v>
      </c>
      <c r="B83" s="11">
        <v>586</v>
      </c>
      <c r="C83" s="11">
        <v>332</v>
      </c>
      <c r="D83" s="11">
        <v>358</v>
      </c>
      <c r="E83" s="11">
        <v>333</v>
      </c>
      <c r="F83" s="11">
        <v>250</v>
      </c>
      <c r="G83" s="11">
        <v>222</v>
      </c>
      <c r="H83" s="12">
        <v>79</v>
      </c>
    </row>
    <row r="84" spans="1:8" ht="38.4" x14ac:dyDescent="0.3">
      <c r="A84" s="15" t="s">
        <v>101</v>
      </c>
      <c r="B84" s="11">
        <v>182</v>
      </c>
      <c r="C84" s="11">
        <v>151</v>
      </c>
      <c r="D84" s="11">
        <v>222</v>
      </c>
      <c r="E84" s="11">
        <v>197</v>
      </c>
      <c r="F84" s="11">
        <v>185</v>
      </c>
      <c r="G84" s="11">
        <v>172</v>
      </c>
      <c r="H84" s="12">
        <v>81</v>
      </c>
    </row>
    <row r="85" spans="1:8" ht="38.4" x14ac:dyDescent="0.3">
      <c r="A85" s="72" t="s">
        <v>922</v>
      </c>
      <c r="B85" s="11" t="s">
        <v>434</v>
      </c>
      <c r="C85" s="13">
        <v>1070</v>
      </c>
      <c r="D85" s="11">
        <v>536</v>
      </c>
      <c r="E85" s="11">
        <v>243</v>
      </c>
      <c r="F85" s="11">
        <v>269</v>
      </c>
      <c r="G85" s="11">
        <v>193</v>
      </c>
      <c r="H85" s="12">
        <v>54</v>
      </c>
    </row>
    <row r="86" spans="1:8" ht="19.2" x14ac:dyDescent="0.3">
      <c r="A86" s="10" t="s">
        <v>103</v>
      </c>
      <c r="B86" s="11">
        <v>920</v>
      </c>
      <c r="C86" s="13">
        <v>1753</v>
      </c>
      <c r="D86" s="13">
        <v>1008</v>
      </c>
      <c r="E86" s="11">
        <v>703</v>
      </c>
      <c r="F86" s="11">
        <v>796</v>
      </c>
      <c r="G86" s="11">
        <v>450</v>
      </c>
      <c r="H86" s="12">
        <v>71</v>
      </c>
    </row>
    <row r="87" spans="1:8" x14ac:dyDescent="0.3">
      <c r="A87" s="8" t="s">
        <v>104</v>
      </c>
      <c r="B87" s="230">
        <v>680</v>
      </c>
      <c r="C87" s="230">
        <v>752</v>
      </c>
      <c r="D87" s="230">
        <v>536</v>
      </c>
      <c r="E87" s="230">
        <v>459</v>
      </c>
      <c r="F87" s="230">
        <v>351</v>
      </c>
      <c r="G87" s="230">
        <v>307</v>
      </c>
      <c r="H87" s="234">
        <v>5</v>
      </c>
    </row>
    <row r="88" spans="1:8" ht="19.2" x14ac:dyDescent="0.3">
      <c r="A88" s="8" t="s">
        <v>6</v>
      </c>
      <c r="B88" s="230"/>
      <c r="C88" s="230"/>
      <c r="D88" s="230"/>
      <c r="E88" s="230"/>
      <c r="F88" s="230"/>
      <c r="G88" s="230"/>
      <c r="H88" s="234"/>
    </row>
    <row r="89" spans="1:8" ht="19.2" x14ac:dyDescent="0.3">
      <c r="A89" s="10" t="s">
        <v>105</v>
      </c>
      <c r="B89" s="11">
        <v>146</v>
      </c>
      <c r="C89" s="11">
        <v>332</v>
      </c>
      <c r="D89" s="11">
        <v>435</v>
      </c>
      <c r="E89" s="11">
        <v>418</v>
      </c>
      <c r="F89" s="11">
        <v>408</v>
      </c>
      <c r="G89" s="11">
        <v>318</v>
      </c>
      <c r="H89" s="12">
        <v>29</v>
      </c>
    </row>
    <row r="90" spans="1:8" ht="19.2" x14ac:dyDescent="0.3">
      <c r="A90" s="10" t="s">
        <v>106</v>
      </c>
      <c r="B90" s="11">
        <v>247</v>
      </c>
      <c r="C90" s="11">
        <v>222</v>
      </c>
      <c r="D90" s="11">
        <v>137</v>
      </c>
      <c r="E90" s="11">
        <v>91</v>
      </c>
      <c r="F90" s="11">
        <v>78</v>
      </c>
      <c r="G90" s="11">
        <v>73</v>
      </c>
      <c r="H90" s="12">
        <v>15</v>
      </c>
    </row>
    <row r="91" spans="1:8" ht="19.2" x14ac:dyDescent="0.3">
      <c r="A91" s="10" t="s">
        <v>107</v>
      </c>
      <c r="B91" s="11">
        <v>522</v>
      </c>
      <c r="C91" s="11">
        <v>557</v>
      </c>
      <c r="D91" s="11">
        <v>567</v>
      </c>
      <c r="E91" s="11">
        <v>623</v>
      </c>
      <c r="F91" s="11">
        <v>626</v>
      </c>
      <c r="G91" s="11">
        <v>788</v>
      </c>
      <c r="H91" s="12">
        <v>53</v>
      </c>
    </row>
    <row r="92" spans="1:8" ht="19.2" x14ac:dyDescent="0.3">
      <c r="A92" s="10" t="s">
        <v>108</v>
      </c>
      <c r="B92" s="11">
        <v>654</v>
      </c>
      <c r="C92" s="11">
        <v>674</v>
      </c>
      <c r="D92" s="11">
        <v>541</v>
      </c>
      <c r="E92" s="11">
        <v>542</v>
      </c>
      <c r="F92" s="11">
        <v>399</v>
      </c>
      <c r="G92" s="11">
        <v>294</v>
      </c>
      <c r="H92" s="12">
        <v>46</v>
      </c>
    </row>
    <row r="93" spans="1:8" ht="19.2" x14ac:dyDescent="0.3">
      <c r="A93" s="10" t="s">
        <v>109</v>
      </c>
      <c r="B93" s="11">
        <v>578</v>
      </c>
      <c r="C93" s="11">
        <v>711</v>
      </c>
      <c r="D93" s="11">
        <v>472</v>
      </c>
      <c r="E93" s="11">
        <v>400</v>
      </c>
      <c r="F93" s="11">
        <v>259</v>
      </c>
      <c r="G93" s="11">
        <v>314</v>
      </c>
      <c r="H93" s="12">
        <v>42</v>
      </c>
    </row>
    <row r="94" spans="1:8" ht="19.2" x14ac:dyDescent="0.3">
      <c r="A94" s="10" t="s">
        <v>110</v>
      </c>
      <c r="B94" s="11">
        <v>739</v>
      </c>
      <c r="C94" s="11">
        <v>747</v>
      </c>
      <c r="D94" s="11">
        <v>494</v>
      </c>
      <c r="E94" s="11">
        <v>640</v>
      </c>
      <c r="F94" s="11">
        <v>375</v>
      </c>
      <c r="G94" s="11">
        <v>354</v>
      </c>
      <c r="H94" s="12">
        <v>69</v>
      </c>
    </row>
    <row r="95" spans="1:8" ht="19.2" x14ac:dyDescent="0.3">
      <c r="A95" s="10" t="s">
        <v>111</v>
      </c>
      <c r="B95" s="11">
        <v>496</v>
      </c>
      <c r="C95" s="11">
        <v>674</v>
      </c>
      <c r="D95" s="11">
        <v>390</v>
      </c>
      <c r="E95" s="11">
        <v>280</v>
      </c>
      <c r="F95" s="11">
        <v>182</v>
      </c>
      <c r="G95" s="11">
        <v>122</v>
      </c>
      <c r="H95" s="12">
        <v>63</v>
      </c>
    </row>
    <row r="96" spans="1:8" ht="19.2" x14ac:dyDescent="0.3">
      <c r="A96" s="10" t="s">
        <v>112</v>
      </c>
      <c r="B96" s="11">
        <v>906</v>
      </c>
      <c r="C96" s="11">
        <v>887</v>
      </c>
      <c r="D96" s="11">
        <v>688</v>
      </c>
      <c r="E96" s="11">
        <v>478</v>
      </c>
      <c r="F96" s="11">
        <v>498</v>
      </c>
      <c r="G96" s="11">
        <v>363</v>
      </c>
      <c r="H96" s="12">
        <v>73</v>
      </c>
    </row>
    <row r="97" spans="1:8" ht="19.2" x14ac:dyDescent="0.3">
      <c r="A97" s="10" t="s">
        <v>113</v>
      </c>
      <c r="B97" s="11">
        <v>857</v>
      </c>
      <c r="C97" s="11">
        <v>840</v>
      </c>
      <c r="D97" s="11">
        <v>374</v>
      </c>
      <c r="E97" s="11">
        <v>361</v>
      </c>
      <c r="F97" s="11">
        <v>315</v>
      </c>
      <c r="G97" s="11">
        <v>266</v>
      </c>
      <c r="H97" s="12">
        <v>27</v>
      </c>
    </row>
    <row r="98" spans="1:8" ht="19.2" x14ac:dyDescent="0.3">
      <c r="A98" s="10" t="s">
        <v>114</v>
      </c>
      <c r="B98" s="11">
        <v>759</v>
      </c>
      <c r="C98" s="13">
        <v>1062</v>
      </c>
      <c r="D98" s="11">
        <v>587</v>
      </c>
      <c r="E98" s="11">
        <v>655</v>
      </c>
      <c r="F98" s="11">
        <v>505</v>
      </c>
      <c r="G98" s="11">
        <v>416</v>
      </c>
      <c r="H98" s="12">
        <v>68</v>
      </c>
    </row>
    <row r="99" spans="1:8" ht="19.2" x14ac:dyDescent="0.3">
      <c r="A99" s="8" t="s">
        <v>115</v>
      </c>
      <c r="B99" s="230">
        <v>477</v>
      </c>
      <c r="C99" s="230">
        <v>678</v>
      </c>
      <c r="D99" s="230">
        <v>291</v>
      </c>
      <c r="E99" s="230">
        <v>273</v>
      </c>
      <c r="F99" s="230">
        <v>216</v>
      </c>
      <c r="G99" s="230">
        <v>201</v>
      </c>
      <c r="H99" s="234">
        <v>3</v>
      </c>
    </row>
    <row r="100" spans="1:8" ht="19.2" x14ac:dyDescent="0.3">
      <c r="A100" s="8" t="s">
        <v>6</v>
      </c>
      <c r="B100" s="230"/>
      <c r="C100" s="230"/>
      <c r="D100" s="230"/>
      <c r="E100" s="230"/>
      <c r="F100" s="230"/>
      <c r="G100" s="230"/>
      <c r="H100" s="234"/>
    </row>
    <row r="101" spans="1:8" ht="19.2" x14ac:dyDescent="0.3">
      <c r="A101" s="10" t="s">
        <v>116</v>
      </c>
      <c r="B101" s="11">
        <v>361</v>
      </c>
      <c r="C101" s="11">
        <v>595</v>
      </c>
      <c r="D101" s="11">
        <v>311</v>
      </c>
      <c r="E101" s="11">
        <v>289</v>
      </c>
      <c r="F101" s="11">
        <v>280</v>
      </c>
      <c r="G101" s="11">
        <v>342</v>
      </c>
      <c r="H101" s="12">
        <v>55</v>
      </c>
    </row>
    <row r="102" spans="1:8" ht="28.8" x14ac:dyDescent="0.3">
      <c r="A102" s="10" t="s">
        <v>117</v>
      </c>
      <c r="B102" s="11">
        <v>370</v>
      </c>
      <c r="C102" s="11">
        <v>430</v>
      </c>
      <c r="D102" s="11">
        <v>226</v>
      </c>
      <c r="E102" s="11">
        <v>141</v>
      </c>
      <c r="F102" s="11">
        <v>109</v>
      </c>
      <c r="G102" s="11">
        <v>135</v>
      </c>
      <c r="H102" s="12">
        <v>13</v>
      </c>
    </row>
    <row r="103" spans="1:8" ht="19.2" x14ac:dyDescent="0.3">
      <c r="A103" s="10" t="s">
        <v>118</v>
      </c>
      <c r="B103" s="11">
        <v>271</v>
      </c>
      <c r="C103" s="11">
        <v>416</v>
      </c>
      <c r="D103" s="11">
        <v>301</v>
      </c>
      <c r="E103" s="11">
        <v>225</v>
      </c>
      <c r="F103" s="11">
        <v>185</v>
      </c>
      <c r="G103" s="11">
        <v>163</v>
      </c>
      <c r="H103" s="12">
        <v>38</v>
      </c>
    </row>
    <row r="104" spans="1:8" ht="19.2" x14ac:dyDescent="0.3">
      <c r="A104" s="10" t="s">
        <v>119</v>
      </c>
      <c r="B104" s="11" t="s">
        <v>457</v>
      </c>
      <c r="C104" s="13">
        <v>1764</v>
      </c>
      <c r="D104" s="11">
        <v>721</v>
      </c>
      <c r="E104" s="11">
        <v>698</v>
      </c>
      <c r="F104" s="11">
        <v>665</v>
      </c>
      <c r="G104" s="11">
        <v>487</v>
      </c>
      <c r="H104" s="12">
        <v>23</v>
      </c>
    </row>
    <row r="105" spans="1:8" ht="19.2" x14ac:dyDescent="0.3">
      <c r="A105" s="10" t="s">
        <v>120</v>
      </c>
      <c r="B105" s="11">
        <v>735</v>
      </c>
      <c r="C105" s="13">
        <v>1091</v>
      </c>
      <c r="D105" s="11">
        <v>220</v>
      </c>
      <c r="E105" s="11">
        <v>264</v>
      </c>
      <c r="F105" s="11">
        <v>217</v>
      </c>
      <c r="G105" s="11">
        <v>150</v>
      </c>
      <c r="H105" s="12">
        <v>77</v>
      </c>
    </row>
    <row r="106" spans="1:8" ht="19.2" x14ac:dyDescent="0.3">
      <c r="A106" s="10" t="s">
        <v>121</v>
      </c>
      <c r="B106" s="11">
        <v>320</v>
      </c>
      <c r="C106" s="11">
        <v>478</v>
      </c>
      <c r="D106" s="11">
        <v>264</v>
      </c>
      <c r="E106" s="11">
        <v>223</v>
      </c>
      <c r="F106" s="11">
        <v>216</v>
      </c>
      <c r="G106" s="11">
        <v>193</v>
      </c>
      <c r="H106" s="12">
        <v>26</v>
      </c>
    </row>
    <row r="107" spans="1:8" ht="19.2" x14ac:dyDescent="0.3">
      <c r="A107" s="10" t="s">
        <v>122</v>
      </c>
      <c r="B107" s="11">
        <v>345</v>
      </c>
      <c r="C107" s="11">
        <v>626</v>
      </c>
      <c r="D107" s="11">
        <v>393</v>
      </c>
      <c r="E107" s="11">
        <v>463</v>
      </c>
      <c r="F107" s="11">
        <v>227</v>
      </c>
      <c r="G107" s="11">
        <v>208</v>
      </c>
      <c r="H107" s="12">
        <v>66</v>
      </c>
    </row>
    <row r="108" spans="1:8" ht="19.2" x14ac:dyDescent="0.3">
      <c r="A108" s="10" t="s">
        <v>123</v>
      </c>
      <c r="B108" s="11">
        <v>492</v>
      </c>
      <c r="C108" s="11">
        <v>443</v>
      </c>
      <c r="D108" s="11">
        <v>261</v>
      </c>
      <c r="E108" s="11">
        <v>277</v>
      </c>
      <c r="F108" s="11">
        <v>279</v>
      </c>
      <c r="G108" s="11">
        <v>280</v>
      </c>
      <c r="H108" s="12">
        <v>3</v>
      </c>
    </row>
    <row r="109" spans="1:8" ht="19.2" x14ac:dyDescent="0.3">
      <c r="A109" s="10" t="s">
        <v>124</v>
      </c>
      <c r="B109" s="11">
        <v>495</v>
      </c>
      <c r="C109" s="11">
        <v>460</v>
      </c>
      <c r="D109" s="11">
        <v>344</v>
      </c>
      <c r="E109" s="11">
        <v>274</v>
      </c>
      <c r="F109" s="11">
        <v>145</v>
      </c>
      <c r="G109" s="11">
        <v>160</v>
      </c>
      <c r="H109" s="12">
        <v>43</v>
      </c>
    </row>
    <row r="110" spans="1:8" ht="28.8" x14ac:dyDescent="0.3">
      <c r="A110" s="10" t="s">
        <v>125</v>
      </c>
      <c r="B110" s="11">
        <v>180</v>
      </c>
      <c r="C110" s="11">
        <v>354</v>
      </c>
      <c r="D110" s="11">
        <v>204</v>
      </c>
      <c r="E110" s="11">
        <v>177</v>
      </c>
      <c r="F110" s="11">
        <v>189</v>
      </c>
      <c r="G110" s="11">
        <v>173</v>
      </c>
      <c r="H110" s="12">
        <v>14</v>
      </c>
    </row>
    <row r="111" spans="1:8" ht="28.8" x14ac:dyDescent="0.3">
      <c r="A111" s="10" t="s">
        <v>126</v>
      </c>
      <c r="B111" s="11">
        <v>223</v>
      </c>
      <c r="C111" s="11">
        <v>140</v>
      </c>
      <c r="D111" s="11">
        <v>119</v>
      </c>
      <c r="E111" s="11">
        <v>115</v>
      </c>
      <c r="F111" s="11">
        <v>113</v>
      </c>
      <c r="G111" s="11">
        <v>108</v>
      </c>
      <c r="H111" s="12">
        <v>1</v>
      </c>
    </row>
    <row r="112" spans="1:8" x14ac:dyDescent="0.3">
      <c r="A112" s="44" t="s">
        <v>127</v>
      </c>
      <c r="B112" s="45"/>
      <c r="C112" s="45"/>
      <c r="D112" s="45"/>
      <c r="E112" s="45"/>
      <c r="F112" s="45"/>
      <c r="G112" s="45"/>
      <c r="H112" s="46"/>
    </row>
    <row r="113" spans="1:8" ht="17.399999999999999" customHeight="1" x14ac:dyDescent="0.3">
      <c r="A113" s="47" t="s">
        <v>821</v>
      </c>
      <c r="B113" s="48"/>
      <c r="C113" s="48"/>
      <c r="D113" s="48"/>
      <c r="E113" s="48"/>
      <c r="F113" s="48"/>
      <c r="G113" s="48"/>
      <c r="H113" s="49"/>
    </row>
    <row r="114" spans="1:8" ht="15" customHeight="1" thickBot="1" x14ac:dyDescent="0.35">
      <c r="A114" s="58" t="s">
        <v>782</v>
      </c>
      <c r="B114" s="59"/>
      <c r="C114" s="59"/>
      <c r="D114" s="59"/>
      <c r="E114" s="59"/>
      <c r="F114" s="59"/>
      <c r="G114" s="59"/>
      <c r="H114" s="60"/>
    </row>
  </sheetData>
  <mergeCells count="56">
    <mergeCell ref="H87:H88"/>
    <mergeCell ref="B99:B100"/>
    <mergeCell ref="C99:C100"/>
    <mergeCell ref="D99:D100"/>
    <mergeCell ref="E99:E100"/>
    <mergeCell ref="F99:F100"/>
    <mergeCell ref="G99:G100"/>
    <mergeCell ref="H99:H100"/>
    <mergeCell ref="B87:B88"/>
    <mergeCell ref="C87:C88"/>
    <mergeCell ref="D87:D88"/>
    <mergeCell ref="E87:E88"/>
    <mergeCell ref="F87:F88"/>
    <mergeCell ref="G87:G88"/>
    <mergeCell ref="H61:H62"/>
    <mergeCell ref="B77:B78"/>
    <mergeCell ref="C77:C78"/>
    <mergeCell ref="D77:D78"/>
    <mergeCell ref="E77:E78"/>
    <mergeCell ref="F77:F78"/>
    <mergeCell ref="G77:G78"/>
    <mergeCell ref="H77:H78"/>
    <mergeCell ref="B61:B62"/>
    <mergeCell ref="C61:C62"/>
    <mergeCell ref="D61:D62"/>
    <mergeCell ref="E61:E62"/>
    <mergeCell ref="F61:F62"/>
    <mergeCell ref="G61:G62"/>
    <mergeCell ref="G52:G53"/>
    <mergeCell ref="H52:H53"/>
    <mergeCell ref="H8:H9"/>
    <mergeCell ref="B28:B29"/>
    <mergeCell ref="C28:C29"/>
    <mergeCell ref="D28:D29"/>
    <mergeCell ref="E28:E29"/>
    <mergeCell ref="F28:F29"/>
    <mergeCell ref="G28:G29"/>
    <mergeCell ref="H28:H29"/>
    <mergeCell ref="B52:B53"/>
    <mergeCell ref="C52:C53"/>
    <mergeCell ref="D52:D53"/>
    <mergeCell ref="E52:E53"/>
    <mergeCell ref="F52:F53"/>
    <mergeCell ref="G3:G6"/>
    <mergeCell ref="B8:B9"/>
    <mergeCell ref="C8:C9"/>
    <mergeCell ref="D8:D9"/>
    <mergeCell ref="E8:E9"/>
    <mergeCell ref="F8:F9"/>
    <mergeCell ref="G8:G9"/>
    <mergeCell ref="F3:F6"/>
    <mergeCell ref="A3:A6"/>
    <mergeCell ref="B3:B6"/>
    <mergeCell ref="C3:C6"/>
    <mergeCell ref="D3:D6"/>
    <mergeCell ref="E3:E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34C5A-695B-41ED-936F-46D763AA5A70}">
  <dimension ref="A1:M116"/>
  <sheetViews>
    <sheetView workbookViewId="0">
      <selection activeCell="W20" sqref="W20"/>
    </sheetView>
  </sheetViews>
  <sheetFormatPr defaultRowHeight="14.4" x14ac:dyDescent="0.3"/>
  <cols>
    <col min="2" max="2" width="8.88671875" customWidth="1"/>
  </cols>
  <sheetData>
    <row r="1" spans="1:13" x14ac:dyDescent="0.3">
      <c r="A1" s="86"/>
      <c r="B1" s="242" t="s">
        <v>1201</v>
      </c>
      <c r="C1" s="243"/>
      <c r="D1" s="243"/>
      <c r="E1" s="243"/>
      <c r="F1" s="243"/>
      <c r="G1" s="244"/>
      <c r="H1" s="243"/>
      <c r="I1" s="243"/>
    </row>
    <row r="2" spans="1:13" ht="15" thickBot="1" x14ac:dyDescent="0.35">
      <c r="A2" s="87"/>
      <c r="B2" s="245"/>
      <c r="C2" s="246"/>
      <c r="D2" s="246"/>
      <c r="E2" s="246"/>
      <c r="F2" s="246"/>
      <c r="G2" s="247"/>
      <c r="H2" s="246"/>
      <c r="I2" s="246"/>
    </row>
    <row r="3" spans="1:13" ht="15" thickBot="1" x14ac:dyDescent="0.35">
      <c r="A3" s="66"/>
      <c r="B3" s="35">
        <v>2018</v>
      </c>
      <c r="C3" s="35" t="s">
        <v>831</v>
      </c>
      <c r="D3" s="35">
        <v>2021</v>
      </c>
      <c r="E3" s="35">
        <v>2022</v>
      </c>
      <c r="F3" s="35">
        <v>2023</v>
      </c>
      <c r="G3" s="4"/>
      <c r="H3" s="4"/>
      <c r="I3" s="4"/>
      <c r="J3" s="35"/>
      <c r="K3" s="35"/>
      <c r="L3" s="35"/>
      <c r="M3" s="35"/>
    </row>
    <row r="4" spans="1:13" ht="19.2" x14ac:dyDescent="0.3">
      <c r="A4" s="5" t="s">
        <v>4</v>
      </c>
      <c r="B4" s="6" t="s">
        <v>1062</v>
      </c>
      <c r="C4" s="6">
        <v>707.1</v>
      </c>
      <c r="D4" s="6" t="s">
        <v>832</v>
      </c>
      <c r="E4" s="6" t="s">
        <v>833</v>
      </c>
      <c r="F4" s="41">
        <v>4021.6</v>
      </c>
      <c r="G4" s="6"/>
      <c r="H4" s="6"/>
      <c r="I4" s="6"/>
      <c r="J4" s="6"/>
      <c r="K4" s="6"/>
      <c r="L4" s="6"/>
      <c r="M4" s="41"/>
    </row>
    <row r="5" spans="1:13" ht="19.2" x14ac:dyDescent="0.3">
      <c r="A5" s="8" t="s">
        <v>5</v>
      </c>
      <c r="B5" s="230">
        <v>742</v>
      </c>
      <c r="C5" s="230">
        <v>168.2</v>
      </c>
      <c r="D5" s="230">
        <v>676.7</v>
      </c>
      <c r="E5" s="230">
        <v>720.6</v>
      </c>
      <c r="F5" s="234">
        <v>704.5</v>
      </c>
      <c r="G5" s="230"/>
      <c r="H5" s="230"/>
      <c r="I5" s="230"/>
      <c r="J5" s="6"/>
      <c r="K5" s="6"/>
      <c r="L5" s="6"/>
      <c r="M5" s="7"/>
    </row>
    <row r="6" spans="1:13" ht="19.2" x14ac:dyDescent="0.3">
      <c r="A6" s="8" t="s">
        <v>6</v>
      </c>
      <c r="B6" s="230"/>
      <c r="C6" s="230"/>
      <c r="D6" s="230"/>
      <c r="E6" s="230"/>
      <c r="F6" s="234"/>
      <c r="G6" s="230"/>
      <c r="H6" s="230"/>
      <c r="I6" s="230"/>
      <c r="J6" s="6"/>
      <c r="K6" s="6"/>
      <c r="L6" s="6"/>
      <c r="M6" s="7"/>
    </row>
    <row r="7" spans="1:13" ht="19.2" x14ac:dyDescent="0.3">
      <c r="A7" s="10" t="s">
        <v>7</v>
      </c>
      <c r="B7" s="11">
        <v>80.2</v>
      </c>
      <c r="C7" s="11">
        <v>16.2</v>
      </c>
      <c r="D7" s="11">
        <v>95.5</v>
      </c>
      <c r="E7" s="11">
        <v>89.6</v>
      </c>
      <c r="F7" s="12">
        <v>59.5</v>
      </c>
      <c r="G7" s="11"/>
      <c r="H7" s="11"/>
      <c r="I7" s="11"/>
      <c r="J7" s="11"/>
      <c r="K7" s="11"/>
      <c r="L7" s="11"/>
      <c r="M7" s="12"/>
    </row>
    <row r="8" spans="1:13" ht="19.2" x14ac:dyDescent="0.3">
      <c r="A8" s="10" t="s">
        <v>8</v>
      </c>
      <c r="B8" s="11">
        <v>36.4</v>
      </c>
      <c r="C8" s="11">
        <v>17.8</v>
      </c>
      <c r="D8" s="11">
        <v>32.799999999999997</v>
      </c>
      <c r="E8" s="11">
        <v>32.9</v>
      </c>
      <c r="F8" s="12">
        <v>33.1</v>
      </c>
      <c r="G8" s="11"/>
      <c r="H8" s="11"/>
      <c r="I8" s="11"/>
      <c r="J8" s="11"/>
      <c r="K8" s="11"/>
      <c r="L8" s="11"/>
      <c r="M8" s="12"/>
    </row>
    <row r="9" spans="1:13" ht="19.2" x14ac:dyDescent="0.3">
      <c r="A9" s="10" t="s">
        <v>9</v>
      </c>
      <c r="B9" s="11">
        <v>46.7</v>
      </c>
      <c r="C9" s="11" t="s">
        <v>44</v>
      </c>
      <c r="D9" s="11">
        <v>40.700000000000003</v>
      </c>
      <c r="E9" s="11">
        <v>45.7</v>
      </c>
      <c r="F9" s="12">
        <v>46.3</v>
      </c>
      <c r="G9" s="11"/>
      <c r="H9" s="11"/>
      <c r="I9" s="11"/>
      <c r="J9" s="11"/>
      <c r="K9" s="11"/>
      <c r="L9" s="11"/>
      <c r="M9" s="12"/>
    </row>
    <row r="10" spans="1:13" ht="19.2" x14ac:dyDescent="0.3">
      <c r="A10" s="10" t="s">
        <v>12</v>
      </c>
      <c r="B10" s="11">
        <v>61.2</v>
      </c>
      <c r="C10" s="11">
        <v>15.1</v>
      </c>
      <c r="D10" s="11">
        <v>47.8</v>
      </c>
      <c r="E10" s="11">
        <v>62.8</v>
      </c>
      <c r="F10" s="12">
        <v>69.400000000000006</v>
      </c>
      <c r="G10" s="11"/>
      <c r="H10" s="11"/>
      <c r="I10" s="11"/>
      <c r="J10" s="11"/>
      <c r="K10" s="11"/>
      <c r="L10" s="11"/>
      <c r="M10" s="12"/>
    </row>
    <row r="11" spans="1:13" ht="19.2" x14ac:dyDescent="0.3">
      <c r="A11" s="10" t="s">
        <v>13</v>
      </c>
      <c r="B11" s="11">
        <v>21.2</v>
      </c>
      <c r="C11" s="11">
        <v>0.6</v>
      </c>
      <c r="D11" s="11">
        <v>23.2</v>
      </c>
      <c r="E11" s="11">
        <v>25.7</v>
      </c>
      <c r="F11" s="12">
        <v>25.4</v>
      </c>
      <c r="G11" s="11"/>
      <c r="H11" s="11"/>
      <c r="I11" s="11"/>
      <c r="J11" s="11"/>
      <c r="K11" s="11"/>
      <c r="L11" s="11"/>
      <c r="M11" s="12"/>
    </row>
    <row r="12" spans="1:13" ht="19.2" x14ac:dyDescent="0.3">
      <c r="A12" s="10" t="s">
        <v>14</v>
      </c>
      <c r="B12" s="11">
        <v>26</v>
      </c>
      <c r="C12" s="11" t="s">
        <v>44</v>
      </c>
      <c r="D12" s="11">
        <v>22.8</v>
      </c>
      <c r="E12" s="11">
        <v>25.8</v>
      </c>
      <c r="F12" s="12">
        <v>27</v>
      </c>
      <c r="G12" s="11"/>
      <c r="H12" s="11"/>
      <c r="I12" s="11"/>
      <c r="J12" s="11"/>
      <c r="K12" s="11"/>
      <c r="L12" s="11"/>
      <c r="M12" s="12"/>
    </row>
    <row r="13" spans="1:13" ht="19.2" x14ac:dyDescent="0.3">
      <c r="A13" s="10" t="s">
        <v>16</v>
      </c>
      <c r="B13" s="11">
        <v>21.6</v>
      </c>
      <c r="C13" s="11">
        <v>16.3</v>
      </c>
      <c r="D13" s="11">
        <v>20.9</v>
      </c>
      <c r="E13" s="11">
        <v>21.5</v>
      </c>
      <c r="F13" s="12">
        <v>25.1</v>
      </c>
      <c r="G13" s="11"/>
      <c r="H13" s="11"/>
      <c r="I13" s="11"/>
      <c r="J13" s="11"/>
      <c r="K13" s="11"/>
      <c r="L13" s="11"/>
      <c r="M13" s="12"/>
    </row>
    <row r="14" spans="1:13" ht="19.2" x14ac:dyDescent="0.3">
      <c r="A14" s="10" t="s">
        <v>18</v>
      </c>
      <c r="B14" s="11">
        <v>34</v>
      </c>
      <c r="C14" s="11">
        <v>21.9</v>
      </c>
      <c r="D14" s="11">
        <v>38.200000000000003</v>
      </c>
      <c r="E14" s="11">
        <v>32.1</v>
      </c>
      <c r="F14" s="12">
        <v>29</v>
      </c>
      <c r="G14" s="11"/>
      <c r="H14" s="11"/>
      <c r="I14" s="11"/>
      <c r="J14" s="11"/>
      <c r="K14" s="11"/>
      <c r="L14" s="11"/>
      <c r="M14" s="12"/>
    </row>
    <row r="15" spans="1:13" ht="19.2" x14ac:dyDescent="0.3">
      <c r="A15" s="10" t="s">
        <v>19</v>
      </c>
      <c r="B15" s="11">
        <v>46.3</v>
      </c>
      <c r="C15" s="11">
        <v>19.2</v>
      </c>
      <c r="D15" s="11">
        <v>38.1</v>
      </c>
      <c r="E15" s="11">
        <v>42.1</v>
      </c>
      <c r="F15" s="12">
        <v>43.8</v>
      </c>
      <c r="G15" s="11"/>
      <c r="H15" s="11"/>
      <c r="I15" s="11"/>
      <c r="J15" s="11"/>
      <c r="K15" s="11"/>
      <c r="L15" s="11"/>
      <c r="M15" s="12"/>
    </row>
    <row r="16" spans="1:13" ht="19.2" x14ac:dyDescent="0.3">
      <c r="A16" s="10" t="s">
        <v>20</v>
      </c>
      <c r="B16" s="11">
        <v>103.9</v>
      </c>
      <c r="C16" s="11">
        <v>24</v>
      </c>
      <c r="D16" s="11">
        <v>86.5</v>
      </c>
      <c r="E16" s="11">
        <v>108</v>
      </c>
      <c r="F16" s="12">
        <v>104.8</v>
      </c>
      <c r="G16" s="11"/>
      <c r="H16" s="11"/>
      <c r="I16" s="11"/>
      <c r="J16" s="11"/>
      <c r="K16" s="11"/>
      <c r="L16" s="11"/>
      <c r="M16" s="12"/>
    </row>
    <row r="17" spans="1:13" ht="19.2" x14ac:dyDescent="0.3">
      <c r="A17" s="10" t="s">
        <v>21</v>
      </c>
      <c r="B17" s="11">
        <v>25.2</v>
      </c>
      <c r="C17" s="11">
        <v>0.3</v>
      </c>
      <c r="D17" s="11">
        <v>21.3</v>
      </c>
      <c r="E17" s="11">
        <v>22.1</v>
      </c>
      <c r="F17" s="12">
        <v>23.7</v>
      </c>
      <c r="G17" s="11"/>
      <c r="H17" s="11"/>
      <c r="I17" s="11"/>
      <c r="J17" s="11"/>
      <c r="K17" s="11"/>
      <c r="L17" s="11"/>
      <c r="M17" s="12"/>
    </row>
    <row r="18" spans="1:13" ht="19.2" x14ac:dyDescent="0.3">
      <c r="A18" s="10" t="s">
        <v>22</v>
      </c>
      <c r="B18" s="11">
        <v>25.7</v>
      </c>
      <c r="C18" s="11">
        <v>8.5</v>
      </c>
      <c r="D18" s="11">
        <v>18.7</v>
      </c>
      <c r="E18" s="11">
        <v>21.5</v>
      </c>
      <c r="F18" s="12">
        <v>20.7</v>
      </c>
      <c r="G18" s="11"/>
      <c r="H18" s="11"/>
      <c r="I18" s="11"/>
      <c r="J18" s="11"/>
      <c r="K18" s="11"/>
      <c r="L18" s="11"/>
      <c r="M18" s="12"/>
    </row>
    <row r="19" spans="1:13" ht="19.2" x14ac:dyDescent="0.3">
      <c r="A19" s="10" t="s">
        <v>23</v>
      </c>
      <c r="B19" s="11">
        <v>16.7</v>
      </c>
      <c r="C19" s="11" t="s">
        <v>44</v>
      </c>
      <c r="D19" s="11">
        <v>12.4</v>
      </c>
      <c r="E19" s="11">
        <v>13.9</v>
      </c>
      <c r="F19" s="12">
        <v>14</v>
      </c>
      <c r="G19" s="11"/>
      <c r="H19" s="11"/>
      <c r="I19" s="11"/>
      <c r="J19" s="11"/>
      <c r="K19" s="11"/>
      <c r="L19" s="11"/>
      <c r="M19" s="12"/>
    </row>
    <row r="20" spans="1:13" ht="19.2" x14ac:dyDescent="0.3">
      <c r="A20" s="10" t="s">
        <v>24</v>
      </c>
      <c r="B20" s="11">
        <v>56</v>
      </c>
      <c r="C20" s="11">
        <v>4.8</v>
      </c>
      <c r="D20" s="11">
        <v>48.4</v>
      </c>
      <c r="E20" s="11">
        <v>48.4</v>
      </c>
      <c r="F20" s="12">
        <v>48.9</v>
      </c>
      <c r="G20" s="11"/>
      <c r="H20" s="11"/>
      <c r="I20" s="11"/>
      <c r="J20" s="11"/>
      <c r="K20" s="11"/>
      <c r="L20" s="11"/>
      <c r="M20" s="12"/>
    </row>
    <row r="21" spans="1:13" ht="19.2" x14ac:dyDescent="0.3">
      <c r="A21" s="10" t="s">
        <v>25</v>
      </c>
      <c r="B21" s="11">
        <v>55.1</v>
      </c>
      <c r="C21" s="11">
        <v>7</v>
      </c>
      <c r="D21" s="11">
        <v>46.2</v>
      </c>
      <c r="E21" s="11">
        <v>50.7</v>
      </c>
      <c r="F21" s="12">
        <v>55.5</v>
      </c>
      <c r="G21" s="11"/>
      <c r="H21" s="11"/>
      <c r="I21" s="11"/>
      <c r="J21" s="11"/>
      <c r="K21" s="11"/>
      <c r="L21" s="11"/>
      <c r="M21" s="12"/>
    </row>
    <row r="22" spans="1:13" ht="19.2" x14ac:dyDescent="0.3">
      <c r="A22" s="10" t="s">
        <v>26</v>
      </c>
      <c r="B22" s="11">
        <v>42</v>
      </c>
      <c r="C22" s="11" t="s">
        <v>44</v>
      </c>
      <c r="D22" s="11">
        <v>36.1</v>
      </c>
      <c r="E22" s="11">
        <v>31.3</v>
      </c>
      <c r="F22" s="12">
        <v>31.3</v>
      </c>
      <c r="G22" s="11"/>
      <c r="H22" s="11"/>
      <c r="I22" s="11"/>
      <c r="J22" s="11"/>
      <c r="K22" s="11"/>
      <c r="L22" s="11"/>
      <c r="M22" s="12"/>
    </row>
    <row r="23" spans="1:13" ht="19.2" x14ac:dyDescent="0.3">
      <c r="A23" s="10" t="s">
        <v>28</v>
      </c>
      <c r="B23" s="11">
        <v>40.299999999999997</v>
      </c>
      <c r="C23" s="11">
        <v>15.7</v>
      </c>
      <c r="D23" s="11">
        <v>39.5</v>
      </c>
      <c r="E23" s="11">
        <v>45.1</v>
      </c>
      <c r="F23" s="12">
        <v>46</v>
      </c>
      <c r="G23" s="11"/>
      <c r="H23" s="11"/>
      <c r="I23" s="11"/>
      <c r="J23" s="11"/>
      <c r="K23" s="11"/>
      <c r="L23" s="11"/>
      <c r="M23" s="12"/>
    </row>
    <row r="24" spans="1:13" x14ac:dyDescent="0.3">
      <c r="A24" s="10" t="s">
        <v>31</v>
      </c>
      <c r="B24" s="11">
        <v>3.7</v>
      </c>
      <c r="C24" s="11">
        <v>0.9</v>
      </c>
      <c r="D24" s="11">
        <v>7.6</v>
      </c>
      <c r="E24" s="11">
        <v>1.3</v>
      </c>
      <c r="F24" s="12">
        <v>1.1000000000000001</v>
      </c>
      <c r="G24" s="11"/>
      <c r="H24" s="11"/>
      <c r="I24" s="11"/>
      <c r="J24" s="11"/>
      <c r="K24" s="11"/>
      <c r="L24" s="11"/>
      <c r="M24" s="12"/>
    </row>
    <row r="25" spans="1:13" ht="19.2" x14ac:dyDescent="0.3">
      <c r="A25" s="8" t="s">
        <v>33</v>
      </c>
      <c r="B25" s="230">
        <v>278</v>
      </c>
      <c r="C25" s="230">
        <v>62.5</v>
      </c>
      <c r="D25" s="230">
        <v>234.6</v>
      </c>
      <c r="E25" s="230">
        <v>258.10000000000002</v>
      </c>
      <c r="F25" s="234">
        <v>275.7</v>
      </c>
      <c r="G25" s="230"/>
      <c r="H25" s="230"/>
      <c r="I25" s="230"/>
      <c r="J25" s="6"/>
      <c r="K25" s="6"/>
      <c r="L25" s="6"/>
      <c r="M25" s="7"/>
    </row>
    <row r="26" spans="1:13" ht="19.2" x14ac:dyDescent="0.3">
      <c r="A26" s="8" t="s">
        <v>6</v>
      </c>
      <c r="B26" s="230"/>
      <c r="C26" s="230"/>
      <c r="D26" s="230"/>
      <c r="E26" s="230"/>
      <c r="F26" s="234"/>
      <c r="G26" s="230"/>
      <c r="H26" s="230"/>
      <c r="I26" s="230"/>
      <c r="J26" s="6"/>
      <c r="K26" s="6"/>
      <c r="L26" s="6"/>
      <c r="M26" s="7"/>
    </row>
    <row r="27" spans="1:13" ht="19.2" x14ac:dyDescent="0.3">
      <c r="A27" s="10" t="s">
        <v>36</v>
      </c>
      <c r="B27" s="11">
        <v>5.3</v>
      </c>
      <c r="C27" s="11">
        <v>1.2</v>
      </c>
      <c r="D27" s="11">
        <v>3.7</v>
      </c>
      <c r="E27" s="11">
        <v>4.5</v>
      </c>
      <c r="F27" s="12">
        <v>4.5</v>
      </c>
      <c r="G27" s="11"/>
      <c r="H27" s="11"/>
      <c r="I27" s="11"/>
      <c r="J27" s="11"/>
      <c r="K27" s="11"/>
      <c r="L27" s="11"/>
      <c r="M27" s="12"/>
    </row>
    <row r="28" spans="1:13" ht="19.2" x14ac:dyDescent="0.3">
      <c r="A28" s="10" t="s">
        <v>38</v>
      </c>
      <c r="B28" s="11">
        <v>24.4</v>
      </c>
      <c r="C28" s="11">
        <v>10.1</v>
      </c>
      <c r="D28" s="11">
        <v>26.1</v>
      </c>
      <c r="E28" s="11">
        <v>27.1</v>
      </c>
      <c r="F28" s="12">
        <v>28.9</v>
      </c>
      <c r="G28" s="11"/>
      <c r="H28" s="11"/>
      <c r="I28" s="11"/>
      <c r="J28" s="11"/>
      <c r="K28" s="11"/>
      <c r="L28" s="11"/>
      <c r="M28" s="12"/>
    </row>
    <row r="29" spans="1:13" ht="19.2" x14ac:dyDescent="0.3">
      <c r="A29" s="10" t="s">
        <v>40</v>
      </c>
      <c r="B29" s="11">
        <v>35.1</v>
      </c>
      <c r="C29" s="11" t="s">
        <v>44</v>
      </c>
      <c r="D29" s="11">
        <v>28.4</v>
      </c>
      <c r="E29" s="11">
        <v>29.9</v>
      </c>
      <c r="F29" s="12">
        <v>31.7</v>
      </c>
      <c r="G29" s="11"/>
      <c r="H29" s="11"/>
      <c r="I29" s="11"/>
      <c r="J29" s="11"/>
      <c r="K29" s="11"/>
      <c r="L29" s="11"/>
      <c r="M29" s="12"/>
    </row>
    <row r="30" spans="1:13" ht="19.2" x14ac:dyDescent="0.3">
      <c r="A30" s="14" t="s">
        <v>42</v>
      </c>
      <c r="B30" s="11"/>
      <c r="C30" s="11"/>
      <c r="D30" s="11"/>
      <c r="E30" s="11"/>
      <c r="F30" s="12"/>
      <c r="G30" s="11"/>
      <c r="H30" s="11"/>
      <c r="I30" s="11"/>
      <c r="J30" s="11"/>
      <c r="K30" s="11"/>
      <c r="L30" s="11"/>
      <c r="M30" s="12"/>
    </row>
    <row r="31" spans="1:13" ht="28.8" x14ac:dyDescent="0.3">
      <c r="A31" s="15" t="s">
        <v>43</v>
      </c>
      <c r="B31" s="11">
        <v>1.7</v>
      </c>
      <c r="C31" s="11" t="s">
        <v>44</v>
      </c>
      <c r="D31" s="11">
        <v>1.7</v>
      </c>
      <c r="E31" s="11">
        <v>1.8</v>
      </c>
      <c r="F31" s="12">
        <v>1.8</v>
      </c>
      <c r="G31" s="11"/>
      <c r="H31" s="11"/>
      <c r="I31" s="11"/>
      <c r="J31" s="11"/>
      <c r="K31" s="11"/>
      <c r="L31" s="11"/>
      <c r="M31" s="12"/>
    </row>
    <row r="32" spans="1:13" ht="57.6" x14ac:dyDescent="0.3">
      <c r="A32" s="15" t="s">
        <v>45</v>
      </c>
      <c r="B32" s="11">
        <v>33.4</v>
      </c>
      <c r="C32" s="11" t="s">
        <v>44</v>
      </c>
      <c r="D32" s="11">
        <v>26.7</v>
      </c>
      <c r="E32" s="11">
        <v>28.1</v>
      </c>
      <c r="F32" s="12">
        <v>29.9</v>
      </c>
      <c r="G32" s="267"/>
      <c r="H32" s="267"/>
      <c r="I32" s="267"/>
      <c r="J32" s="11"/>
      <c r="K32" s="11"/>
      <c r="L32" s="11"/>
      <c r="M32" s="12"/>
    </row>
    <row r="33" spans="1:13" ht="19.2" x14ac:dyDescent="0.3">
      <c r="A33" s="10" t="s">
        <v>47</v>
      </c>
      <c r="B33" s="11">
        <v>31</v>
      </c>
      <c r="C33" s="11">
        <v>6.2</v>
      </c>
      <c r="D33" s="11">
        <v>27.7</v>
      </c>
      <c r="E33" s="11">
        <v>31.7</v>
      </c>
      <c r="F33" s="12">
        <v>33.1</v>
      </c>
      <c r="G33" s="267"/>
      <c r="H33" s="267"/>
      <c r="I33" s="267"/>
      <c r="J33" s="11"/>
      <c r="K33" s="11"/>
      <c r="L33" s="11"/>
      <c r="M33" s="12"/>
    </row>
    <row r="34" spans="1:13" ht="28.8" x14ac:dyDescent="0.3">
      <c r="A34" s="10" t="s">
        <v>1064</v>
      </c>
      <c r="B34" s="11">
        <v>43.8</v>
      </c>
      <c r="C34" s="11">
        <v>30.5</v>
      </c>
      <c r="D34" s="11">
        <v>40.799999999999997</v>
      </c>
      <c r="E34" s="11">
        <v>44.3</v>
      </c>
      <c r="F34" s="12">
        <v>46.1</v>
      </c>
      <c r="G34" s="11"/>
      <c r="H34" s="11"/>
      <c r="I34" s="11"/>
      <c r="J34" s="11"/>
      <c r="K34" s="11"/>
      <c r="L34" s="11"/>
      <c r="M34" s="12"/>
    </row>
    <row r="35" spans="1:13" ht="19.2" x14ac:dyDescent="0.3">
      <c r="A35" s="10" t="s">
        <v>51</v>
      </c>
      <c r="B35" s="11">
        <v>69.900000000000006</v>
      </c>
      <c r="C35" s="11">
        <v>6.4</v>
      </c>
      <c r="D35" s="11">
        <v>48.4</v>
      </c>
      <c r="E35" s="11">
        <v>58.9</v>
      </c>
      <c r="F35" s="12">
        <v>60.5</v>
      </c>
      <c r="G35" s="11"/>
      <c r="H35" s="11"/>
      <c r="I35" s="11"/>
      <c r="J35" s="11"/>
      <c r="K35" s="11"/>
      <c r="L35" s="11"/>
      <c r="M35" s="12"/>
    </row>
    <row r="36" spans="1:13" ht="19.2" x14ac:dyDescent="0.3">
      <c r="A36" s="10" t="s">
        <v>52</v>
      </c>
      <c r="B36" s="11">
        <v>7.4</v>
      </c>
      <c r="C36" s="11">
        <v>1.3</v>
      </c>
      <c r="D36" s="11">
        <v>6.8</v>
      </c>
      <c r="E36" s="11">
        <v>7.1</v>
      </c>
      <c r="F36" s="12">
        <v>7.3</v>
      </c>
      <c r="G36" s="11"/>
      <c r="H36" s="11"/>
      <c r="I36" s="11"/>
      <c r="J36" s="11"/>
      <c r="K36" s="11"/>
      <c r="L36" s="11"/>
      <c r="M36" s="12"/>
    </row>
    <row r="37" spans="1:13" ht="19.2" x14ac:dyDescent="0.3">
      <c r="A37" s="10" t="s">
        <v>53</v>
      </c>
      <c r="B37" s="11">
        <v>19.3</v>
      </c>
      <c r="C37" s="11">
        <v>0.3</v>
      </c>
      <c r="D37" s="11">
        <v>15.7</v>
      </c>
      <c r="E37" s="11">
        <v>15.9</v>
      </c>
      <c r="F37" s="12">
        <v>16.399999999999999</v>
      </c>
      <c r="G37" s="11"/>
      <c r="H37" s="11"/>
      <c r="I37" s="11"/>
      <c r="J37" s="11"/>
      <c r="K37" s="11"/>
      <c r="L37" s="11"/>
      <c r="M37" s="12"/>
    </row>
    <row r="38" spans="1:13" ht="19.2" x14ac:dyDescent="0.3">
      <c r="A38" s="10" t="s">
        <v>55</v>
      </c>
      <c r="B38" s="11">
        <v>11.4</v>
      </c>
      <c r="C38" s="11">
        <v>4.2</v>
      </c>
      <c r="D38" s="11">
        <v>10.7</v>
      </c>
      <c r="E38" s="11">
        <v>11</v>
      </c>
      <c r="F38" s="12">
        <v>12</v>
      </c>
      <c r="G38" s="11"/>
      <c r="H38" s="11"/>
      <c r="I38" s="11"/>
      <c r="J38" s="11"/>
      <c r="K38" s="11"/>
      <c r="L38" s="11"/>
      <c r="M38" s="12"/>
    </row>
    <row r="39" spans="1:13" ht="19.2" x14ac:dyDescent="0.3">
      <c r="A39" s="10" t="s">
        <v>57</v>
      </c>
      <c r="B39" s="11">
        <v>30.5</v>
      </c>
      <c r="C39" s="11">
        <v>2.2000000000000002</v>
      </c>
      <c r="D39" s="11">
        <v>26.3</v>
      </c>
      <c r="E39" s="11">
        <v>27.8</v>
      </c>
      <c r="F39" s="12">
        <v>35.200000000000003</v>
      </c>
      <c r="G39" s="11"/>
      <c r="H39" s="11"/>
      <c r="I39" s="11"/>
      <c r="J39" s="11"/>
      <c r="K39" s="11"/>
      <c r="L39" s="11"/>
      <c r="M39" s="12"/>
    </row>
    <row r="40" spans="1:13" x14ac:dyDescent="0.3">
      <c r="A40" s="8" t="s">
        <v>60</v>
      </c>
      <c r="B40" s="230">
        <v>448.8</v>
      </c>
      <c r="C40" s="230">
        <v>101.8</v>
      </c>
      <c r="D40" s="230">
        <v>382</v>
      </c>
      <c r="E40" s="230">
        <v>392.7</v>
      </c>
      <c r="F40" s="234">
        <v>427.6</v>
      </c>
      <c r="G40" s="11"/>
      <c r="H40" s="11"/>
      <c r="I40" s="11"/>
      <c r="J40" s="6"/>
      <c r="K40" s="6"/>
      <c r="L40" s="6"/>
      <c r="M40" s="7"/>
    </row>
    <row r="41" spans="1:13" ht="19.2" x14ac:dyDescent="0.3">
      <c r="A41" s="8" t="s">
        <v>6</v>
      </c>
      <c r="B41" s="230"/>
      <c r="C41" s="230"/>
      <c r="D41" s="230"/>
      <c r="E41" s="230"/>
      <c r="F41" s="234"/>
      <c r="G41" s="230"/>
      <c r="H41" s="230"/>
      <c r="I41" s="230"/>
      <c r="J41" s="6"/>
      <c r="K41" s="6"/>
      <c r="L41" s="6"/>
      <c r="M41" s="7"/>
    </row>
    <row r="42" spans="1:13" ht="19.2" x14ac:dyDescent="0.3">
      <c r="A42" s="10" t="s">
        <v>61</v>
      </c>
      <c r="B42" s="11">
        <v>4.9000000000000004</v>
      </c>
      <c r="C42" s="11" t="s">
        <v>44</v>
      </c>
      <c r="D42" s="11">
        <v>5</v>
      </c>
      <c r="E42" s="11">
        <v>4.9000000000000004</v>
      </c>
      <c r="F42" s="12">
        <v>4.9000000000000004</v>
      </c>
      <c r="G42" s="230"/>
      <c r="H42" s="230"/>
      <c r="I42" s="230"/>
      <c r="J42" s="11"/>
      <c r="K42" s="11"/>
      <c r="L42" s="11"/>
      <c r="M42" s="12"/>
    </row>
    <row r="43" spans="1:13" ht="19.2" x14ac:dyDescent="0.3">
      <c r="A43" s="10" t="s">
        <v>62</v>
      </c>
      <c r="B43" s="11">
        <v>6.4</v>
      </c>
      <c r="C43" s="11" t="s">
        <v>44</v>
      </c>
      <c r="D43" s="11">
        <v>7.2</v>
      </c>
      <c r="E43" s="11">
        <v>7.7</v>
      </c>
      <c r="F43" s="12">
        <v>7.2</v>
      </c>
      <c r="G43" s="11"/>
      <c r="H43" s="11"/>
      <c r="I43" s="11"/>
      <c r="J43" s="11"/>
      <c r="K43" s="11"/>
      <c r="L43" s="11"/>
      <c r="M43" s="12"/>
    </row>
    <row r="44" spans="1:13" ht="19.2" x14ac:dyDescent="0.3">
      <c r="A44" s="10" t="s">
        <v>63</v>
      </c>
      <c r="B44" s="11">
        <v>58.8</v>
      </c>
      <c r="C44" s="11">
        <v>16.2</v>
      </c>
      <c r="D44" s="11">
        <v>45.5</v>
      </c>
      <c r="E44" s="11">
        <v>51.1</v>
      </c>
      <c r="F44" s="12">
        <v>67.7</v>
      </c>
      <c r="G44" s="11"/>
      <c r="H44" s="11"/>
      <c r="I44" s="11"/>
      <c r="J44" s="11"/>
      <c r="K44" s="11"/>
      <c r="L44" s="11"/>
      <c r="M44" s="12"/>
    </row>
    <row r="45" spans="1:13" ht="19.2" x14ac:dyDescent="0.3">
      <c r="A45" s="10" t="s">
        <v>65</v>
      </c>
      <c r="B45" s="11">
        <v>209.5</v>
      </c>
      <c r="C45" s="11">
        <v>23.5</v>
      </c>
      <c r="D45" s="11">
        <v>175.6</v>
      </c>
      <c r="E45" s="11">
        <v>181</v>
      </c>
      <c r="F45" s="12">
        <v>191.4</v>
      </c>
      <c r="G45" s="11"/>
      <c r="H45" s="11"/>
      <c r="I45" s="11"/>
      <c r="J45" s="11"/>
      <c r="K45" s="11"/>
      <c r="L45" s="11"/>
      <c r="M45" s="12"/>
    </row>
    <row r="46" spans="1:13" ht="19.2" x14ac:dyDescent="0.3">
      <c r="A46" s="10" t="s">
        <v>66</v>
      </c>
      <c r="B46" s="11">
        <v>18</v>
      </c>
      <c r="C46" s="11">
        <v>2.7</v>
      </c>
      <c r="D46" s="11">
        <v>12.3</v>
      </c>
      <c r="E46" s="11">
        <v>13.9</v>
      </c>
      <c r="F46" s="12">
        <v>14</v>
      </c>
      <c r="G46" s="11"/>
      <c r="H46" s="11"/>
      <c r="I46" s="11"/>
      <c r="J46" s="11"/>
      <c r="K46" s="11"/>
      <c r="L46" s="11"/>
      <c r="M46" s="12"/>
    </row>
    <row r="47" spans="1:13" ht="19.2" x14ac:dyDescent="0.3">
      <c r="A47" s="10" t="s">
        <v>67</v>
      </c>
      <c r="B47" s="11">
        <v>83.2</v>
      </c>
      <c r="C47" s="11">
        <v>6</v>
      </c>
      <c r="D47" s="11">
        <v>75.2</v>
      </c>
      <c r="E47" s="11">
        <v>73.599999999999994</v>
      </c>
      <c r="F47" s="12">
        <v>78.3</v>
      </c>
      <c r="G47" s="11"/>
      <c r="H47" s="11"/>
      <c r="I47" s="11"/>
      <c r="J47" s="11"/>
      <c r="K47" s="11"/>
      <c r="L47" s="11"/>
      <c r="M47" s="12"/>
    </row>
    <row r="48" spans="1:13" ht="19.2" x14ac:dyDescent="0.3">
      <c r="A48" s="10" t="s">
        <v>70</v>
      </c>
      <c r="B48" s="11">
        <v>60.4</v>
      </c>
      <c r="C48" s="11">
        <v>52</v>
      </c>
      <c r="D48" s="11">
        <v>56.3</v>
      </c>
      <c r="E48" s="11">
        <v>56.4</v>
      </c>
      <c r="F48" s="12">
        <v>59.3</v>
      </c>
      <c r="G48" s="11"/>
      <c r="H48" s="11"/>
      <c r="I48" s="11"/>
      <c r="J48" s="11"/>
      <c r="K48" s="11"/>
      <c r="L48" s="11"/>
      <c r="M48" s="12"/>
    </row>
    <row r="49" spans="1:13" ht="28.8" x14ac:dyDescent="0.3">
      <c r="A49" s="10" t="s">
        <v>71</v>
      </c>
      <c r="B49" s="11">
        <v>7.5</v>
      </c>
      <c r="C49" s="11">
        <v>1.4</v>
      </c>
      <c r="D49" s="11">
        <v>4.9000000000000004</v>
      </c>
      <c r="E49" s="11">
        <v>4.0999999999999996</v>
      </c>
      <c r="F49" s="12">
        <v>4.8</v>
      </c>
      <c r="G49" s="11"/>
      <c r="H49" s="11"/>
      <c r="I49" s="11"/>
      <c r="J49" s="11"/>
      <c r="K49" s="11"/>
      <c r="L49" s="11"/>
      <c r="M49" s="12"/>
    </row>
    <row r="50" spans="1:13" ht="19.2" x14ac:dyDescent="0.3">
      <c r="A50" s="8" t="s">
        <v>73</v>
      </c>
      <c r="B50" s="230">
        <v>149.80000000000001</v>
      </c>
      <c r="C50" s="230">
        <v>2.8</v>
      </c>
      <c r="D50" s="230">
        <v>126.8</v>
      </c>
      <c r="E50" s="230">
        <v>141.6</v>
      </c>
      <c r="F50" s="234">
        <v>142.9</v>
      </c>
      <c r="G50" s="11"/>
      <c r="H50" s="11"/>
      <c r="I50" s="11"/>
      <c r="J50" s="6"/>
      <c r="K50" s="6"/>
      <c r="L50" s="6"/>
      <c r="M50" s="7"/>
    </row>
    <row r="51" spans="1:13" ht="19.2" x14ac:dyDescent="0.3">
      <c r="A51" s="8" t="s">
        <v>6</v>
      </c>
      <c r="B51" s="230"/>
      <c r="C51" s="230"/>
      <c r="D51" s="230"/>
      <c r="E51" s="230"/>
      <c r="F51" s="234"/>
      <c r="G51" s="230"/>
      <c r="H51" s="230"/>
      <c r="I51" s="230"/>
      <c r="J51" s="6"/>
      <c r="K51" s="6"/>
      <c r="L51" s="6"/>
      <c r="M51" s="7"/>
    </row>
    <row r="52" spans="1:13" ht="19.2" x14ac:dyDescent="0.3">
      <c r="A52" s="10" t="s">
        <v>74</v>
      </c>
      <c r="B52" s="11">
        <v>12</v>
      </c>
      <c r="C52" s="11" t="s">
        <v>44</v>
      </c>
      <c r="D52" s="11">
        <v>19.2</v>
      </c>
      <c r="E52" s="11">
        <v>21</v>
      </c>
      <c r="F52" s="12">
        <v>26.4</v>
      </c>
      <c r="G52" s="230"/>
      <c r="H52" s="230"/>
      <c r="I52" s="230"/>
      <c r="J52" s="11"/>
      <c r="K52" s="11"/>
      <c r="L52" s="11"/>
      <c r="M52" s="12"/>
    </row>
    <row r="53" spans="1:13" ht="19.2" x14ac:dyDescent="0.3">
      <c r="A53" s="10" t="s">
        <v>250</v>
      </c>
      <c r="B53" s="11">
        <v>13.9</v>
      </c>
      <c r="C53" s="11" t="s">
        <v>44</v>
      </c>
      <c r="D53" s="11">
        <v>4.3</v>
      </c>
      <c r="E53" s="11">
        <v>4.9000000000000004</v>
      </c>
      <c r="F53" s="12">
        <v>3.7</v>
      </c>
      <c r="G53" s="11"/>
      <c r="H53" s="11"/>
      <c r="I53" s="11"/>
      <c r="J53" s="11"/>
      <c r="K53" s="11"/>
      <c r="L53" s="11"/>
      <c r="M53" s="12"/>
    </row>
    <row r="54" spans="1:13" ht="28.8" x14ac:dyDescent="0.3">
      <c r="A54" s="10" t="s">
        <v>76</v>
      </c>
      <c r="B54" s="11">
        <v>5.7</v>
      </c>
      <c r="C54" s="11">
        <v>0.3</v>
      </c>
      <c r="D54" s="11">
        <v>3.4</v>
      </c>
      <c r="E54" s="11">
        <v>2.7</v>
      </c>
      <c r="F54" s="12">
        <v>2.6</v>
      </c>
      <c r="G54" s="11"/>
      <c r="H54" s="11"/>
      <c r="I54" s="11"/>
      <c r="J54" s="11"/>
      <c r="K54" s="11"/>
      <c r="L54" s="11"/>
      <c r="M54" s="12"/>
    </row>
    <row r="55" spans="1:13" ht="28.8" x14ac:dyDescent="0.3">
      <c r="A55" s="10" t="s">
        <v>77</v>
      </c>
      <c r="B55" s="11">
        <v>6.5</v>
      </c>
      <c r="C55" s="11" t="s">
        <v>44</v>
      </c>
      <c r="D55" s="11">
        <v>6.6</v>
      </c>
      <c r="E55" s="11">
        <v>6.3</v>
      </c>
      <c r="F55" s="12">
        <v>6.6</v>
      </c>
      <c r="G55" s="267"/>
      <c r="H55" s="267"/>
      <c r="I55" s="267"/>
      <c r="J55" s="11"/>
      <c r="K55" s="11"/>
      <c r="L55" s="11"/>
      <c r="M55" s="12"/>
    </row>
    <row r="56" spans="1:13" ht="28.8" x14ac:dyDescent="0.3">
      <c r="A56" s="10" t="s">
        <v>1066</v>
      </c>
      <c r="B56" s="11"/>
      <c r="C56" s="11"/>
      <c r="D56" s="11">
        <v>14.6</v>
      </c>
      <c r="E56" s="11">
        <v>15</v>
      </c>
      <c r="F56" s="12">
        <v>16.5</v>
      </c>
      <c r="G56" s="267"/>
      <c r="H56" s="267"/>
      <c r="I56" s="267"/>
      <c r="J56" s="11"/>
      <c r="K56" s="11"/>
      <c r="L56" s="11"/>
      <c r="M56" s="12"/>
    </row>
    <row r="57" spans="1:13" ht="19.2" x14ac:dyDescent="0.3">
      <c r="A57" s="10" t="s">
        <v>78</v>
      </c>
      <c r="B57" s="11">
        <v>16.899999999999999</v>
      </c>
      <c r="C57" s="11" t="s">
        <v>44</v>
      </c>
      <c r="D57" s="11">
        <v>7.5</v>
      </c>
      <c r="E57" s="11">
        <v>12.1</v>
      </c>
      <c r="F57" s="12">
        <v>9</v>
      </c>
      <c r="G57" s="267"/>
      <c r="H57" s="267"/>
      <c r="I57" s="267"/>
      <c r="J57" s="11"/>
      <c r="K57" s="11"/>
      <c r="L57" s="11"/>
      <c r="M57" s="12"/>
    </row>
    <row r="58" spans="1:13" ht="19.8" thickBot="1" x14ac:dyDescent="0.35">
      <c r="A58" s="16" t="s">
        <v>79</v>
      </c>
      <c r="B58" s="17">
        <v>13.5</v>
      </c>
      <c r="C58" s="17" t="s">
        <v>44</v>
      </c>
      <c r="D58" s="17">
        <v>71.2</v>
      </c>
      <c r="E58" s="17">
        <v>79.7</v>
      </c>
      <c r="F58" s="18">
        <v>78.099999999999994</v>
      </c>
      <c r="G58" s="267"/>
      <c r="H58" s="267"/>
      <c r="I58" s="267"/>
      <c r="J58" s="17"/>
      <c r="K58" s="17"/>
      <c r="L58" s="17"/>
      <c r="M58" s="18"/>
    </row>
    <row r="59" spans="1:13" ht="19.2" x14ac:dyDescent="0.3">
      <c r="A59" s="20" t="s">
        <v>80</v>
      </c>
      <c r="B59" s="235" t="s">
        <v>1063</v>
      </c>
      <c r="C59" s="235">
        <v>113.8</v>
      </c>
      <c r="D59" s="235">
        <v>905.1</v>
      </c>
      <c r="E59" s="235">
        <v>964.1</v>
      </c>
      <c r="F59" s="237">
        <v>986.4</v>
      </c>
      <c r="G59" s="267"/>
      <c r="H59" s="267"/>
      <c r="I59" s="267"/>
    </row>
    <row r="60" spans="1:13" ht="19.2" x14ac:dyDescent="0.3">
      <c r="A60" s="8" t="s">
        <v>6</v>
      </c>
      <c r="B60" s="230"/>
      <c r="C60" s="230"/>
      <c r="D60" s="230"/>
      <c r="E60" s="230"/>
      <c r="F60" s="234"/>
      <c r="G60" s="267"/>
      <c r="H60" s="267"/>
      <c r="I60" s="267"/>
    </row>
    <row r="61" spans="1:13" ht="28.8" x14ac:dyDescent="0.3">
      <c r="A61" s="10" t="s">
        <v>81</v>
      </c>
      <c r="B61" s="11">
        <v>195.8</v>
      </c>
      <c r="C61" s="11" t="s">
        <v>44</v>
      </c>
      <c r="D61" s="11">
        <v>138.4</v>
      </c>
      <c r="E61" s="11">
        <v>162.30000000000001</v>
      </c>
      <c r="F61" s="12">
        <v>174.7</v>
      </c>
      <c r="G61" s="11"/>
      <c r="H61" s="11"/>
      <c r="I61" s="11"/>
    </row>
    <row r="62" spans="1:13" ht="19.8" thickBot="1" x14ac:dyDescent="0.35">
      <c r="A62" s="10" t="s">
        <v>82</v>
      </c>
      <c r="B62" s="11">
        <v>19.399999999999999</v>
      </c>
      <c r="C62" s="11">
        <v>1</v>
      </c>
      <c r="D62" s="11">
        <v>18.899999999999999</v>
      </c>
      <c r="E62" s="11">
        <v>21.9</v>
      </c>
      <c r="F62" s="12">
        <v>22.1</v>
      </c>
      <c r="G62" s="17"/>
      <c r="H62" s="17"/>
      <c r="I62" s="17"/>
    </row>
    <row r="63" spans="1:13" ht="19.2" x14ac:dyDescent="0.3">
      <c r="A63" s="10" t="s">
        <v>83</v>
      </c>
      <c r="B63" s="11">
        <v>23.7</v>
      </c>
      <c r="C63" s="11" t="s">
        <v>44</v>
      </c>
      <c r="D63" s="11">
        <v>19.399999999999999</v>
      </c>
      <c r="E63" s="11">
        <v>24.9</v>
      </c>
      <c r="F63" s="12">
        <v>23.6</v>
      </c>
      <c r="G63" s="235"/>
      <c r="H63" s="235"/>
      <c r="I63" s="235"/>
    </row>
    <row r="64" spans="1:13" ht="19.2" x14ac:dyDescent="0.3">
      <c r="A64" s="10" t="s">
        <v>84</v>
      </c>
      <c r="B64" s="11">
        <v>151.80000000000001</v>
      </c>
      <c r="C64" s="11">
        <v>36.6</v>
      </c>
      <c r="D64" s="11">
        <v>143.19999999999999</v>
      </c>
      <c r="E64" s="11">
        <v>148.6</v>
      </c>
      <c r="F64" s="12">
        <v>147</v>
      </c>
      <c r="G64" s="230"/>
      <c r="H64" s="230"/>
      <c r="I64" s="230"/>
    </row>
    <row r="65" spans="1:9" ht="19.2" x14ac:dyDescent="0.3">
      <c r="A65" s="10" t="s">
        <v>85</v>
      </c>
      <c r="B65" s="11">
        <v>58.3</v>
      </c>
      <c r="C65" s="11">
        <v>32.6</v>
      </c>
      <c r="D65" s="11">
        <v>50.6</v>
      </c>
      <c r="E65" s="11">
        <v>51.8</v>
      </c>
      <c r="F65" s="12">
        <v>55.9</v>
      </c>
      <c r="G65" s="11"/>
      <c r="H65" s="11"/>
      <c r="I65" s="11"/>
    </row>
    <row r="66" spans="1:9" ht="19.2" x14ac:dyDescent="0.3">
      <c r="A66" s="10" t="s">
        <v>86</v>
      </c>
      <c r="B66" s="11">
        <v>33.799999999999997</v>
      </c>
      <c r="C66" s="11" t="s">
        <v>44</v>
      </c>
      <c r="D66" s="11">
        <v>28.7</v>
      </c>
      <c r="E66" s="11">
        <v>29.1</v>
      </c>
      <c r="F66" s="12">
        <v>31.9</v>
      </c>
      <c r="G66" s="11"/>
      <c r="H66" s="11"/>
      <c r="I66" s="11"/>
    </row>
    <row r="67" spans="1:9" ht="19.2" x14ac:dyDescent="0.3">
      <c r="A67" s="10" t="s">
        <v>87</v>
      </c>
      <c r="B67" s="11">
        <v>108.4</v>
      </c>
      <c r="C67" s="11">
        <v>7.9</v>
      </c>
      <c r="D67" s="11">
        <v>101.2</v>
      </c>
      <c r="E67" s="11">
        <v>99.7</v>
      </c>
      <c r="F67" s="12">
        <v>97.6</v>
      </c>
      <c r="G67" s="11"/>
      <c r="H67" s="11"/>
      <c r="I67" s="11"/>
    </row>
    <row r="68" spans="1:9" ht="19.2" x14ac:dyDescent="0.3">
      <c r="A68" s="10" t="s">
        <v>88</v>
      </c>
      <c r="B68" s="11">
        <v>51.3</v>
      </c>
      <c r="C68" s="11">
        <v>7.2</v>
      </c>
      <c r="D68" s="11">
        <v>47.7</v>
      </c>
      <c r="E68" s="11">
        <v>50.3</v>
      </c>
      <c r="F68" s="12">
        <v>51.1</v>
      </c>
      <c r="G68" s="11"/>
      <c r="H68" s="11"/>
      <c r="I68" s="11"/>
    </row>
    <row r="69" spans="1:9" ht="19.2" x14ac:dyDescent="0.3">
      <c r="A69" s="10" t="s">
        <v>89</v>
      </c>
      <c r="B69" s="11">
        <v>108</v>
      </c>
      <c r="C69" s="11">
        <v>1.9</v>
      </c>
      <c r="D69" s="11">
        <v>84.9</v>
      </c>
      <c r="E69" s="11">
        <v>96.2</v>
      </c>
      <c r="F69" s="12">
        <v>97.5</v>
      </c>
      <c r="G69" s="11"/>
      <c r="H69" s="11"/>
      <c r="I69" s="11"/>
    </row>
    <row r="70" spans="1:9" ht="19.2" x14ac:dyDescent="0.3">
      <c r="A70" s="10" t="s">
        <v>90</v>
      </c>
      <c r="B70" s="11">
        <v>80.5</v>
      </c>
      <c r="C70" s="11">
        <v>5.2</v>
      </c>
      <c r="D70" s="11">
        <v>66.8</v>
      </c>
      <c r="E70" s="11">
        <v>63.1</v>
      </c>
      <c r="F70" s="12">
        <v>61.5</v>
      </c>
      <c r="G70" s="11"/>
      <c r="H70" s="11"/>
      <c r="I70" s="11"/>
    </row>
    <row r="71" spans="1:9" ht="19.2" x14ac:dyDescent="0.3">
      <c r="A71" s="10" t="s">
        <v>91</v>
      </c>
      <c r="B71" s="11">
        <v>41.6</v>
      </c>
      <c r="C71" s="11">
        <v>12.3</v>
      </c>
      <c r="D71" s="11">
        <v>36.5</v>
      </c>
      <c r="E71" s="11">
        <v>34.9</v>
      </c>
      <c r="F71" s="12">
        <v>38.5</v>
      </c>
      <c r="G71" s="11"/>
      <c r="H71" s="11"/>
      <c r="I71" s="11"/>
    </row>
    <row r="72" spans="1:9" ht="19.2" x14ac:dyDescent="0.3">
      <c r="A72" s="10" t="s">
        <v>92</v>
      </c>
      <c r="B72" s="11">
        <v>90.1</v>
      </c>
      <c r="C72" s="11">
        <v>9.1</v>
      </c>
      <c r="D72" s="11">
        <v>85.4</v>
      </c>
      <c r="E72" s="11">
        <v>95.7</v>
      </c>
      <c r="F72" s="12">
        <v>93.5</v>
      </c>
      <c r="G72" s="11"/>
      <c r="H72" s="11"/>
      <c r="I72" s="11"/>
    </row>
    <row r="73" spans="1:9" ht="19.2" x14ac:dyDescent="0.3">
      <c r="A73" s="10" t="s">
        <v>93</v>
      </c>
      <c r="B73" s="11">
        <v>59</v>
      </c>
      <c r="C73" s="11" t="s">
        <v>44</v>
      </c>
      <c r="D73" s="11">
        <v>44.2</v>
      </c>
      <c r="E73" s="11">
        <v>51.3</v>
      </c>
      <c r="F73" s="12">
        <v>50.8</v>
      </c>
      <c r="G73" s="11"/>
      <c r="H73" s="11"/>
      <c r="I73" s="11"/>
    </row>
    <row r="74" spans="1:9" ht="19.2" x14ac:dyDescent="0.3">
      <c r="A74" s="10" t="s">
        <v>94</v>
      </c>
      <c r="B74" s="11">
        <v>43.7</v>
      </c>
      <c r="C74" s="11" t="s">
        <v>44</v>
      </c>
      <c r="D74" s="11">
        <v>39.299999999999997</v>
      </c>
      <c r="E74" s="11">
        <v>34.299999999999997</v>
      </c>
      <c r="F74" s="12">
        <v>40.700000000000003</v>
      </c>
      <c r="G74" s="11"/>
      <c r="H74" s="11"/>
      <c r="I74" s="11"/>
    </row>
    <row r="75" spans="1:9" x14ac:dyDescent="0.3">
      <c r="A75" s="8" t="s">
        <v>95</v>
      </c>
      <c r="B75" s="230">
        <v>518.4</v>
      </c>
      <c r="C75" s="230">
        <v>163.1</v>
      </c>
      <c r="D75" s="230">
        <v>471.1</v>
      </c>
      <c r="E75" s="230">
        <v>536</v>
      </c>
      <c r="F75" s="234">
        <v>514.20000000000005</v>
      </c>
      <c r="G75" s="11"/>
      <c r="H75" s="11"/>
      <c r="I75" s="11"/>
    </row>
    <row r="76" spans="1:9" ht="19.2" x14ac:dyDescent="0.3">
      <c r="A76" s="8" t="s">
        <v>6</v>
      </c>
      <c r="B76" s="230"/>
      <c r="C76" s="230"/>
      <c r="D76" s="230"/>
      <c r="E76" s="230"/>
      <c r="F76" s="234"/>
      <c r="G76" s="11"/>
      <c r="H76" s="11"/>
      <c r="I76" s="11"/>
    </row>
    <row r="77" spans="1:9" ht="19.2" x14ac:dyDescent="0.3">
      <c r="A77" s="10" t="s">
        <v>97</v>
      </c>
      <c r="B77" s="11">
        <v>183.4</v>
      </c>
      <c r="C77" s="11">
        <v>22.2</v>
      </c>
      <c r="D77" s="11">
        <v>161.19999999999999</v>
      </c>
      <c r="E77" s="11">
        <v>181.5</v>
      </c>
      <c r="F77" s="12">
        <v>36.6</v>
      </c>
      <c r="G77" s="11"/>
      <c r="H77" s="11"/>
      <c r="I77" s="11"/>
    </row>
    <row r="78" spans="1:9" ht="19.2" x14ac:dyDescent="0.3">
      <c r="A78" s="10" t="s">
        <v>98</v>
      </c>
      <c r="B78" s="11">
        <v>153.80000000000001</v>
      </c>
      <c r="C78" s="11">
        <v>76.7</v>
      </c>
      <c r="D78" s="11">
        <v>145.4</v>
      </c>
      <c r="E78" s="11">
        <v>159.9</v>
      </c>
      <c r="F78" s="12">
        <v>180.2</v>
      </c>
      <c r="G78" s="11"/>
      <c r="H78" s="11"/>
      <c r="I78" s="11"/>
    </row>
    <row r="79" spans="1:9" ht="19.2" x14ac:dyDescent="0.3">
      <c r="A79" s="14" t="s">
        <v>42</v>
      </c>
      <c r="B79" s="11"/>
      <c r="C79" s="11"/>
      <c r="D79" s="11"/>
      <c r="E79" s="11"/>
      <c r="F79" s="12"/>
      <c r="G79" s="230"/>
      <c r="H79" s="230"/>
      <c r="I79" s="230"/>
    </row>
    <row r="80" spans="1:9" ht="48" x14ac:dyDescent="0.3">
      <c r="A80" s="78" t="s">
        <v>1069</v>
      </c>
      <c r="B80" s="11">
        <v>50.7</v>
      </c>
      <c r="C80" s="11" t="s">
        <v>44</v>
      </c>
      <c r="D80" s="11">
        <v>46.1</v>
      </c>
      <c r="E80" s="11">
        <v>49.8</v>
      </c>
      <c r="F80" s="12">
        <v>49</v>
      </c>
      <c r="G80" s="230"/>
      <c r="H80" s="230"/>
      <c r="I80" s="230"/>
    </row>
    <row r="81" spans="1:9" ht="38.4" x14ac:dyDescent="0.3">
      <c r="A81" s="15" t="s">
        <v>101</v>
      </c>
      <c r="B81" s="11">
        <v>8.8000000000000007</v>
      </c>
      <c r="C81" s="11" t="s">
        <v>44</v>
      </c>
      <c r="D81" s="11">
        <v>6.6</v>
      </c>
      <c r="E81" s="11">
        <v>7.1</v>
      </c>
      <c r="F81" s="12">
        <v>7.3</v>
      </c>
      <c r="G81" s="11"/>
      <c r="H81" s="11"/>
      <c r="I81" s="11"/>
    </row>
    <row r="82" spans="1:9" ht="38.4" x14ac:dyDescent="0.3">
      <c r="A82" s="72" t="s">
        <v>922</v>
      </c>
      <c r="B82" s="11">
        <v>94.3</v>
      </c>
      <c r="C82" s="11">
        <v>76.7</v>
      </c>
      <c r="D82" s="11">
        <v>92.7</v>
      </c>
      <c r="E82" s="11">
        <v>103</v>
      </c>
      <c r="F82" s="12">
        <v>100.9</v>
      </c>
      <c r="G82" s="11"/>
      <c r="H82" s="11"/>
      <c r="I82" s="11"/>
    </row>
    <row r="83" spans="1:9" ht="19.2" x14ac:dyDescent="0.3">
      <c r="A83" s="10" t="s">
        <v>103</v>
      </c>
      <c r="B83" s="11">
        <v>140.1</v>
      </c>
      <c r="C83" s="11">
        <v>50.9</v>
      </c>
      <c r="D83" s="11">
        <v>139.4</v>
      </c>
      <c r="E83" s="11">
        <v>159</v>
      </c>
      <c r="F83" s="12">
        <v>140.1</v>
      </c>
      <c r="G83" s="11"/>
      <c r="H83" s="11"/>
      <c r="I83" s="11"/>
    </row>
    <row r="84" spans="1:9" x14ac:dyDescent="0.3">
      <c r="A84" s="8" t="s">
        <v>104</v>
      </c>
      <c r="B84" s="230">
        <v>712</v>
      </c>
      <c r="C84" s="230">
        <v>37.5</v>
      </c>
      <c r="D84" s="230">
        <v>541.70000000000005</v>
      </c>
      <c r="E84" s="230">
        <v>607.4</v>
      </c>
      <c r="F84" s="234">
        <v>654.70000000000005</v>
      </c>
      <c r="G84" s="11"/>
      <c r="H84" s="11"/>
      <c r="I84" s="11"/>
    </row>
    <row r="85" spans="1:9" ht="19.2" x14ac:dyDescent="0.3">
      <c r="A85" s="8" t="s">
        <v>6</v>
      </c>
      <c r="B85" s="230"/>
      <c r="C85" s="230"/>
      <c r="D85" s="230"/>
      <c r="E85" s="230"/>
      <c r="F85" s="234"/>
      <c r="G85" s="11"/>
      <c r="H85" s="11"/>
      <c r="I85" s="11"/>
    </row>
    <row r="86" spans="1:9" ht="19.2" x14ac:dyDescent="0.3">
      <c r="A86" s="10" t="s">
        <v>105</v>
      </c>
      <c r="B86" s="11">
        <v>9.6</v>
      </c>
      <c r="C86" s="11" t="s">
        <v>44</v>
      </c>
      <c r="D86" s="11">
        <v>9.8000000000000007</v>
      </c>
      <c r="E86" s="11">
        <v>9.9</v>
      </c>
      <c r="F86" s="12">
        <v>10</v>
      </c>
      <c r="G86" s="267"/>
      <c r="H86" s="267"/>
      <c r="I86" s="267"/>
    </row>
    <row r="87" spans="1:9" ht="19.2" x14ac:dyDescent="0.3">
      <c r="A87" s="10" t="s">
        <v>106</v>
      </c>
      <c r="B87" s="11">
        <v>18.5</v>
      </c>
      <c r="C87" s="11">
        <v>0.7</v>
      </c>
      <c r="D87" s="11">
        <v>9.5</v>
      </c>
      <c r="E87" s="11">
        <v>15.7</v>
      </c>
      <c r="F87" s="12">
        <v>16.7</v>
      </c>
      <c r="G87" s="267"/>
      <c r="H87" s="267"/>
      <c r="I87" s="267"/>
    </row>
    <row r="88" spans="1:9" ht="19.2" x14ac:dyDescent="0.3">
      <c r="A88" s="10" t="s">
        <v>107</v>
      </c>
      <c r="B88" s="11">
        <v>24.8</v>
      </c>
      <c r="C88" s="11" t="s">
        <v>44</v>
      </c>
      <c r="D88" s="11">
        <v>21.9</v>
      </c>
      <c r="E88" s="11">
        <v>17.5</v>
      </c>
      <c r="F88" s="12">
        <v>21.9</v>
      </c>
      <c r="G88" s="11"/>
      <c r="H88" s="11"/>
      <c r="I88" s="11"/>
    </row>
    <row r="89" spans="1:9" ht="19.2" x14ac:dyDescent="0.3">
      <c r="A89" s="10" t="s">
        <v>108</v>
      </c>
      <c r="B89" s="11">
        <v>165.9</v>
      </c>
      <c r="C89" s="11">
        <v>0.6</v>
      </c>
      <c r="D89" s="11">
        <v>83.1</v>
      </c>
      <c r="E89" s="11">
        <v>89.8</v>
      </c>
      <c r="F89" s="12">
        <v>97.8</v>
      </c>
      <c r="G89" s="230"/>
      <c r="H89" s="230"/>
      <c r="I89" s="230"/>
    </row>
    <row r="90" spans="1:9" ht="19.2" x14ac:dyDescent="0.3">
      <c r="A90" s="10" t="s">
        <v>109</v>
      </c>
      <c r="B90" s="11">
        <v>102.5</v>
      </c>
      <c r="C90" s="11">
        <v>3.7</v>
      </c>
      <c r="D90" s="11">
        <v>93.2</v>
      </c>
      <c r="E90" s="11">
        <v>101.1</v>
      </c>
      <c r="F90" s="12">
        <v>107.4</v>
      </c>
      <c r="G90" s="230"/>
      <c r="H90" s="230"/>
      <c r="I90" s="230"/>
    </row>
    <row r="91" spans="1:9" ht="19.2" x14ac:dyDescent="0.3">
      <c r="A91" s="10" t="s">
        <v>110</v>
      </c>
      <c r="B91" s="11">
        <v>93.9</v>
      </c>
      <c r="C91" s="11" t="s">
        <v>44</v>
      </c>
      <c r="D91" s="11">
        <v>68.2</v>
      </c>
      <c r="E91" s="11">
        <v>78.900000000000006</v>
      </c>
      <c r="F91" s="12">
        <v>79.900000000000006</v>
      </c>
      <c r="G91" s="11"/>
      <c r="H91" s="11"/>
      <c r="I91" s="11"/>
    </row>
    <row r="92" spans="1:9" ht="19.2" x14ac:dyDescent="0.3">
      <c r="A92" s="10" t="s">
        <v>111</v>
      </c>
      <c r="B92" s="11">
        <v>81.2</v>
      </c>
      <c r="C92" s="11">
        <v>2.8</v>
      </c>
      <c r="D92" s="11">
        <v>73.8</v>
      </c>
      <c r="E92" s="11">
        <v>86.6</v>
      </c>
      <c r="F92" s="12">
        <v>103.9</v>
      </c>
      <c r="G92" s="11"/>
      <c r="H92" s="11"/>
      <c r="I92" s="11"/>
    </row>
    <row r="93" spans="1:9" ht="19.2" x14ac:dyDescent="0.3">
      <c r="A93" s="10" t="s">
        <v>112</v>
      </c>
      <c r="B93" s="11">
        <v>104.5</v>
      </c>
      <c r="C93" s="11" t="s">
        <v>44</v>
      </c>
      <c r="D93" s="11">
        <v>91.5</v>
      </c>
      <c r="E93" s="11">
        <v>101.1</v>
      </c>
      <c r="F93" s="12">
        <v>107.1</v>
      </c>
      <c r="G93" s="11"/>
      <c r="H93" s="11"/>
      <c r="I93" s="11"/>
    </row>
    <row r="94" spans="1:9" ht="19.2" x14ac:dyDescent="0.3">
      <c r="A94" s="10" t="s">
        <v>113</v>
      </c>
      <c r="B94" s="11">
        <v>65.400000000000006</v>
      </c>
      <c r="C94" s="11">
        <v>29.7</v>
      </c>
      <c r="D94" s="11">
        <v>52.3</v>
      </c>
      <c r="E94" s="11">
        <v>64.599999999999994</v>
      </c>
      <c r="F94" s="12">
        <v>67.2</v>
      </c>
      <c r="G94" s="11"/>
      <c r="H94" s="11"/>
      <c r="I94" s="11"/>
    </row>
    <row r="95" spans="1:9" ht="19.2" x14ac:dyDescent="0.3">
      <c r="A95" s="10" t="s">
        <v>114</v>
      </c>
      <c r="B95" s="11">
        <v>45.7</v>
      </c>
      <c r="C95" s="11" t="s">
        <v>44</v>
      </c>
      <c r="D95" s="11">
        <v>38.4</v>
      </c>
      <c r="E95" s="11">
        <v>42.3</v>
      </c>
      <c r="F95" s="12">
        <v>42.8</v>
      </c>
      <c r="G95" s="11"/>
      <c r="H95" s="11"/>
      <c r="I95" s="11"/>
    </row>
    <row r="96" spans="1:9" ht="19.2" x14ac:dyDescent="0.3">
      <c r="A96" s="8" t="s">
        <v>115</v>
      </c>
      <c r="B96" s="230">
        <v>360</v>
      </c>
      <c r="C96" s="230">
        <v>60</v>
      </c>
      <c r="D96" s="230">
        <v>259.60000000000002</v>
      </c>
      <c r="E96" s="230">
        <v>304.8</v>
      </c>
      <c r="F96" s="234">
        <v>315.7</v>
      </c>
      <c r="G96" s="11"/>
      <c r="H96" s="11"/>
      <c r="I96" s="11"/>
    </row>
    <row r="97" spans="1:9" ht="19.2" x14ac:dyDescent="0.3">
      <c r="A97" s="8" t="s">
        <v>6</v>
      </c>
      <c r="B97" s="230"/>
      <c r="C97" s="230"/>
      <c r="D97" s="230"/>
      <c r="E97" s="230"/>
      <c r="F97" s="234"/>
      <c r="G97" s="11"/>
      <c r="H97" s="11"/>
      <c r="I97" s="11"/>
    </row>
    <row r="98" spans="1:9" ht="19.2" x14ac:dyDescent="0.3">
      <c r="A98" s="10" t="s">
        <v>116</v>
      </c>
      <c r="B98" s="11">
        <v>37.299999999999997</v>
      </c>
      <c r="C98" s="11" t="s">
        <v>44</v>
      </c>
      <c r="D98" s="11">
        <v>26.8</v>
      </c>
      <c r="E98" s="11">
        <v>32.5</v>
      </c>
      <c r="F98" s="12">
        <v>31.8</v>
      </c>
      <c r="G98" s="11"/>
      <c r="H98" s="11"/>
      <c r="I98" s="11"/>
    </row>
    <row r="99" spans="1:9" ht="28.8" x14ac:dyDescent="0.3">
      <c r="A99" s="10" t="s">
        <v>117</v>
      </c>
      <c r="B99" s="11">
        <v>45.8</v>
      </c>
      <c r="C99" s="11">
        <v>2.2999999999999998</v>
      </c>
      <c r="D99" s="11">
        <v>20.7</v>
      </c>
      <c r="E99" s="11">
        <v>37.9</v>
      </c>
      <c r="F99" s="12">
        <v>34.5</v>
      </c>
      <c r="G99" s="11"/>
      <c r="H99" s="11"/>
      <c r="I99" s="11"/>
    </row>
    <row r="100" spans="1:9" ht="19.2" x14ac:dyDescent="0.3">
      <c r="A100" s="10" t="s">
        <v>118</v>
      </c>
      <c r="B100" s="11">
        <v>43.6</v>
      </c>
      <c r="C100" s="11">
        <v>13.8</v>
      </c>
      <c r="D100" s="11">
        <v>35.5</v>
      </c>
      <c r="E100" s="11">
        <v>41.6</v>
      </c>
      <c r="F100" s="12">
        <v>37.200000000000003</v>
      </c>
      <c r="G100" s="11"/>
      <c r="H100" s="11"/>
      <c r="I100" s="11"/>
    </row>
    <row r="101" spans="1:9" ht="19.2" x14ac:dyDescent="0.3">
      <c r="A101" s="10" t="s">
        <v>119</v>
      </c>
      <c r="B101" s="11">
        <v>13.4</v>
      </c>
      <c r="C101" s="11" t="s">
        <v>44</v>
      </c>
      <c r="D101" s="11">
        <v>10</v>
      </c>
      <c r="E101" s="11">
        <v>12.8</v>
      </c>
      <c r="F101" s="12">
        <v>12.9</v>
      </c>
      <c r="G101" s="230"/>
      <c r="H101" s="230"/>
      <c r="I101" s="230"/>
    </row>
    <row r="102" spans="1:9" ht="19.2" x14ac:dyDescent="0.3">
      <c r="A102" s="10" t="s">
        <v>120</v>
      </c>
      <c r="B102" s="11">
        <v>89</v>
      </c>
      <c r="C102" s="11">
        <v>16.399999999999999</v>
      </c>
      <c r="D102" s="11">
        <v>61.3</v>
      </c>
      <c r="E102" s="11">
        <v>68.8</v>
      </c>
      <c r="F102" s="12">
        <v>92.2</v>
      </c>
      <c r="G102" s="230"/>
      <c r="H102" s="230"/>
      <c r="I102" s="230"/>
    </row>
    <row r="103" spans="1:9" ht="19.2" x14ac:dyDescent="0.3">
      <c r="A103" s="10" t="s">
        <v>121</v>
      </c>
      <c r="B103" s="11">
        <v>55</v>
      </c>
      <c r="C103" s="11">
        <v>1.8</v>
      </c>
      <c r="D103" s="11">
        <v>40.200000000000003</v>
      </c>
      <c r="E103" s="11">
        <v>42.5</v>
      </c>
      <c r="F103" s="12">
        <v>40.299999999999997</v>
      </c>
      <c r="G103" s="11"/>
      <c r="H103" s="11"/>
      <c r="I103" s="11"/>
    </row>
    <row r="104" spans="1:9" ht="19.2" x14ac:dyDescent="0.3">
      <c r="A104" s="10" t="s">
        <v>122</v>
      </c>
      <c r="B104" s="11">
        <v>26.3</v>
      </c>
      <c r="C104" s="11">
        <v>0.1</v>
      </c>
      <c r="D104" s="11">
        <v>19.899999999999999</v>
      </c>
      <c r="E104" s="11">
        <v>21.8</v>
      </c>
      <c r="F104" s="12">
        <v>19.7</v>
      </c>
      <c r="G104" s="11"/>
      <c r="H104" s="11"/>
      <c r="I104" s="11"/>
    </row>
    <row r="105" spans="1:9" ht="19.2" x14ac:dyDescent="0.3">
      <c r="A105" s="10" t="s">
        <v>123</v>
      </c>
      <c r="B105" s="11">
        <v>8.9</v>
      </c>
      <c r="C105" s="11" t="s">
        <v>44</v>
      </c>
      <c r="D105" s="11">
        <v>7.2</v>
      </c>
      <c r="E105" s="11">
        <v>7.8</v>
      </c>
      <c r="F105" s="12">
        <v>7.3</v>
      </c>
      <c r="G105" s="11"/>
      <c r="H105" s="11"/>
      <c r="I105" s="11"/>
    </row>
    <row r="106" spans="1:9" ht="19.2" x14ac:dyDescent="0.3">
      <c r="A106" s="10" t="s">
        <v>124</v>
      </c>
      <c r="B106" s="11">
        <v>23.4</v>
      </c>
      <c r="C106" s="11">
        <v>21.2</v>
      </c>
      <c r="D106" s="11">
        <v>24</v>
      </c>
      <c r="E106" s="11">
        <v>26.4</v>
      </c>
      <c r="F106" s="12">
        <v>27.3</v>
      </c>
      <c r="G106" s="11"/>
      <c r="H106" s="11"/>
      <c r="I106" s="11"/>
    </row>
    <row r="107" spans="1:9" ht="28.8" x14ac:dyDescent="0.3">
      <c r="A107" s="10" t="s">
        <v>125</v>
      </c>
      <c r="B107" s="11">
        <v>13.2</v>
      </c>
      <c r="C107" s="11" t="s">
        <v>44</v>
      </c>
      <c r="D107" s="11">
        <v>9.1999999999999993</v>
      </c>
      <c r="E107" s="11">
        <v>8.4</v>
      </c>
      <c r="F107" s="12">
        <v>8.1999999999999993</v>
      </c>
      <c r="G107" s="11"/>
      <c r="H107" s="11"/>
      <c r="I107" s="11"/>
    </row>
    <row r="108" spans="1:9" ht="28.8" x14ac:dyDescent="0.3">
      <c r="A108" s="10" t="s">
        <v>126</v>
      </c>
      <c r="B108" s="11">
        <v>4.0999999999999996</v>
      </c>
      <c r="C108" s="11">
        <v>4.5</v>
      </c>
      <c r="D108" s="11">
        <v>4.8</v>
      </c>
      <c r="E108" s="11">
        <v>4.2</v>
      </c>
      <c r="F108" s="12">
        <v>4.2</v>
      </c>
      <c r="G108" s="11"/>
      <c r="H108" s="11"/>
      <c r="I108" s="11"/>
    </row>
    <row r="109" spans="1:9" ht="19.2" x14ac:dyDescent="0.3">
      <c r="A109" s="10" t="s">
        <v>122</v>
      </c>
      <c r="B109" s="11">
        <v>369</v>
      </c>
      <c r="C109" s="11">
        <v>347</v>
      </c>
      <c r="D109" s="11">
        <v>325</v>
      </c>
      <c r="E109" s="11">
        <v>265</v>
      </c>
      <c r="F109" s="11">
        <v>261</v>
      </c>
      <c r="G109" s="11"/>
      <c r="H109" s="11"/>
      <c r="I109" s="11"/>
    </row>
    <row r="110" spans="1:9" ht="19.2" x14ac:dyDescent="0.3">
      <c r="A110" s="10" t="s">
        <v>123</v>
      </c>
      <c r="B110" s="11">
        <v>93</v>
      </c>
      <c r="C110" s="11">
        <v>101</v>
      </c>
      <c r="D110" s="11">
        <v>73</v>
      </c>
      <c r="E110" s="11">
        <v>78</v>
      </c>
      <c r="F110" s="11">
        <v>77</v>
      </c>
      <c r="G110" s="11"/>
      <c r="H110" s="11"/>
      <c r="I110" s="11"/>
    </row>
    <row r="111" spans="1:9" ht="19.2" x14ac:dyDescent="0.3">
      <c r="A111" s="10" t="s">
        <v>124</v>
      </c>
      <c r="B111" s="11">
        <v>279</v>
      </c>
      <c r="C111" s="11">
        <v>267</v>
      </c>
      <c r="D111" s="11">
        <v>280</v>
      </c>
      <c r="E111" s="11">
        <v>284</v>
      </c>
      <c r="F111" s="11">
        <v>307</v>
      </c>
      <c r="G111" s="11"/>
      <c r="H111" s="11"/>
      <c r="I111" s="11"/>
    </row>
    <row r="112" spans="1:9" ht="28.8" x14ac:dyDescent="0.3">
      <c r="A112" s="10" t="s">
        <v>125</v>
      </c>
      <c r="B112" s="11">
        <v>125</v>
      </c>
      <c r="C112" s="11">
        <v>108</v>
      </c>
      <c r="D112" s="11">
        <v>102</v>
      </c>
      <c r="E112" s="11">
        <v>102</v>
      </c>
      <c r="F112" s="11">
        <v>101</v>
      </c>
      <c r="G112" s="11"/>
      <c r="H112" s="11"/>
      <c r="I112" s="11"/>
    </row>
    <row r="113" spans="1:9" ht="28.8" x14ac:dyDescent="0.3">
      <c r="A113" s="10" t="s">
        <v>126</v>
      </c>
      <c r="B113" s="11">
        <v>1</v>
      </c>
      <c r="C113" s="11" t="s">
        <v>44</v>
      </c>
      <c r="D113" s="11">
        <v>43</v>
      </c>
      <c r="E113" s="11">
        <v>42</v>
      </c>
      <c r="F113" s="11">
        <v>42</v>
      </c>
      <c r="G113" s="11"/>
      <c r="H113" s="11"/>
      <c r="I113" s="11"/>
    </row>
    <row r="114" spans="1:9" ht="14.4" customHeight="1" x14ac:dyDescent="0.3">
      <c r="A114" s="44" t="s">
        <v>127</v>
      </c>
      <c r="B114" s="45"/>
      <c r="C114" s="45"/>
      <c r="D114" s="45"/>
      <c r="E114" s="45"/>
      <c r="F114" s="45"/>
      <c r="G114" s="45"/>
      <c r="H114" s="45"/>
      <c r="I114" s="45"/>
    </row>
    <row r="115" spans="1:9" ht="17.399999999999999" customHeight="1" x14ac:dyDescent="0.3">
      <c r="A115" s="47" t="s">
        <v>829</v>
      </c>
      <c r="B115" s="48"/>
      <c r="C115" s="48"/>
      <c r="D115" s="48"/>
      <c r="E115" s="48"/>
      <c r="F115" s="48"/>
      <c r="G115" s="48"/>
      <c r="H115" s="48"/>
      <c r="I115" s="48"/>
    </row>
    <row r="116" spans="1:9" ht="15" customHeight="1" thickBot="1" x14ac:dyDescent="0.35">
      <c r="A116" s="89" t="s">
        <v>830</v>
      </c>
      <c r="B116" s="90"/>
      <c r="C116" s="90"/>
      <c r="D116" s="90"/>
      <c r="E116" s="90"/>
      <c r="F116" s="90"/>
      <c r="G116" s="90"/>
      <c r="H116" s="90"/>
      <c r="I116" s="90"/>
    </row>
  </sheetData>
  <mergeCells count="82">
    <mergeCell ref="B84:B85"/>
    <mergeCell ref="C84:C85"/>
    <mergeCell ref="D84:D85"/>
    <mergeCell ref="E84:E85"/>
    <mergeCell ref="F84:F85"/>
    <mergeCell ref="B96:B97"/>
    <mergeCell ref="C96:C97"/>
    <mergeCell ref="D96:D97"/>
    <mergeCell ref="E96:E97"/>
    <mergeCell ref="F96:F97"/>
    <mergeCell ref="B75:B76"/>
    <mergeCell ref="C75:C76"/>
    <mergeCell ref="D75:D76"/>
    <mergeCell ref="E75:E76"/>
    <mergeCell ref="F75:F76"/>
    <mergeCell ref="H101:H102"/>
    <mergeCell ref="I101:I102"/>
    <mergeCell ref="G101:G102"/>
    <mergeCell ref="H89:H90"/>
    <mergeCell ref="I89:I90"/>
    <mergeCell ref="G89:G90"/>
    <mergeCell ref="H86:H87"/>
    <mergeCell ref="I86:I87"/>
    <mergeCell ref="G86:G87"/>
    <mergeCell ref="H79:H80"/>
    <mergeCell ref="I79:I80"/>
    <mergeCell ref="G79:G80"/>
    <mergeCell ref="H63:H64"/>
    <mergeCell ref="I63:I64"/>
    <mergeCell ref="G63:G64"/>
    <mergeCell ref="H59:H60"/>
    <mergeCell ref="I59:I60"/>
    <mergeCell ref="G59:G60"/>
    <mergeCell ref="B59:B60"/>
    <mergeCell ref="C59:C60"/>
    <mergeCell ref="D59:D60"/>
    <mergeCell ref="E59:E60"/>
    <mergeCell ref="F59:F60"/>
    <mergeCell ref="H57:H58"/>
    <mergeCell ref="I57:I58"/>
    <mergeCell ref="G57:G58"/>
    <mergeCell ref="H55:H56"/>
    <mergeCell ref="I55:I56"/>
    <mergeCell ref="G55:G56"/>
    <mergeCell ref="H51:H52"/>
    <mergeCell ref="I51:I52"/>
    <mergeCell ref="G51:G52"/>
    <mergeCell ref="B50:B51"/>
    <mergeCell ref="C50:C51"/>
    <mergeCell ref="D50:D51"/>
    <mergeCell ref="E50:E51"/>
    <mergeCell ref="F50:F51"/>
    <mergeCell ref="H41:H42"/>
    <mergeCell ref="I41:I42"/>
    <mergeCell ref="G41:G42"/>
    <mergeCell ref="H32:H33"/>
    <mergeCell ref="I32:I33"/>
    <mergeCell ref="G32:G33"/>
    <mergeCell ref="B40:B41"/>
    <mergeCell ref="C40:C41"/>
    <mergeCell ref="D40:D41"/>
    <mergeCell ref="E40:E41"/>
    <mergeCell ref="F40:F41"/>
    <mergeCell ref="H25:H26"/>
    <mergeCell ref="I25:I26"/>
    <mergeCell ref="B25:B26"/>
    <mergeCell ref="C25:C26"/>
    <mergeCell ref="D25:D26"/>
    <mergeCell ref="E25:E26"/>
    <mergeCell ref="F25:F26"/>
    <mergeCell ref="G25:G26"/>
    <mergeCell ref="H5:H6"/>
    <mergeCell ref="I5:I6"/>
    <mergeCell ref="B1:G2"/>
    <mergeCell ref="H1:I1"/>
    <mergeCell ref="H2:I2"/>
    <mergeCell ref="B5:B6"/>
    <mergeCell ref="C5:C6"/>
    <mergeCell ref="D5:D6"/>
    <mergeCell ref="E5:E6"/>
    <mergeCell ref="F5:F6"/>
    <mergeCell ref="G5:G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438A4-9E51-43B6-9E4F-E637A0623225}">
  <dimension ref="A1:AP98"/>
  <sheetViews>
    <sheetView zoomScaleNormal="100" workbookViewId="0">
      <selection activeCell="W20" sqref="W20"/>
    </sheetView>
  </sheetViews>
  <sheetFormatPr defaultColWidth="20.5546875" defaultRowHeight="14.4" x14ac:dyDescent="0.3"/>
  <cols>
    <col min="1" max="1" width="11.5546875" customWidth="1"/>
    <col min="2" max="2" width="16.88671875" bestFit="1" customWidth="1"/>
    <col min="3" max="3" width="17.44140625" bestFit="1" customWidth="1"/>
    <col min="4" max="4" width="24.6640625" bestFit="1" customWidth="1"/>
    <col min="5" max="5" width="19.109375" bestFit="1" customWidth="1"/>
    <col min="7" max="7" width="24.6640625" customWidth="1"/>
    <col min="8" max="8" width="70.88671875" bestFit="1" customWidth="1"/>
  </cols>
  <sheetData>
    <row r="1" spans="1:42" s="37" customFormat="1" ht="53.4" x14ac:dyDescent="0.3">
      <c r="A1" s="1" t="s">
        <v>1072</v>
      </c>
      <c r="B1" s="39" t="s">
        <v>1</v>
      </c>
      <c r="C1" s="39" t="s">
        <v>822</v>
      </c>
      <c r="D1" s="39" t="s">
        <v>823</v>
      </c>
      <c r="E1" s="39" t="s">
        <v>824</v>
      </c>
      <c r="F1" s="39" t="s">
        <v>834</v>
      </c>
      <c r="G1" s="42"/>
      <c r="H1" s="43"/>
      <c r="I1" s="43" t="s">
        <v>1</v>
      </c>
      <c r="J1" s="43" t="s">
        <v>2</v>
      </c>
      <c r="K1" s="43" t="s">
        <v>822</v>
      </c>
      <c r="L1" s="43" t="s">
        <v>823</v>
      </c>
      <c r="M1" s="43" t="s">
        <v>824</v>
      </c>
      <c r="N1" s="43" t="s">
        <v>834</v>
      </c>
      <c r="AJ1" s="38"/>
      <c r="AK1" s="38"/>
      <c r="AL1" s="38"/>
      <c r="AM1" s="38"/>
      <c r="AN1" s="38"/>
      <c r="AO1" s="38"/>
      <c r="AP1" s="38"/>
    </row>
    <row r="2" spans="1:42" ht="19.2" x14ac:dyDescent="0.3">
      <c r="A2" s="10" t="s">
        <v>7</v>
      </c>
      <c r="B2" s="11">
        <f>VLOOKUP($A2,'театры, музеи'!$A$2:$H$112,7,FALSE)</f>
        <v>152</v>
      </c>
      <c r="C2" s="11">
        <f>VLOOKUP($A2,'спортивные сооружния'!A4:G112,7,FALSE)</f>
        <v>23</v>
      </c>
      <c r="D2" s="11">
        <f>VLOOKUP($A2,библиотеки!A4:N116,11,FALSE)</f>
        <v>706</v>
      </c>
      <c r="E2" s="11">
        <f>VLOOKUP($A2,Газеты!$A$3:$G$111,7,FALSE)</f>
        <v>852</v>
      </c>
      <c r="F2" s="11">
        <f>VLOOKUP($A2,Лагеря!$A$3:$F$113,6,FALSE)</f>
        <v>59.5</v>
      </c>
    </row>
    <row r="3" spans="1:42" ht="19.2" x14ac:dyDescent="0.3">
      <c r="A3" s="10" t="s">
        <v>8</v>
      </c>
      <c r="B3" s="11">
        <f>VLOOKUP($A3,'театры, музеи'!$A$2:$H$112,7,FALSE)</f>
        <v>173</v>
      </c>
      <c r="C3" s="11">
        <f>VLOOKUP($A3,'спортивные сооружния'!A5:G113,7,FALSE)</f>
        <v>18</v>
      </c>
      <c r="D3" s="11">
        <f>VLOOKUP($A3,библиотеки!A5:H117,7,FALSE)</f>
        <v>6792</v>
      </c>
      <c r="E3" s="11">
        <f>VLOOKUP($A3,Газеты!$A$3:$G$111,7,FALSE)</f>
        <v>234</v>
      </c>
      <c r="F3" s="11">
        <f>VLOOKUP($A3,Лагеря!$A$3:$F$113,6,FALSE)</f>
        <v>33.1</v>
      </c>
    </row>
    <row r="4" spans="1:42" ht="19.2" x14ac:dyDescent="0.3">
      <c r="A4" s="10" t="s">
        <v>9</v>
      </c>
      <c r="B4" s="11">
        <f>VLOOKUP($A4,'театры, музеи'!$A$2:$H$112,7,FALSE)</f>
        <v>78</v>
      </c>
      <c r="C4" s="11">
        <f>VLOOKUP($A4,'спортивные сооружния'!A6:G114,7,FALSE)</f>
        <v>28</v>
      </c>
      <c r="D4" s="11">
        <f>VLOOKUP($A4,библиотеки!A6:H118,7,FALSE)</f>
        <v>6592</v>
      </c>
      <c r="E4" s="11">
        <f>VLOOKUP($A4,Газеты!$A$3:$G$111,7,FALSE)</f>
        <v>552</v>
      </c>
      <c r="F4" s="11">
        <f>VLOOKUP($A4,Лагеря!$A$3:$F$113,6,FALSE)</f>
        <v>46.3</v>
      </c>
    </row>
    <row r="5" spans="1:42" ht="19.2" x14ac:dyDescent="0.3">
      <c r="A5" s="10" t="s">
        <v>12</v>
      </c>
      <c r="B5" s="11">
        <f>VLOOKUP($A5,'театры, музеи'!$A$2:$H$112,7,FALSE)</f>
        <v>228</v>
      </c>
      <c r="C5" s="11">
        <f>VLOOKUP($A5,'спортивные сооружния'!A7:G115,7,FALSE)</f>
        <v>10</v>
      </c>
      <c r="D5" s="11">
        <f>VLOOKUP($A5,библиотеки!A7:H119,7,FALSE)</f>
        <v>5899</v>
      </c>
      <c r="E5" s="11">
        <f>VLOOKUP($A5,Газеты!$A$3:$G$111,7,FALSE)</f>
        <v>480</v>
      </c>
      <c r="F5" s="11">
        <f>VLOOKUP($A5,Лагеря!$A$3:$F$113,6,FALSE)</f>
        <v>69.400000000000006</v>
      </c>
    </row>
    <row r="6" spans="1:42" ht="19.2" x14ac:dyDescent="0.3">
      <c r="A6" s="10" t="s">
        <v>13</v>
      </c>
      <c r="B6" s="11">
        <f>VLOOKUP($A6,'театры, музеи'!$A$2:$H$112,7,FALSE)</f>
        <v>350</v>
      </c>
      <c r="C6" s="11">
        <f>VLOOKUP($A6,'спортивные сооружния'!A8:G116,7,FALSE)</f>
        <v>14</v>
      </c>
      <c r="D6" s="11">
        <f>VLOOKUP($A6,библиотеки!A8:H120,7,FALSE)</f>
        <v>8511</v>
      </c>
      <c r="E6" s="11">
        <f>VLOOKUP($A6,Газеты!$A$3:$G$111,7,FALSE)</f>
        <v>321</v>
      </c>
      <c r="F6" s="11">
        <f>VLOOKUP($A6,Лагеря!$A$3:$F$113,6,FALSE)</f>
        <v>25.4</v>
      </c>
    </row>
    <row r="7" spans="1:42" ht="19.2" x14ac:dyDescent="0.3">
      <c r="A7" s="10" t="s">
        <v>14</v>
      </c>
      <c r="B7" s="11">
        <f>VLOOKUP($A7,'театры, музеи'!$A$2:$H$112,7,FALSE)</f>
        <v>205</v>
      </c>
      <c r="C7" s="11">
        <f>VLOOKUP($A7,'спортивные сооружния'!A9:G117,7,FALSE)</f>
        <v>15</v>
      </c>
      <c r="D7" s="11">
        <f>VLOOKUP($A7,библиотеки!A9:H121,7,FALSE)</f>
        <v>6642</v>
      </c>
      <c r="E7" s="11">
        <f>VLOOKUP($A7,Газеты!$A$3:$G$111,7,FALSE)</f>
        <v>622</v>
      </c>
      <c r="F7" s="11">
        <f>VLOOKUP($A7,Лагеря!$A$3:$F$113,6,FALSE)</f>
        <v>27</v>
      </c>
    </row>
    <row r="8" spans="1:42" ht="19.2" x14ac:dyDescent="0.3">
      <c r="A8" s="10" t="s">
        <v>16</v>
      </c>
      <c r="B8" s="11">
        <f>VLOOKUP($A8,'театры, музеи'!$A$2:$H$112,7,FALSE)</f>
        <v>257</v>
      </c>
      <c r="C8" s="11">
        <f>VLOOKUP($A8,'спортивные сооружния'!A10:G118,7,FALSE)</f>
        <v>6</v>
      </c>
      <c r="D8" s="11">
        <f>VLOOKUP($A8,библиотеки!A10:H122,7,FALSE)</f>
        <v>10260</v>
      </c>
      <c r="E8" s="11">
        <f>VLOOKUP($A8,Газеты!$A$3:$G$111,7,FALSE)</f>
        <v>386</v>
      </c>
      <c r="F8" s="11">
        <f>VLOOKUP($A8,Лагеря!$A$3:$F$113,6,FALSE)</f>
        <v>25.1</v>
      </c>
    </row>
    <row r="9" spans="1:42" x14ac:dyDescent="0.3">
      <c r="A9" s="10" t="s">
        <v>18</v>
      </c>
      <c r="B9" s="11">
        <f>VLOOKUP($A9,'театры, музеи'!$A$2:$H$112,7,FALSE)</f>
        <v>234</v>
      </c>
      <c r="C9" s="11">
        <f>VLOOKUP($A9,'спортивные сооружния'!A11:G119,7,FALSE)</f>
        <v>9</v>
      </c>
      <c r="D9" s="11">
        <f>VLOOKUP($A9,библиотеки!A11:H123,7,FALSE)</f>
        <v>8072</v>
      </c>
      <c r="E9" s="11">
        <f>VLOOKUP($A9,Газеты!$A$3:$G$111,7,FALSE)</f>
        <v>394</v>
      </c>
      <c r="F9" s="11">
        <f>VLOOKUP($A9,Лагеря!$A$3:$F$113,6,FALSE)</f>
        <v>29</v>
      </c>
    </row>
    <row r="10" spans="1:42" ht="19.2" x14ac:dyDescent="0.3">
      <c r="A10" s="10" t="s">
        <v>19</v>
      </c>
      <c r="B10" s="11">
        <f>VLOOKUP($A10,'театры, музеи'!$A$2:$H$112,7,FALSE)</f>
        <v>200</v>
      </c>
      <c r="C10" s="11">
        <f>VLOOKUP($A10,'спортивные сооружния'!A12:G120,7,FALSE)</f>
        <v>22</v>
      </c>
      <c r="D10" s="11">
        <f>VLOOKUP($A10,библиотеки!A12:H124,7,FALSE)</f>
        <v>6891</v>
      </c>
      <c r="E10" s="11">
        <f>VLOOKUP($A10,Газеты!$A$3:$G$111,7,FALSE)</f>
        <v>132</v>
      </c>
      <c r="F10" s="11">
        <f>VLOOKUP($A10,Лагеря!$A$3:$F$113,6,FALSE)</f>
        <v>43.8</v>
      </c>
    </row>
    <row r="11" spans="1:42" ht="19.2" x14ac:dyDescent="0.3">
      <c r="A11" s="10" t="s">
        <v>20</v>
      </c>
      <c r="B11" s="11">
        <f>VLOOKUP($A11,'театры, музеи'!$A$2:$H$112,7,FALSE)</f>
        <v>104</v>
      </c>
      <c r="C11" s="11">
        <f>VLOOKUP($A11,'спортивные сооружния'!A13:G121,7,FALSE)</f>
        <v>118</v>
      </c>
      <c r="D11" s="11">
        <f>VLOOKUP($A11,библиотеки!A13:H125,7,FALSE)</f>
        <v>1831</v>
      </c>
      <c r="E11" s="11">
        <f>VLOOKUP($A11,Газеты!$A$3:$G$111,7,FALSE)</f>
        <v>198</v>
      </c>
      <c r="F11" s="11">
        <f>VLOOKUP($A11,Лагеря!$A$3:$F$113,6,FALSE)</f>
        <v>104.8</v>
      </c>
    </row>
    <row r="12" spans="1:42" ht="19.2" x14ac:dyDescent="0.3">
      <c r="A12" s="10" t="s">
        <v>21</v>
      </c>
      <c r="B12" s="11">
        <f>VLOOKUP($A12,'театры, музеи'!$A$2:$H$112,7,FALSE)</f>
        <v>327</v>
      </c>
      <c r="C12" s="11">
        <f>VLOOKUP($A12,'спортивные сооружния'!A14:G122,7,FALSE)</f>
        <v>3</v>
      </c>
      <c r="D12" s="11">
        <f>VLOOKUP($A12,библиотеки!A14:H126,7,FALSE)</f>
        <v>6796</v>
      </c>
      <c r="E12" s="11">
        <f>VLOOKUP($A12,Газеты!$A$3:$G$111,7,FALSE)</f>
        <v>188</v>
      </c>
      <c r="F12" s="11">
        <f>VLOOKUP($A12,Лагеря!$A$3:$F$113,6,FALSE)</f>
        <v>23.7</v>
      </c>
    </row>
    <row r="13" spans="1:42" ht="19.2" x14ac:dyDescent="0.3">
      <c r="A13" s="10" t="s">
        <v>22</v>
      </c>
      <c r="B13" s="11">
        <f>VLOOKUP($A13,'театры, музеи'!$A$2:$H$112,7,FALSE)</f>
        <v>264</v>
      </c>
      <c r="C13" s="11">
        <f>VLOOKUP($A13,'спортивные сооружния'!A15:G123,7,FALSE)</f>
        <v>13</v>
      </c>
      <c r="D13" s="11">
        <f>VLOOKUP($A13,библиотеки!A15:H127,7,FALSE)</f>
        <v>5850</v>
      </c>
      <c r="E13" s="11">
        <f>VLOOKUP($A13,Газеты!$A$3:$G$111,7,FALSE)</f>
        <v>408</v>
      </c>
      <c r="F13" s="11">
        <f>VLOOKUP($A13,Лагеря!$A$3:$F$113,6,FALSE)</f>
        <v>20.7</v>
      </c>
    </row>
    <row r="14" spans="1:42" ht="19.2" x14ac:dyDescent="0.3">
      <c r="A14" s="10" t="s">
        <v>23</v>
      </c>
      <c r="B14" s="11">
        <f>VLOOKUP($A14,'театры, музеи'!$A$2:$H$112,7,FALSE)</f>
        <v>169</v>
      </c>
      <c r="C14" s="11">
        <f>VLOOKUP($A14,'спортивные сооружния'!A16:G124,7,FALSE)</f>
        <v>24</v>
      </c>
      <c r="D14" s="11">
        <f>VLOOKUP($A14,библиотеки!A16:H128,7,FALSE)</f>
        <v>9143</v>
      </c>
      <c r="E14" s="11">
        <f>VLOOKUP($A14,Газеты!$A$3:$G$111,7,FALSE)</f>
        <v>2592</v>
      </c>
      <c r="F14" s="11">
        <f>VLOOKUP($A14,Лагеря!$A$3:$F$113,6,FALSE)</f>
        <v>14</v>
      </c>
    </row>
    <row r="15" spans="1:42" ht="19.2" x14ac:dyDescent="0.3">
      <c r="A15" s="10" t="s">
        <v>24</v>
      </c>
      <c r="B15" s="11">
        <f>VLOOKUP($A15,'театры, музеи'!$A$2:$H$112,7,FALSE)</f>
        <v>255</v>
      </c>
      <c r="C15" s="11">
        <f>VLOOKUP($A15,'спортивные сооружния'!A17:G125,7,FALSE)</f>
        <v>21</v>
      </c>
      <c r="D15" s="11">
        <f>VLOOKUP($A15,библиотеки!A17:H129,7,FALSE)</f>
        <v>9364</v>
      </c>
      <c r="E15" s="11">
        <f>VLOOKUP($A15,Газеты!$A$3:$G$111,7,FALSE)</f>
        <v>154</v>
      </c>
      <c r="F15" s="11">
        <f>VLOOKUP($A15,Лагеря!$A$3:$F$113,6,FALSE)</f>
        <v>48.9</v>
      </c>
    </row>
    <row r="16" spans="1:42" ht="19.2" x14ac:dyDescent="0.3">
      <c r="A16" s="10" t="s">
        <v>25</v>
      </c>
      <c r="B16" s="11">
        <f>VLOOKUP($A16,'театры, музеи'!$A$2:$H$112,7,FALSE)</f>
        <v>350</v>
      </c>
      <c r="C16" s="11">
        <f>VLOOKUP($A16,'спортивные сооружния'!A18:G126,7,FALSE)</f>
        <v>17</v>
      </c>
      <c r="D16" s="11">
        <f>VLOOKUP($A16,библиотеки!A18:H130,7,FALSE)</f>
        <v>7809</v>
      </c>
      <c r="E16" s="11">
        <f>VLOOKUP($A16,Газеты!$A$3:$G$111,7,FALSE)</f>
        <v>307</v>
      </c>
      <c r="F16" s="11">
        <f>VLOOKUP($A16,Лагеря!$A$3:$F$113,6,FALSE)</f>
        <v>55.5</v>
      </c>
    </row>
    <row r="17" spans="1:6" ht="19.2" x14ac:dyDescent="0.3">
      <c r="A17" s="10" t="s">
        <v>26</v>
      </c>
      <c r="B17" s="11">
        <f>VLOOKUP($A17,'театры, музеи'!$A$2:$H$112,7,FALSE)</f>
        <v>237</v>
      </c>
      <c r="C17" s="11">
        <f>VLOOKUP($A17,'спортивные сооружния'!A19:G127,7,FALSE)</f>
        <v>17</v>
      </c>
      <c r="D17" s="11">
        <f>VLOOKUP($A17,библиотеки!A19:H131,7,FALSE)</f>
        <v>4400</v>
      </c>
      <c r="E17" s="11">
        <f>VLOOKUP($A17,Газеты!$A$3:$G$111,7,FALSE)</f>
        <v>191</v>
      </c>
      <c r="F17" s="11">
        <f>VLOOKUP($A17,Лагеря!$A$3:$F$113,6,FALSE)</f>
        <v>31.3</v>
      </c>
    </row>
    <row r="18" spans="1:6" ht="19.2" x14ac:dyDescent="0.3">
      <c r="A18" s="10" t="s">
        <v>28</v>
      </c>
      <c r="B18" s="11">
        <f>VLOOKUP($A18,'театры, музеи'!$A$2:$H$112,7,FALSE)</f>
        <v>287</v>
      </c>
      <c r="C18" s="11">
        <f>VLOOKUP($A18,'спортивные сооружния'!A20:G128,7,FALSE)</f>
        <v>8</v>
      </c>
      <c r="D18" s="11">
        <f>VLOOKUP($A18,библиотеки!A20:H132,7,FALSE)</f>
        <v>6512</v>
      </c>
      <c r="E18" s="11">
        <f>VLOOKUP($A18,Газеты!$A$3:$G$111,7,FALSE)</f>
        <v>509</v>
      </c>
      <c r="F18" s="11">
        <f>VLOOKUP($A18,Лагеря!$A$3:$F$113,6,FALSE)</f>
        <v>46</v>
      </c>
    </row>
    <row r="19" spans="1:6" x14ac:dyDescent="0.3">
      <c r="A19" s="10" t="s">
        <v>31</v>
      </c>
      <c r="B19" s="11">
        <f>VLOOKUP($A19,'театры, музеи'!$A$2:$H$112,7,FALSE)</f>
        <v>538</v>
      </c>
      <c r="C19" s="11">
        <f>VLOOKUP($A19,'спортивные сооружния'!A21:G129,7,FALSE)</f>
        <v>29</v>
      </c>
      <c r="D19" s="11">
        <f>VLOOKUP($A19,библиотеки!A21:H133,7,FALSE)</f>
        <v>12054</v>
      </c>
      <c r="E19" s="11">
        <f>VLOOKUP($A19,Газеты!$A$3:$G$111,7,FALSE)</f>
        <v>2383</v>
      </c>
      <c r="F19" s="11">
        <f>VLOOKUP($A19,Лагеря!$A$3:$F$113,6,FALSE)</f>
        <v>1.1000000000000001</v>
      </c>
    </row>
    <row r="20" spans="1:6" ht="19.2" x14ac:dyDescent="0.3">
      <c r="A20" s="10" t="s">
        <v>36</v>
      </c>
      <c r="B20" s="11">
        <f>VLOOKUP($A20,'театры, музеи'!$A$2:$H$112,7,FALSE)</f>
        <v>375</v>
      </c>
      <c r="C20" s="11">
        <f>VLOOKUP($A20,'спортивные сооружния'!A22:G130,7,FALSE)</f>
        <v>3</v>
      </c>
      <c r="D20" s="11">
        <f>VLOOKUP($A20,библиотеки!A22:H134,7,FALSE)</f>
        <v>7537</v>
      </c>
      <c r="E20" s="11">
        <f>VLOOKUP($A20,Газеты!$A$3:$G$111,7,FALSE)</f>
        <v>564</v>
      </c>
      <c r="F20" s="11">
        <f>VLOOKUP($A20,Лагеря!$A$3:$F$113,6,FALSE)</f>
        <v>4.5</v>
      </c>
    </row>
    <row r="21" spans="1:6" ht="19.2" x14ac:dyDescent="0.3">
      <c r="A21" s="10" t="s">
        <v>38</v>
      </c>
      <c r="B21" s="11">
        <f>VLOOKUP($A21,'театры, музеи'!$A$2:$H$112,7,FALSE)</f>
        <v>279</v>
      </c>
      <c r="C21" s="11">
        <f>VLOOKUP($A21,'спортивные сооружния'!A23:G131,7,FALSE)</f>
        <v>7</v>
      </c>
      <c r="D21" s="11">
        <f>VLOOKUP($A21,библиотеки!A23:H135,7,FALSE)</f>
        <v>6349</v>
      </c>
      <c r="E21" s="11">
        <f>VLOOKUP($A21,Газеты!$A$3:$G$111,7,FALSE)</f>
        <v>770</v>
      </c>
      <c r="F21" s="11">
        <f>VLOOKUP($A21,Лагеря!$A$3:$F$113,6,FALSE)</f>
        <v>28.9</v>
      </c>
    </row>
    <row r="22" spans="1:6" ht="19.2" x14ac:dyDescent="0.3">
      <c r="A22" s="10" t="s">
        <v>40</v>
      </c>
      <c r="B22" s="11">
        <f>VLOOKUP($A22,'театры, музеи'!$A$2:$H$112,7,FALSE)</f>
        <v>256</v>
      </c>
      <c r="C22" s="11">
        <f>VLOOKUP($A22,'спортивные сооружния'!A24:G132,7,FALSE)</f>
        <v>7</v>
      </c>
      <c r="D22" s="11">
        <f>VLOOKUP($A22,библиотеки!A24:H136,7,FALSE)</f>
        <v>7313</v>
      </c>
      <c r="E22" s="11">
        <f>VLOOKUP($A22,Газеты!$A$3:$G$111,7,FALSE)</f>
        <v>1250</v>
      </c>
      <c r="F22" s="11">
        <f>VLOOKUP($A22,Лагеря!$A$3:$F$113,6,FALSE)</f>
        <v>31.7</v>
      </c>
    </row>
    <row r="23" spans="1:6" ht="28.8" x14ac:dyDescent="0.3">
      <c r="A23" s="10" t="s">
        <v>43</v>
      </c>
      <c r="B23" s="11" t="str">
        <f>VLOOKUP($A23,'театры, музеи'!$A$2:$H$112,7,FALSE)</f>
        <v>–</v>
      </c>
      <c r="C23" s="11" t="str">
        <f>VLOOKUP($A23,'спортивные сооружния'!A25:G133,7,FALSE)</f>
        <v>–</v>
      </c>
      <c r="D23" s="11">
        <f>VLOOKUP($A23,библиотеки!A25:H137,7,FALSE)</f>
        <v>8902</v>
      </c>
      <c r="E23" s="11">
        <f>VLOOKUP($A23,Газеты!$A$3:$G$111,7,FALSE)</f>
        <v>866</v>
      </c>
      <c r="F23" s="11">
        <f>VLOOKUP($A23,Лагеря!$A$3:$F$113,6,FALSE)</f>
        <v>1.8</v>
      </c>
    </row>
    <row r="24" spans="1:6" ht="38.4" x14ac:dyDescent="0.3">
      <c r="A24" s="10" t="s">
        <v>45</v>
      </c>
      <c r="B24" s="11">
        <f>VLOOKUP($A24,'театры, музеи'!$A$2:$H$112,7,FALSE)</f>
        <v>267</v>
      </c>
      <c r="C24" s="11">
        <f>VLOOKUP($A24,'спортивные сооружния'!A26:G134,7,FALSE)</f>
        <v>7</v>
      </c>
      <c r="D24" s="11">
        <f>VLOOKUP($A24,библиотеки!A26:H138,7,FALSE)</f>
        <v>7243</v>
      </c>
      <c r="E24" s="11">
        <f>VLOOKUP($A24,Газеты!$A$3:$G$111,7,FALSE)</f>
        <v>1250</v>
      </c>
      <c r="F24" s="11">
        <f>VLOOKUP($A24,Лагеря!$A$3:$F$113,6,FALSE)</f>
        <v>29.9</v>
      </c>
    </row>
    <row r="25" spans="1:6" ht="19.2" x14ac:dyDescent="0.3">
      <c r="A25" s="10" t="s">
        <v>47</v>
      </c>
      <c r="B25" s="11">
        <f>VLOOKUP($A25,'театры, музеи'!$A$2:$H$112,7,FALSE)</f>
        <v>264</v>
      </c>
      <c r="C25" s="11">
        <f>VLOOKUP($A25,'спортивные сооружния'!A27:G135,7,FALSE)</f>
        <v>11</v>
      </c>
      <c r="D25" s="11">
        <f>VLOOKUP($A25,библиотеки!A27:H139,7,FALSE)</f>
        <v>6058</v>
      </c>
      <c r="E25" s="11">
        <f>VLOOKUP($A25,Газеты!$A$3:$G$111,7,FALSE)</f>
        <v>1061</v>
      </c>
      <c r="F25" s="11">
        <f>VLOOKUP($A25,Лагеря!$A$3:$F$113,6,FALSE)</f>
        <v>33.1</v>
      </c>
    </row>
    <row r="26" spans="1:6" ht="19.2" x14ac:dyDescent="0.3">
      <c r="A26" s="10" t="s">
        <v>1064</v>
      </c>
      <c r="B26" s="11">
        <f>VLOOKUP($A26,'театры, музеи'!$A$2:$H$112,7,FALSE)</f>
        <v>211</v>
      </c>
      <c r="C26" s="11">
        <f>VLOOKUP($A26,'спортивные сооружния'!A28:G136,7,FALSE)</f>
        <v>6</v>
      </c>
      <c r="D26" s="11">
        <f>VLOOKUP($A26,библиотеки!A28:H140,7,FALSE)</f>
        <v>4206</v>
      </c>
      <c r="E26" s="11">
        <f>VLOOKUP($A26,Газеты!$A$3:$G$111,7,FALSE)</f>
        <v>319</v>
      </c>
      <c r="F26" s="11">
        <f>VLOOKUP($A26,Лагеря!$A$3:$F$113,6,FALSE)</f>
        <v>46.1</v>
      </c>
    </row>
    <row r="27" spans="1:6" ht="19.2" x14ac:dyDescent="0.3">
      <c r="A27" s="10" t="s">
        <v>51</v>
      </c>
      <c r="B27" s="11">
        <f>VLOOKUP($A27,'театры, музеи'!$A$2:$H$112,7,FALSE)</f>
        <v>126</v>
      </c>
      <c r="C27" s="11">
        <f>VLOOKUP($A27,'спортивные сооружния'!A29:G137,7,FALSE)</f>
        <v>20</v>
      </c>
      <c r="D27" s="11">
        <f>VLOOKUP($A27,библиотеки!A29:H141,7,FALSE)</f>
        <v>3229</v>
      </c>
      <c r="E27" s="11">
        <f>VLOOKUP($A27,Газеты!$A$3:$G$111,7,FALSE)</f>
        <v>130</v>
      </c>
      <c r="F27" s="11">
        <f>VLOOKUP($A27,Лагеря!$A$3:$F$113,6,FALSE)</f>
        <v>60.5</v>
      </c>
    </row>
    <row r="28" spans="1:6" ht="19.2" x14ac:dyDescent="0.3">
      <c r="A28" s="10" t="s">
        <v>52</v>
      </c>
      <c r="B28" s="11">
        <f>VLOOKUP($A28,'театры, музеи'!$A$2:$H$112,7,FALSE)</f>
        <v>214</v>
      </c>
      <c r="C28" s="11">
        <f>VLOOKUP($A28,'спортивные сооружния'!A30:G138,7,FALSE)</f>
        <v>6</v>
      </c>
      <c r="D28" s="11">
        <f>VLOOKUP($A28,библиотеки!A30:H142,7,FALSE)</f>
        <v>7443</v>
      </c>
      <c r="E28" s="11">
        <f>VLOOKUP($A28,Газеты!$A$3:$G$111,7,FALSE)</f>
        <v>837</v>
      </c>
      <c r="F28" s="11">
        <f>VLOOKUP($A28,Лагеря!$A$3:$F$113,6,FALSE)</f>
        <v>7.3</v>
      </c>
    </row>
    <row r="29" spans="1:6" ht="19.2" x14ac:dyDescent="0.3">
      <c r="A29" s="10" t="s">
        <v>53</v>
      </c>
      <c r="B29" s="11">
        <f>VLOOKUP($A29,'театры, музеи'!$A$2:$H$112,7,FALSE)</f>
        <v>115</v>
      </c>
      <c r="C29" s="11">
        <f>VLOOKUP($A29,'спортивные сооружния'!A31:G139,7,FALSE)</f>
        <v>2</v>
      </c>
      <c r="D29" s="11">
        <f>VLOOKUP($A29,библиотеки!A31:H143,7,FALSE)</f>
        <v>7900</v>
      </c>
      <c r="E29" s="11">
        <f>VLOOKUP($A29,Газеты!$A$3:$G$111,7,FALSE)</f>
        <v>717</v>
      </c>
      <c r="F29" s="11">
        <f>VLOOKUP($A29,Лагеря!$A$3:$F$113,6,FALSE)</f>
        <v>16.399999999999999</v>
      </c>
    </row>
    <row r="30" spans="1:6" ht="19.2" x14ac:dyDescent="0.3">
      <c r="A30" s="10" t="s">
        <v>55</v>
      </c>
      <c r="B30" s="11">
        <f>VLOOKUP($A30,'театры, музеи'!$A$2:$H$112,7,FALSE)</f>
        <v>204</v>
      </c>
      <c r="C30" s="11">
        <f>VLOOKUP($A30,'спортивные сооружния'!A32:G140,7,FALSE)</f>
        <v>7</v>
      </c>
      <c r="D30" s="11">
        <f>VLOOKUP($A30,библиотеки!A32:H144,7,FALSE)</f>
        <v>10512</v>
      </c>
      <c r="E30" s="11">
        <f>VLOOKUP($A30,Газеты!$A$3:$G$111,7,FALSE)</f>
        <v>353</v>
      </c>
      <c r="F30" s="11">
        <f>VLOOKUP($A30,Лагеря!$A$3:$F$113,6,FALSE)</f>
        <v>12</v>
      </c>
    </row>
    <row r="31" spans="1:6" ht="19.2" x14ac:dyDescent="0.3">
      <c r="A31" s="10" t="s">
        <v>57</v>
      </c>
      <c r="B31" s="11">
        <f>VLOOKUP($A31,'театры, музеи'!$A$2:$H$112,7,FALSE)</f>
        <v>822</v>
      </c>
      <c r="C31" s="11">
        <f>VLOOKUP($A31,'спортивные сооружния'!A33:G141,7,FALSE)</f>
        <v>9</v>
      </c>
      <c r="D31" s="11">
        <f>VLOOKUP($A31,библиотеки!A33:H145,7,FALSE)</f>
        <v>9919</v>
      </c>
      <c r="E31" s="11">
        <f>VLOOKUP($A31,Газеты!$A$3:$G$111,7,FALSE)</f>
        <v>1313</v>
      </c>
      <c r="F31" s="11">
        <f>VLOOKUP($A31,Лагеря!$A$3:$F$113,6,FALSE)</f>
        <v>35.200000000000003</v>
      </c>
    </row>
    <row r="32" spans="1:6" ht="28.8" x14ac:dyDescent="0.3">
      <c r="A32" s="10" t="s">
        <v>809</v>
      </c>
      <c r="B32" s="11" t="e">
        <f>VLOOKUP($A32,'театры, музеи'!$A$2:$H$112,7,FALSE)</f>
        <v>#N/A</v>
      </c>
      <c r="C32" s="11" t="e">
        <f>VLOOKUP($A32,'спортивные сооружния'!A34:G142,7,FALSE)</f>
        <v>#N/A</v>
      </c>
      <c r="D32" s="11" t="e">
        <f>VLOOKUP($A32,библиотеки!A34:H146,7,FALSE)</f>
        <v>#N/A</v>
      </c>
      <c r="E32" s="11">
        <f>VLOOKUP($A32,Газеты!$A$3:$G$111,7,FALSE)</f>
        <v>217</v>
      </c>
      <c r="F32" s="11" t="e">
        <f>VLOOKUP($A32,Лагеря!$A$3:$F$113,6,FALSE)</f>
        <v>#N/A</v>
      </c>
    </row>
    <row r="33" spans="1:6" ht="19.2" x14ac:dyDescent="0.3">
      <c r="A33" s="10" t="s">
        <v>61</v>
      </c>
      <c r="B33" s="11">
        <f>VLOOKUP($A33,'театры, музеи'!$A$2:$H$112,7,FALSE)</f>
        <v>181</v>
      </c>
      <c r="C33" s="11">
        <f>VLOOKUP($A33,'спортивные сооружния'!A34:G143,7,FALSE)</f>
        <v>3</v>
      </c>
      <c r="D33" s="11">
        <f>VLOOKUP($A33,библиотеки!A35:H147,7,FALSE)</f>
        <v>4936</v>
      </c>
      <c r="E33" s="11">
        <f>VLOOKUP($A33,Газеты!$A$3:$G$111,7,FALSE)</f>
        <v>186</v>
      </c>
      <c r="F33" s="11">
        <f>VLOOKUP($A33,Лагеря!$A$3:$F$113,6,FALSE)</f>
        <v>4.9000000000000004</v>
      </c>
    </row>
    <row r="34" spans="1:6" ht="19.2" x14ac:dyDescent="0.3">
      <c r="A34" s="10" t="s">
        <v>62</v>
      </c>
      <c r="B34" s="11">
        <f>VLOOKUP($A34,'театры, музеи'!$A$2:$H$112,7,FALSE)</f>
        <v>245</v>
      </c>
      <c r="C34" s="11" t="str">
        <f>VLOOKUP($A34,'спортивные сооружния'!A35:G144,7,FALSE)</f>
        <v>–</v>
      </c>
      <c r="D34" s="11">
        <f>VLOOKUP($A34,библиотеки!A36:H148,7,FALSE)</f>
        <v>9245</v>
      </c>
      <c r="E34" s="11">
        <f>VLOOKUP($A34,Газеты!$A$3:$G$111,7,FALSE)</f>
        <v>142</v>
      </c>
      <c r="F34" s="11">
        <f>VLOOKUP($A34,Лагеря!$A$3:$F$113,6,FALSE)</f>
        <v>7.2</v>
      </c>
    </row>
    <row r="35" spans="1:6" ht="19.2" x14ac:dyDescent="0.3">
      <c r="A35" s="10" t="s">
        <v>63</v>
      </c>
      <c r="B35" s="11">
        <f>VLOOKUP($A35,'театры, музеи'!$A$2:$H$112,7,FALSE)</f>
        <v>228</v>
      </c>
      <c r="C35" s="11">
        <f>VLOOKUP($A35,'спортивные сооружния'!A36:G145,7,FALSE)</f>
        <v>30</v>
      </c>
      <c r="D35" s="11">
        <f>VLOOKUP($A35,библиотеки!A37:H149,7,FALSE)</f>
        <v>5223</v>
      </c>
      <c r="E35" s="11">
        <f>VLOOKUP($A35,Газеты!$A$3:$G$111,7,FALSE)</f>
        <v>136</v>
      </c>
      <c r="F35" s="11">
        <f>VLOOKUP($A35,Лагеря!$A$3:$F$113,6,FALSE)</f>
        <v>67.7</v>
      </c>
    </row>
    <row r="36" spans="1:6" ht="19.2" x14ac:dyDescent="0.3">
      <c r="A36" s="10" t="s">
        <v>65</v>
      </c>
      <c r="B36" s="11">
        <f>VLOOKUP($A36,'театры, музеи'!$A$2:$H$112,7,FALSE)</f>
        <v>103</v>
      </c>
      <c r="C36" s="11">
        <f>VLOOKUP($A36,'спортивные сооружния'!A37:G146,7,FALSE)</f>
        <v>82</v>
      </c>
      <c r="D36" s="11">
        <f>VLOOKUP($A36,библиотеки!A38:H150,7,FALSE)</f>
        <v>3875</v>
      </c>
      <c r="E36" s="11">
        <f>VLOOKUP($A36,Газеты!$A$3:$G$111,7,FALSE)</f>
        <v>230</v>
      </c>
      <c r="F36" s="11">
        <f>VLOOKUP($A36,Лагеря!$A$3:$F$113,6,FALSE)</f>
        <v>191.4</v>
      </c>
    </row>
    <row r="37" spans="1:6" ht="19.2" x14ac:dyDescent="0.3">
      <c r="A37" s="10" t="s">
        <v>66</v>
      </c>
      <c r="B37" s="11">
        <f>VLOOKUP($A37,'театры, музеи'!$A$2:$H$112,7,FALSE)</f>
        <v>283</v>
      </c>
      <c r="C37" s="11">
        <f>VLOOKUP($A37,'спортивные сооружния'!A38:G147,7,FALSE)</f>
        <v>8</v>
      </c>
      <c r="D37" s="11">
        <f>VLOOKUP($A37,библиотеки!A38:H151,7,FALSE)</f>
        <v>6029</v>
      </c>
      <c r="E37" s="11">
        <f>VLOOKUP($A37,Газеты!$A$3:$G$111,7,FALSE)</f>
        <v>104</v>
      </c>
      <c r="F37" s="11">
        <f>VLOOKUP($A37,Лагеря!$A$3:$F$113,6,FALSE)</f>
        <v>14</v>
      </c>
    </row>
    <row r="38" spans="1:6" ht="19.2" x14ac:dyDescent="0.3">
      <c r="A38" s="10" t="s">
        <v>67</v>
      </c>
      <c r="B38" s="11">
        <f>VLOOKUP($A38,'театры, музеи'!$A$2:$H$112,7,FALSE)</f>
        <v>214</v>
      </c>
      <c r="C38" s="11">
        <f>VLOOKUP($A38,'спортивные сооружния'!A39:G148,7,FALSE)</f>
        <v>35</v>
      </c>
      <c r="D38" s="11">
        <f>VLOOKUP($A38,библиотеки!A39:H152,7,FALSE)</f>
        <v>5061</v>
      </c>
      <c r="E38" s="11">
        <f>VLOOKUP($A38,Газеты!$A$3:$G$111,7,FALSE)</f>
        <v>156</v>
      </c>
      <c r="F38" s="11">
        <f>VLOOKUP($A38,Лагеря!$A$3:$F$113,6,FALSE)</f>
        <v>78.3</v>
      </c>
    </row>
    <row r="39" spans="1:6" ht="19.2" x14ac:dyDescent="0.3">
      <c r="A39" s="10" t="s">
        <v>70</v>
      </c>
      <c r="B39" s="11">
        <f>VLOOKUP($A39,'театры, музеи'!$A$2:$H$112,7,FALSE)</f>
        <v>204</v>
      </c>
      <c r="C39" s="11">
        <f>VLOOKUP($A39,'спортивные сооружния'!A40:G149,7,FALSE)</f>
        <v>56</v>
      </c>
      <c r="D39" s="11">
        <f>VLOOKUP($A39,библиотеки!A40:H153,7,FALSE)</f>
        <v>5036</v>
      </c>
      <c r="E39" s="11">
        <f>VLOOKUP($A39,Газеты!$A$3:$G$111,7,FALSE)</f>
        <v>310</v>
      </c>
      <c r="F39" s="11">
        <f>VLOOKUP($A39,Лагеря!$A$3:$F$113,6,FALSE)</f>
        <v>59.3</v>
      </c>
    </row>
    <row r="40" spans="1:6" x14ac:dyDescent="0.3">
      <c r="A40" s="10" t="s">
        <v>71</v>
      </c>
      <c r="B40" s="11">
        <f>VLOOKUP($A40,'театры, музеи'!$A$2:$H$112,7,FALSE)</f>
        <v>358</v>
      </c>
      <c r="C40" s="11">
        <f>VLOOKUP($A40,'спортивные сооружния'!A41:G150,7,FALSE)</f>
        <v>3</v>
      </c>
      <c r="D40" s="11">
        <f>VLOOKUP($A40,библиотеки!A41:H154,7,FALSE)</f>
        <v>2693</v>
      </c>
      <c r="E40" s="11">
        <f>VLOOKUP($A40,Газеты!$A$3:$G$111,7,FALSE)</f>
        <v>195</v>
      </c>
      <c r="F40" s="11">
        <f>VLOOKUP($A40,Лагеря!$A$3:$F$113,6,FALSE)</f>
        <v>4.8</v>
      </c>
    </row>
    <row r="41" spans="1:6" ht="38.4" x14ac:dyDescent="0.3">
      <c r="A41" s="10" t="s">
        <v>1065</v>
      </c>
      <c r="B41" s="11" t="e">
        <f>VLOOKUP($A41,'театры, музеи'!$A$2:$H$112,7,FALSE)</f>
        <v>#N/A</v>
      </c>
      <c r="C41" s="11" t="e">
        <f>VLOOKUP($A41,'спортивные сооружния'!A42:G151,7,FALSE)</f>
        <v>#N/A</v>
      </c>
      <c r="D41" s="11" t="e">
        <f>VLOOKUP($A41,библиотеки!A42:H155,7,FALSE)</f>
        <v>#N/A</v>
      </c>
      <c r="E41" s="11" t="e">
        <f>VLOOKUP($A41,Газеты!$A$3:$G$111,7,FALSE)</f>
        <v>#N/A</v>
      </c>
      <c r="F41" s="11" t="e">
        <f>VLOOKUP($A41,Лагеря!$A$3:$F$113,6,FALSE)</f>
        <v>#N/A</v>
      </c>
    </row>
    <row r="42" spans="1:6" ht="19.8" thickBot="1" x14ac:dyDescent="0.35">
      <c r="A42" s="16" t="s">
        <v>74</v>
      </c>
      <c r="B42" s="11">
        <f>VLOOKUP($A42,'театры, музеи'!$A$2:$H$112,7,FALSE)</f>
        <v>122</v>
      </c>
      <c r="C42" s="11">
        <f>VLOOKUP($A42,'спортивные сооружния'!A43:G152,7,FALSE)</f>
        <v>13</v>
      </c>
      <c r="D42" s="11">
        <f>VLOOKUP($A42,библиотеки!A43:H156,7,FALSE)</f>
        <v>2339</v>
      </c>
      <c r="E42" s="11">
        <f>VLOOKUP($A42,Газеты!$A$3:$G$111,7,FALSE)</f>
        <v>56</v>
      </c>
      <c r="F42" s="11">
        <f>VLOOKUP($A42,Лагеря!$A$3:$F$113,6,FALSE)</f>
        <v>26.4</v>
      </c>
    </row>
    <row r="43" spans="1:6" ht="19.2" x14ac:dyDescent="0.3">
      <c r="A43" s="20" t="s">
        <v>250</v>
      </c>
      <c r="B43" s="11" t="e">
        <f>VLOOKUP($A43,'театры, музеи'!$A$2:$H$112,7,FALSE)</f>
        <v>#N/A</v>
      </c>
      <c r="C43" s="11">
        <f>VLOOKUP($A43,'спортивные сооружния'!A44:G153,7,FALSE)</f>
        <v>4</v>
      </c>
      <c r="D43" s="11" t="e">
        <f>VLOOKUP($A43,библиотеки!A44:H157,7,FALSE)</f>
        <v>#N/A</v>
      </c>
      <c r="E43" s="11" t="e">
        <f>VLOOKUP($A43,Газеты!$A$3:$G$111,7,FALSE)</f>
        <v>#N/A</v>
      </c>
      <c r="F43" s="11">
        <f>VLOOKUP($A43,Лагеря!$A$3:$F$113,6,FALSE)</f>
        <v>3.7</v>
      </c>
    </row>
    <row r="44" spans="1:6" ht="28.8" x14ac:dyDescent="0.3">
      <c r="A44" s="8" t="s">
        <v>76</v>
      </c>
      <c r="B44" s="11">
        <f>VLOOKUP($A44,'театры, музеи'!$A$2:$H$112,7,FALSE)</f>
        <v>210</v>
      </c>
      <c r="C44" s="11">
        <f>VLOOKUP($A44,'спортивные сооружния'!A45:G154,7,FALSE)</f>
        <v>11</v>
      </c>
      <c r="D44" s="11">
        <f>VLOOKUP($A44,библиотеки!A45:H158,7,FALSE)</f>
        <v>5527</v>
      </c>
      <c r="E44" s="11">
        <f>VLOOKUP($A44,Газеты!$A$3:$G$111,7,FALSE)</f>
        <v>49</v>
      </c>
      <c r="F44" s="11">
        <f>VLOOKUP($A44,Лагеря!$A$3:$F$113,6,FALSE)</f>
        <v>2.6</v>
      </c>
    </row>
    <row r="45" spans="1:6" ht="28.8" x14ac:dyDescent="0.3">
      <c r="A45" s="10" t="s">
        <v>77</v>
      </c>
      <c r="B45" s="11">
        <f>VLOOKUP($A45,'театры, музеи'!$A$2:$H$112,7,FALSE)</f>
        <v>99</v>
      </c>
      <c r="C45" s="11">
        <f>VLOOKUP($A45,'спортивные сооружния'!A46:G155,7,FALSE)</f>
        <v>4</v>
      </c>
      <c r="D45" s="11">
        <f>VLOOKUP($A45,библиотеки!A46:H159,7,FALSE)</f>
        <v>5343</v>
      </c>
      <c r="E45" s="11">
        <f>VLOOKUP($A45,Газеты!$A$3:$G$111,7,FALSE)</f>
        <v>95</v>
      </c>
      <c r="F45" s="11">
        <f>VLOOKUP($A45,Лагеря!$A$3:$F$113,6,FALSE)</f>
        <v>6.6</v>
      </c>
    </row>
    <row r="46" spans="1:6" ht="28.8" x14ac:dyDescent="0.3">
      <c r="A46" s="10" t="s">
        <v>1066</v>
      </c>
      <c r="B46" s="11">
        <f>VLOOKUP($A46,'театры, музеи'!$A$2:$H$112,7,FALSE)</f>
        <v>317</v>
      </c>
      <c r="C46" s="11">
        <f>VLOOKUP($A46,'спортивные сооружния'!A47:G156,7,FALSE)</f>
        <v>12</v>
      </c>
      <c r="D46" s="11">
        <f>VLOOKUP($A46,библиотеки!A47:H160,7,FALSE)</f>
        <v>4936</v>
      </c>
      <c r="E46" s="11">
        <f>VLOOKUP($A46,Газеты!$A$3:$G$111,7,FALSE)</f>
        <v>85</v>
      </c>
      <c r="F46" s="11">
        <f>VLOOKUP($A46,Лагеря!$A$3:$F$113,6,FALSE)</f>
        <v>16.5</v>
      </c>
    </row>
    <row r="47" spans="1:6" ht="19.2" x14ac:dyDescent="0.3">
      <c r="A47" s="10" t="s">
        <v>78</v>
      </c>
      <c r="B47" s="11">
        <f>VLOOKUP($A47,'театры, музеи'!$A$2:$H$112,7,FALSE)</f>
        <v>154</v>
      </c>
      <c r="C47" s="11">
        <f>VLOOKUP($A47,'спортивные сооружния'!A48:G157,7,FALSE)</f>
        <v>13</v>
      </c>
      <c r="D47" s="11">
        <f>VLOOKUP($A47,библиотеки!A48:H161,7,FALSE)</f>
        <v>1483</v>
      </c>
      <c r="E47" s="11">
        <f>VLOOKUP($A47,Газеты!$A$3:$G$111,7,FALSE)</f>
        <v>28</v>
      </c>
      <c r="F47" s="11">
        <f>VLOOKUP($A47,Лагеря!$A$3:$F$113,6,FALSE)</f>
        <v>9</v>
      </c>
    </row>
    <row r="48" spans="1:6" ht="19.2" x14ac:dyDescent="0.3">
      <c r="A48" s="10" t="s">
        <v>79</v>
      </c>
      <c r="B48" s="11">
        <f>VLOOKUP($A48,'театры, музеи'!$A$2:$H$112,7,FALSE)</f>
        <v>117</v>
      </c>
      <c r="C48" s="11">
        <f>VLOOKUP($A48,'спортивные сооружния'!A49:G158,7,FALSE)</f>
        <v>40</v>
      </c>
      <c r="D48" s="11">
        <f>VLOOKUP($A48,библиотеки!A49:H162,7,FALSE)</f>
        <v>5289</v>
      </c>
      <c r="E48" s="11">
        <f>VLOOKUP($A48,Газеты!$A$3:$G$111,7,FALSE)</f>
        <v>173</v>
      </c>
      <c r="F48" s="11">
        <f>VLOOKUP($A48,Лагеря!$A$3:$F$113,6,FALSE)</f>
        <v>78.099999999999994</v>
      </c>
    </row>
    <row r="49" spans="1:6" ht="28.8" x14ac:dyDescent="0.3">
      <c r="A49" s="10" t="s">
        <v>1067</v>
      </c>
      <c r="B49" s="11" t="e">
        <f>VLOOKUP($A49,'театры, музеи'!$A$2:$H$112,7,FALSE)</f>
        <v>#N/A</v>
      </c>
      <c r="C49" s="11" t="e">
        <f>VLOOKUP($A49,'спортивные сооружния'!A50:G159,7,FALSE)</f>
        <v>#N/A</v>
      </c>
      <c r="D49" s="11" t="e">
        <f>VLOOKUP($A49,библиотеки!A50:H163,7,FALSE)</f>
        <v>#N/A</v>
      </c>
      <c r="E49" s="11" t="e">
        <f>VLOOKUP($A49,Газеты!$A$3:$G$111,7,FALSE)</f>
        <v>#N/A</v>
      </c>
      <c r="F49" s="11" t="e">
        <f>VLOOKUP($A49,Лагеря!$A$3:$F$113,6,FALSE)</f>
        <v>#N/A</v>
      </c>
    </row>
    <row r="50" spans="1:6" ht="19.2" x14ac:dyDescent="0.3">
      <c r="A50" s="10" t="s">
        <v>81</v>
      </c>
      <c r="B50" s="11">
        <f>VLOOKUP($A50,'театры, музеи'!$A$2:$H$112,7,FALSE)</f>
        <v>257</v>
      </c>
      <c r="C50" s="11">
        <f>VLOOKUP($A50,'спортивные сооружния'!A51:G160,7,FALSE)</f>
        <v>25</v>
      </c>
      <c r="D50" s="11">
        <f>VLOOKUP($A50,библиотеки!A51:H164,7,FALSE)</f>
        <v>6490</v>
      </c>
      <c r="E50" s="11">
        <f>VLOOKUP($A50,Газеты!$A$3:$G$111,7,FALSE)</f>
        <v>278</v>
      </c>
      <c r="F50" s="11">
        <f>VLOOKUP($A50,Лагеря!$A$3:$F$113,6,FALSE)</f>
        <v>174.7</v>
      </c>
    </row>
    <row r="51" spans="1:6" ht="19.2" x14ac:dyDescent="0.3">
      <c r="A51" s="10" t="s">
        <v>82</v>
      </c>
      <c r="B51" s="11">
        <f>VLOOKUP($A51,'театры, музеи'!$A$2:$H$112,7,FALSE)</f>
        <v>561</v>
      </c>
      <c r="C51" s="11">
        <f>VLOOKUP($A51,'спортивные сооружния'!A52:G161,7,FALSE)</f>
        <v>8</v>
      </c>
      <c r="D51" s="11">
        <f>VLOOKUP($A51,библиотеки!A52:H165,7,FALSE)</f>
        <v>6956</v>
      </c>
      <c r="E51" s="11">
        <f>VLOOKUP($A51,Газеты!$A$3:$G$111,7,FALSE)</f>
        <v>1618</v>
      </c>
      <c r="F51" s="11">
        <f>VLOOKUP($A51,Лагеря!$A$3:$F$113,6,FALSE)</f>
        <v>22.1</v>
      </c>
    </row>
    <row r="52" spans="1:6" ht="19.2" x14ac:dyDescent="0.3">
      <c r="A52" s="10" t="s">
        <v>83</v>
      </c>
      <c r="B52" s="11">
        <f>VLOOKUP($A52,'театры, музеи'!$A$2:$H$112,7,FALSE)</f>
        <v>324</v>
      </c>
      <c r="C52" s="11">
        <f>VLOOKUP($A52,'спортивные сооружния'!A53:G162,7,FALSE)</f>
        <v>6</v>
      </c>
      <c r="D52" s="11">
        <f>VLOOKUP($A52,библиотеки!A53:H166,7,FALSE)</f>
        <v>7886</v>
      </c>
      <c r="E52" s="11">
        <f>VLOOKUP($A52,Газеты!$A$3:$G$111,7,FALSE)</f>
        <v>225</v>
      </c>
      <c r="F52" s="11">
        <f>VLOOKUP($A52,Лагеря!$A$3:$F$113,6,FALSE)</f>
        <v>23.6</v>
      </c>
    </row>
    <row r="53" spans="1:6" ht="19.2" x14ac:dyDescent="0.3">
      <c r="A53" s="10" t="s">
        <v>84</v>
      </c>
      <c r="B53" s="11">
        <f>VLOOKUP($A53,'театры, музеи'!$A$2:$H$112,7,FALSE)</f>
        <v>341</v>
      </c>
      <c r="C53" s="11">
        <f>VLOOKUP($A53,'спортивные сооружния'!A54:G163,7,FALSE)</f>
        <v>46</v>
      </c>
      <c r="D53" s="11">
        <f>VLOOKUP($A53,библиотеки!A54:H167,7,FALSE)</f>
        <v>5868</v>
      </c>
      <c r="E53" s="11">
        <f>VLOOKUP($A53,Газеты!$A$3:$G$111,7,FALSE)</f>
        <v>349</v>
      </c>
      <c r="F53" s="11">
        <f>VLOOKUP($A53,Лагеря!$A$3:$F$113,6,FALSE)</f>
        <v>147</v>
      </c>
    </row>
    <row r="54" spans="1:6" ht="19.2" x14ac:dyDescent="0.3">
      <c r="A54" s="10" t="s">
        <v>85</v>
      </c>
      <c r="B54" s="11">
        <f>VLOOKUP($A54,'театры, музеи'!$A$2:$H$112,7,FALSE)</f>
        <v>312</v>
      </c>
      <c r="C54" s="11">
        <f>VLOOKUP($A54,'спортивные сооружния'!A55:G164,7,FALSE)</f>
        <v>25</v>
      </c>
      <c r="D54" s="11">
        <f>VLOOKUP($A54,библиотеки!A55:H168,7,FALSE)</f>
        <v>3663</v>
      </c>
      <c r="E54" s="11">
        <f>VLOOKUP($A54,Газеты!$A$3:$G$111,7,FALSE)</f>
        <v>520</v>
      </c>
      <c r="F54" s="11">
        <f>VLOOKUP($A54,Лагеря!$A$3:$F$113,6,FALSE)</f>
        <v>55.9</v>
      </c>
    </row>
    <row r="55" spans="1:6" ht="19.2" x14ac:dyDescent="0.3">
      <c r="A55" s="10" t="s">
        <v>86</v>
      </c>
      <c r="B55" s="11">
        <f>VLOOKUP($A55,'театры, музеи'!$A$2:$H$112,7,FALSE)</f>
        <v>388</v>
      </c>
      <c r="C55" s="11">
        <f>VLOOKUP($A55,'спортивные сооружния'!A56:G165,7,FALSE)</f>
        <v>12</v>
      </c>
      <c r="D55" s="11">
        <f>VLOOKUP($A55,библиотеки!A56:H169,7,FALSE)</f>
        <v>7548</v>
      </c>
      <c r="E55" s="11">
        <f>VLOOKUP($A55,Газеты!$A$3:$G$111,7,FALSE)</f>
        <v>509</v>
      </c>
      <c r="F55" s="11">
        <f>VLOOKUP($A55,Лагеря!$A$3:$F$113,6,FALSE)</f>
        <v>31.9</v>
      </c>
    </row>
    <row r="56" spans="1:6" x14ac:dyDescent="0.3">
      <c r="A56" s="10" t="s">
        <v>87</v>
      </c>
      <c r="B56" s="11">
        <f>VLOOKUP($A56,'театры, музеи'!$A$2:$H$112,7,FALSE)</f>
        <v>349</v>
      </c>
      <c r="C56" s="11">
        <f>VLOOKUP($A56,'спортивные сооружния'!A56:G166,7,FALSE)</f>
        <v>25</v>
      </c>
      <c r="D56" s="11">
        <f>VLOOKUP($A56,библиотеки!A57:H170,7,FALSE)</f>
        <v>4738</v>
      </c>
      <c r="E56" s="11">
        <f>VLOOKUP($A56,Газеты!$A$3:$G$111,7,FALSE)</f>
        <v>370</v>
      </c>
      <c r="F56" s="11">
        <f>VLOOKUP($A56,Лагеря!$A$3:$F$113,6,FALSE)</f>
        <v>97.6</v>
      </c>
    </row>
    <row r="57" spans="1:6" ht="19.2" x14ac:dyDescent="0.3">
      <c r="A57" s="10" t="s">
        <v>88</v>
      </c>
      <c r="B57" s="11">
        <f>VLOOKUP($A57,'театры, музеи'!$A$2:$H$112,7,FALSE)</f>
        <v>236</v>
      </c>
      <c r="C57" s="11">
        <f>VLOOKUP($A57,'спортивные сооружния'!A57:G167,7,FALSE)</f>
        <v>24</v>
      </c>
      <c r="D57" s="11">
        <f>VLOOKUP($A57,библиотеки!A58:H171,7,FALSE)</f>
        <v>10482</v>
      </c>
      <c r="E57" s="11">
        <f>VLOOKUP($A57,Газеты!$A$3:$G$111,7,FALSE)</f>
        <v>605</v>
      </c>
      <c r="F57" s="11">
        <f>VLOOKUP($A57,Лагеря!$A$3:$F$113,6,FALSE)</f>
        <v>51.1</v>
      </c>
    </row>
    <row r="58" spans="1:6" ht="19.2" x14ac:dyDescent="0.3">
      <c r="A58" s="10" t="s">
        <v>89</v>
      </c>
      <c r="B58" s="11">
        <f>VLOOKUP($A58,'театры, музеи'!$A$2:$H$112,7,FALSE)</f>
        <v>317</v>
      </c>
      <c r="C58" s="11">
        <f>VLOOKUP($A58,'спортивные сооружния'!A57:G168,7,FALSE)</f>
        <v>42</v>
      </c>
      <c r="D58" s="11">
        <f>VLOOKUP($A58,библиотеки!A59:H172,7,FALSE)</f>
        <v>5806</v>
      </c>
      <c r="E58" s="11">
        <f>VLOOKUP($A58,Газеты!$A$3:$G$111,7,FALSE)</f>
        <v>1201</v>
      </c>
      <c r="F58" s="11">
        <f>VLOOKUP($A58,Лагеря!$A$3:$F$113,6,FALSE)</f>
        <v>97.5</v>
      </c>
    </row>
    <row r="59" spans="1:6" ht="19.2" x14ac:dyDescent="0.3">
      <c r="A59" s="8" t="s">
        <v>90</v>
      </c>
      <c r="B59" s="11">
        <f>VLOOKUP($A59,'театры, музеи'!$A$2:$H$112,7,FALSE)</f>
        <v>220</v>
      </c>
      <c r="C59" s="11">
        <f>VLOOKUP($A59,'спортивные сооружния'!A58:G169,7,FALSE)</f>
        <v>35</v>
      </c>
      <c r="D59" s="11">
        <f>VLOOKUP($A59,библиотеки!A60:H173,7,FALSE)</f>
        <v>6593</v>
      </c>
      <c r="E59" s="11">
        <f>VLOOKUP($A59,Газеты!$A$3:$G$111,7,FALSE)</f>
        <v>291</v>
      </c>
      <c r="F59" s="11">
        <f>VLOOKUP($A59,Лагеря!$A$3:$F$113,6,FALSE)</f>
        <v>61.5</v>
      </c>
    </row>
    <row r="60" spans="1:6" ht="19.2" x14ac:dyDescent="0.3">
      <c r="A60" s="8" t="s">
        <v>91</v>
      </c>
      <c r="B60" s="11">
        <f>VLOOKUP($A60,'театры, музеи'!$A$2:$H$112,7,FALSE)</f>
        <v>175</v>
      </c>
      <c r="C60" s="11">
        <f>VLOOKUP($A60,'спортивные сооружния'!A58:G170,7,FALSE)</f>
        <v>25</v>
      </c>
      <c r="D60" s="11">
        <f>VLOOKUP($A60,библиотеки!A61:H174,7,FALSE)</f>
        <v>6641</v>
      </c>
      <c r="E60" s="11">
        <f>VLOOKUP($A60,Газеты!$A$3:$G$111,7,FALSE)</f>
        <v>455</v>
      </c>
      <c r="F60" s="11">
        <f>VLOOKUP($A60,Лагеря!$A$3:$F$113,6,FALSE)</f>
        <v>38.5</v>
      </c>
    </row>
    <row r="61" spans="1:6" ht="19.2" x14ac:dyDescent="0.3">
      <c r="A61" s="10" t="s">
        <v>92</v>
      </c>
      <c r="B61" s="11">
        <f>VLOOKUP($A61,'театры, музеи'!$A$2:$H$112,7,FALSE)</f>
        <v>277</v>
      </c>
      <c r="C61" s="11">
        <f>VLOOKUP($A61,'спортивные сооружния'!A59:G171,7,FALSE)</f>
        <v>39</v>
      </c>
      <c r="D61" s="11">
        <f>VLOOKUP($A61,библиотеки!A62:H175,7,FALSE)</f>
        <v>5198</v>
      </c>
      <c r="E61" s="11">
        <f>VLOOKUP($A61,Газеты!$A$3:$G$111,7,FALSE)</f>
        <v>285</v>
      </c>
      <c r="F61" s="11">
        <f>VLOOKUP($A61,Лагеря!$A$3:$F$113,6,FALSE)</f>
        <v>93.5</v>
      </c>
    </row>
    <row r="62" spans="1:6" ht="19.2" x14ac:dyDescent="0.3">
      <c r="A62" s="10" t="s">
        <v>93</v>
      </c>
      <c r="B62" s="11">
        <f>VLOOKUP($A62,'театры, музеи'!$A$2:$H$112,7,FALSE)</f>
        <v>266</v>
      </c>
      <c r="C62" s="11">
        <f>VLOOKUP($A62,'спортивные сооружния'!A60:G172,7,FALSE)</f>
        <v>24</v>
      </c>
      <c r="D62" s="11">
        <f>VLOOKUP($A62,библиотеки!A62:H176,7,FALSE)</f>
        <v>5728</v>
      </c>
      <c r="E62" s="11">
        <f>VLOOKUP($A62,Газеты!$A$3:$G$111,7,FALSE)</f>
        <v>405</v>
      </c>
      <c r="F62" s="11">
        <f>VLOOKUP($A62,Лагеря!$A$3:$F$113,6,FALSE)</f>
        <v>50.8</v>
      </c>
    </row>
    <row r="63" spans="1:6" ht="19.2" x14ac:dyDescent="0.3">
      <c r="A63" s="10" t="s">
        <v>94</v>
      </c>
      <c r="B63" s="11">
        <f>VLOOKUP($A63,'театры, музеи'!$A$2:$H$112,7,FALSE)</f>
        <v>189</v>
      </c>
      <c r="C63" s="11">
        <f>VLOOKUP($A63,'спортивные сооружния'!A61:G173,7,FALSE)</f>
        <v>17</v>
      </c>
      <c r="D63" s="11">
        <f>VLOOKUP($A63,библиотеки!A63:H177,7,FALSE)</f>
        <v>6888</v>
      </c>
      <c r="E63" s="11">
        <f>VLOOKUP($A63,Газеты!$A$3:$G$111,7,FALSE)</f>
        <v>1143</v>
      </c>
      <c r="F63" s="11">
        <f>VLOOKUP($A63,Лагеря!$A$3:$F$113,6,FALSE)</f>
        <v>40.700000000000003</v>
      </c>
    </row>
    <row r="64" spans="1:6" ht="28.8" x14ac:dyDescent="0.3">
      <c r="A64" s="14" t="s">
        <v>1068</v>
      </c>
      <c r="B64" s="11" t="e">
        <f>VLOOKUP($A64,'театры, музеи'!$A$2:$H$112,7,FALSE)</f>
        <v>#N/A</v>
      </c>
      <c r="C64" s="11" t="e">
        <f>VLOOKUP($A64,'спортивные сооружния'!A62:G174,7,FALSE)</f>
        <v>#N/A</v>
      </c>
      <c r="D64" s="11" t="e">
        <f>VLOOKUP($A64,библиотеки!A64:H178,7,FALSE)</f>
        <v>#N/A</v>
      </c>
      <c r="E64" s="11" t="e">
        <f>VLOOKUP($A64,Газеты!$A$3:$G$111,7,FALSE)</f>
        <v>#N/A</v>
      </c>
      <c r="F64" s="11" t="e">
        <f>VLOOKUP($A64,Лагеря!$A$3:$F$113,6,FALSE)</f>
        <v>#N/A</v>
      </c>
    </row>
    <row r="65" spans="1:6" ht="19.2" x14ac:dyDescent="0.3">
      <c r="A65" s="15" t="s">
        <v>96</v>
      </c>
      <c r="B65" s="11">
        <f>VLOOKUP($A65,'театры, музеи'!$A$2:$H$112,7,FALSE)</f>
        <v>171</v>
      </c>
      <c r="C65" s="11">
        <f>VLOOKUP($A65,'спортивные сооружния'!A63:G175,7,FALSE)</f>
        <v>20</v>
      </c>
      <c r="D65" s="11">
        <f>VLOOKUP($A65,библиотеки!A65:H179,7,FALSE)</f>
        <v>9231</v>
      </c>
      <c r="E65" s="11">
        <f>VLOOKUP($A65,Газеты!$A$3:$G$111,7,FALSE)</f>
        <v>196</v>
      </c>
      <c r="F65" s="11" t="e">
        <f>VLOOKUP($A65,Лагеря!$A$3:$F$113,6,FALSE)</f>
        <v>#N/A</v>
      </c>
    </row>
    <row r="66" spans="1:6" ht="19.2" x14ac:dyDescent="0.3">
      <c r="A66" s="15" t="s">
        <v>97</v>
      </c>
      <c r="B66" s="11">
        <f>VLOOKUP($A66,'театры, музеи'!$A$2:$H$112,7,FALSE)</f>
        <v>325</v>
      </c>
      <c r="C66" s="11">
        <f>VLOOKUP($A66,'спортивные сооружния'!A64:G176,7,FALSE)</f>
        <v>45</v>
      </c>
      <c r="D66" s="11">
        <f>VLOOKUP($A66,библиотеки!A66:H180,7,FALSE)</f>
        <v>3656</v>
      </c>
      <c r="E66" s="11">
        <f>VLOOKUP($A66,Газеты!$A$3:$G$111,7,FALSE)</f>
        <v>375</v>
      </c>
      <c r="F66" s="11">
        <f>VLOOKUP($A66,Лагеря!$A$3:$F$113,6,FALSE)</f>
        <v>36.6</v>
      </c>
    </row>
    <row r="67" spans="1:6" ht="19.2" x14ac:dyDescent="0.3">
      <c r="A67" s="15" t="s">
        <v>98</v>
      </c>
      <c r="B67" s="11">
        <f>VLOOKUP($A67,'театры, музеи'!$A$2:$H$112,7,FALSE)</f>
        <v>200</v>
      </c>
      <c r="C67" s="11">
        <f>VLOOKUP($A67,'спортивные сооружния'!A65:G177,7,FALSE)</f>
        <v>22</v>
      </c>
      <c r="D67" s="11">
        <f>VLOOKUP($A67,библиотеки!A67:H181,7,FALSE)</f>
        <v>4066</v>
      </c>
      <c r="E67" s="11">
        <f>VLOOKUP($A67,Газеты!$A$3:$G$111,7,FALSE)</f>
        <v>204</v>
      </c>
      <c r="F67" s="11">
        <f>VLOOKUP($A67,Лагеря!$A$3:$F$113,6,FALSE)</f>
        <v>180.2</v>
      </c>
    </row>
    <row r="68" spans="1:6" ht="38.4" x14ac:dyDescent="0.3">
      <c r="A68" s="15" t="s">
        <v>1069</v>
      </c>
      <c r="B68" s="11">
        <f>VLOOKUP($A68,'театры, музеи'!$A$2:$H$112,7,FALSE)</f>
        <v>162</v>
      </c>
      <c r="C68" s="11">
        <f>VLOOKUP($A68,'спортивные сооружния'!A66:G178,7,FALSE)</f>
        <v>4</v>
      </c>
      <c r="D68" s="11">
        <f>VLOOKUP($A68,библиотеки!A68:H182,7,FALSE)</f>
        <v>3069</v>
      </c>
      <c r="E68" s="11">
        <f>VLOOKUP($A68,Газеты!$A$3:$G$111,7,FALSE)</f>
        <v>222</v>
      </c>
      <c r="F68" s="11">
        <f>VLOOKUP($A68,Лагеря!$A$3:$F$113,6,FALSE)</f>
        <v>49</v>
      </c>
    </row>
    <row r="69" spans="1:6" ht="38.4" x14ac:dyDescent="0.3">
      <c r="A69" s="15" t="s">
        <v>101</v>
      </c>
      <c r="B69" s="11" t="str">
        <f>VLOOKUP($A69,'театры, музеи'!$A$2:$H$112,7,FALSE)</f>
        <v>–</v>
      </c>
      <c r="C69" s="11" t="str">
        <f>VLOOKUP($A69,'спортивные сооружния'!A67:G179,7,FALSE)</f>
        <v>–</v>
      </c>
      <c r="D69" s="11">
        <f>VLOOKUP($A69,библиотеки!A69:H183,7,FALSE)</f>
        <v>2658</v>
      </c>
      <c r="E69" s="11">
        <f>VLOOKUP($A69,Газеты!$A$3:$G$111,7,FALSE)</f>
        <v>172</v>
      </c>
      <c r="F69" s="11">
        <f>VLOOKUP($A69,Лагеря!$A$3:$F$113,6,FALSE)</f>
        <v>7.3</v>
      </c>
    </row>
    <row r="70" spans="1:6" ht="38.4" x14ac:dyDescent="0.3">
      <c r="A70" s="10" t="s">
        <v>922</v>
      </c>
      <c r="B70" s="11">
        <f>VLOOKUP($A70,'театры, музеи'!$A$2:$H$112,7,FALSE)</f>
        <v>304</v>
      </c>
      <c r="C70" s="11">
        <f>VLOOKUP($A70,'спортивные сооружния'!A68:G180,7,FALSE)</f>
        <v>18</v>
      </c>
      <c r="D70" s="11">
        <f>VLOOKUP($A70,библиотеки!A70:H184,7,FALSE)</f>
        <v>5600</v>
      </c>
      <c r="E70" s="11">
        <f>VLOOKUP($A70,Газеты!$A$3:$G$111,7,FALSE)</f>
        <v>193</v>
      </c>
      <c r="F70" s="11">
        <f>VLOOKUP($A70,Лагеря!$A$3:$F$113,6,FALSE)</f>
        <v>100.9</v>
      </c>
    </row>
    <row r="71" spans="1:6" ht="19.2" x14ac:dyDescent="0.3">
      <c r="A71" s="8" t="s">
        <v>103</v>
      </c>
      <c r="B71" s="11">
        <f>VLOOKUP($A71,'театры, музеи'!$A$2:$H$112,7,FALSE)</f>
        <v>225</v>
      </c>
      <c r="C71" s="11">
        <f>VLOOKUP($A71,'спортивные сооружния'!A69:G181,7,FALSE)</f>
        <v>37</v>
      </c>
      <c r="D71" s="11">
        <f>VLOOKUP($A71,библиотеки!A71:H185,7,FALSE)</f>
        <v>4393</v>
      </c>
      <c r="E71" s="11">
        <f>VLOOKUP($A71,Газеты!$A$3:$G$111,7,FALSE)</f>
        <v>450</v>
      </c>
      <c r="F71" s="11">
        <f>VLOOKUP($A71,Лагеря!$A$3:$F$113,6,FALSE)</f>
        <v>140.1</v>
      </c>
    </row>
    <row r="72" spans="1:6" ht="28.8" x14ac:dyDescent="0.3">
      <c r="A72" s="8" t="s">
        <v>1070</v>
      </c>
      <c r="B72" s="11" t="e">
        <f>VLOOKUP($A72,'театры, музеи'!$A$2:$H$112,7,FALSE)</f>
        <v>#N/A</v>
      </c>
      <c r="C72" s="11" t="e">
        <f>VLOOKUP($A72,'спортивные сооружния'!A70:G182,7,FALSE)</f>
        <v>#N/A</v>
      </c>
      <c r="D72" s="11" t="e">
        <f>VLOOKUP($A72,библиотеки!A72:H186,7,FALSE)</f>
        <v>#N/A</v>
      </c>
      <c r="E72" s="11" t="e">
        <f>VLOOKUP($A72,Газеты!$A$3:$G$111,7,FALSE)</f>
        <v>#N/A</v>
      </c>
      <c r="F72" s="11" t="e">
        <f>VLOOKUP($A72,Лагеря!$A$3:$F$113,6,FALSE)</f>
        <v>#N/A</v>
      </c>
    </row>
    <row r="73" spans="1:6" ht="19.2" x14ac:dyDescent="0.3">
      <c r="A73" s="10" t="s">
        <v>105</v>
      </c>
      <c r="B73" s="11">
        <f>VLOOKUP($A73,'театры, музеи'!$A$2:$H$112,7,FALSE)</f>
        <v>135</v>
      </c>
      <c r="C73" s="11">
        <f>VLOOKUP($A73,'спортивные сооружния'!A71:G183,7,FALSE)</f>
        <v>8</v>
      </c>
      <c r="D73" s="11">
        <f>VLOOKUP($A73,библиотеки!A73:H187,7,FALSE)</f>
        <v>6933</v>
      </c>
      <c r="E73" s="11">
        <f>VLOOKUP($A73,Газеты!$A$3:$G$111,7,FALSE)</f>
        <v>318</v>
      </c>
      <c r="F73" s="11">
        <f>VLOOKUP($A73,Лагеря!$A$3:$F$113,6,FALSE)</f>
        <v>10</v>
      </c>
    </row>
    <row r="74" spans="1:6" ht="19.2" x14ac:dyDescent="0.3">
      <c r="A74" s="10" t="s">
        <v>106</v>
      </c>
      <c r="B74" s="11">
        <f>VLOOKUP($A74,'театры, музеи'!$A$2:$H$112,7,FALSE)</f>
        <v>420</v>
      </c>
      <c r="C74" s="11">
        <f>VLOOKUP($A74,'спортивные сооружния'!A72:G184,7,FALSE)</f>
        <v>10</v>
      </c>
      <c r="D74" s="11">
        <f>VLOOKUP($A74,библиотеки!A74:H188,7,FALSE)</f>
        <v>8732</v>
      </c>
      <c r="E74" s="11">
        <f>VLOOKUP($A74,Газеты!$A$3:$G$111,7,FALSE)</f>
        <v>73</v>
      </c>
      <c r="F74" s="11">
        <f>VLOOKUP($A74,Лагеря!$A$3:$F$113,6,FALSE)</f>
        <v>16.7</v>
      </c>
    </row>
    <row r="75" spans="1:6" ht="19.2" x14ac:dyDescent="0.3">
      <c r="A75" s="10" t="s">
        <v>107</v>
      </c>
      <c r="B75" s="11">
        <f>VLOOKUP($A75,'театры, музеи'!$A$2:$H$112,7,FALSE)</f>
        <v>258</v>
      </c>
      <c r="C75" s="11">
        <f>VLOOKUP($A75,'спортивные сооружния'!A73:G185,7,FALSE)</f>
        <v>21</v>
      </c>
      <c r="D75" s="11">
        <f>VLOOKUP($A75,библиотеки!A75:H189,7,FALSE)</f>
        <v>5661</v>
      </c>
      <c r="E75" s="11">
        <f>VLOOKUP($A75,Газеты!$A$3:$G$111,7,FALSE)</f>
        <v>788</v>
      </c>
      <c r="F75" s="11">
        <f>VLOOKUP($A75,Лагеря!$A$3:$F$113,6,FALSE)</f>
        <v>21.9</v>
      </c>
    </row>
    <row r="76" spans="1:6" x14ac:dyDescent="0.3">
      <c r="A76" s="10" t="s">
        <v>108</v>
      </c>
      <c r="B76" s="11">
        <f>VLOOKUP($A76,'театры, музеи'!$A$2:$H$112,7,FALSE)</f>
        <v>234</v>
      </c>
      <c r="C76" s="11">
        <f>VLOOKUP($A76,'спортивные сооружния'!A74:G186,7,FALSE)</f>
        <v>49</v>
      </c>
      <c r="D76" s="11">
        <f>VLOOKUP($A76,библиотеки!A76:H190,7,FALSE)</f>
        <v>6028</v>
      </c>
      <c r="E76" s="11">
        <f>VLOOKUP($A76,Газеты!$A$3:$G$111,7,FALSE)</f>
        <v>294</v>
      </c>
      <c r="F76" s="11">
        <f>VLOOKUP($A76,Лагеря!$A$3:$F$113,6,FALSE)</f>
        <v>97.8</v>
      </c>
    </row>
    <row r="77" spans="1:6" ht="19.2" x14ac:dyDescent="0.3">
      <c r="A77" s="10" t="s">
        <v>109</v>
      </c>
      <c r="B77" s="11">
        <f>VLOOKUP($A77,'театры, музеи'!$A$2:$H$112,7,FALSE)</f>
        <v>385</v>
      </c>
      <c r="C77" s="11">
        <f>VLOOKUP($A77,'спортивные сооружния'!A75:G187,7,FALSE)</f>
        <v>16</v>
      </c>
      <c r="D77" s="11">
        <f>VLOOKUP($A77,библиотеки!A77:H191,7,FALSE)</f>
        <v>6333</v>
      </c>
      <c r="E77" s="11">
        <f>VLOOKUP($A77,Газеты!$A$3:$G$111,7,FALSE)</f>
        <v>314</v>
      </c>
      <c r="F77" s="11">
        <f>VLOOKUP($A77,Лагеря!$A$3:$F$113,6,FALSE)</f>
        <v>107.4</v>
      </c>
    </row>
    <row r="78" spans="1:6" ht="19.2" x14ac:dyDescent="0.3">
      <c r="A78" s="10" t="s">
        <v>110</v>
      </c>
      <c r="B78" s="11">
        <f>VLOOKUP($A78,'театры, музеи'!$A$2:$H$112,7,FALSE)</f>
        <v>251</v>
      </c>
      <c r="C78" s="11">
        <f>VLOOKUP($A78,'спортивные сооружния'!A76:G188,7,FALSE)</f>
        <v>24</v>
      </c>
      <c r="D78" s="11">
        <f>VLOOKUP($A78,библиотеки!A78:H192,7,FALSE)</f>
        <v>4597</v>
      </c>
      <c r="E78" s="11">
        <f>VLOOKUP($A78,Газеты!$A$3:$G$111,7,FALSE)</f>
        <v>354</v>
      </c>
      <c r="F78" s="11">
        <f>VLOOKUP($A78,Лагеря!$A$3:$F$113,6,FALSE)</f>
        <v>79.900000000000006</v>
      </c>
    </row>
    <row r="79" spans="1:6" ht="19.2" x14ac:dyDescent="0.3">
      <c r="A79" s="10" t="s">
        <v>111</v>
      </c>
      <c r="B79" s="11">
        <f>VLOOKUP($A79,'театры, музеи'!$A$2:$H$112,7,FALSE)</f>
        <v>178</v>
      </c>
      <c r="C79" s="11">
        <f>VLOOKUP($A79,'спортивные сооружния'!A77:G189,7,FALSE)</f>
        <v>26</v>
      </c>
      <c r="D79" s="11">
        <f>VLOOKUP($A79,библиотеки!A79:H193,7,FALSE)</f>
        <v>4961</v>
      </c>
      <c r="E79" s="11">
        <f>VLOOKUP($A79,Газеты!$A$3:$G$111,7,FALSE)</f>
        <v>122</v>
      </c>
      <c r="F79" s="11">
        <f>VLOOKUP($A79,Лагеря!$A$3:$F$113,6,FALSE)</f>
        <v>103.9</v>
      </c>
    </row>
    <row r="80" spans="1:6" ht="19.2" x14ac:dyDescent="0.3">
      <c r="A80" s="10" t="s">
        <v>112</v>
      </c>
      <c r="B80" s="11">
        <f>VLOOKUP($A80,'театры, музеи'!$A$2:$H$112,7,FALSE)</f>
        <v>394</v>
      </c>
      <c r="C80" s="11">
        <f>VLOOKUP($A80,'спортивные сооружния'!A78:G190,7,FALSE)</f>
        <v>24</v>
      </c>
      <c r="D80" s="11">
        <f>VLOOKUP($A80,библиотеки!A80:H194,7,FALSE)</f>
        <v>3889</v>
      </c>
      <c r="E80" s="11">
        <f>VLOOKUP($A80,Газеты!$A$3:$G$111,7,FALSE)</f>
        <v>363</v>
      </c>
      <c r="F80" s="11">
        <f>VLOOKUP($A80,Лагеря!$A$3:$F$113,6,FALSE)</f>
        <v>107.1</v>
      </c>
    </row>
    <row r="81" spans="1:6" x14ac:dyDescent="0.3">
      <c r="A81" s="10" t="s">
        <v>113</v>
      </c>
      <c r="B81" s="11">
        <f>VLOOKUP($A81,'театры, музеи'!$A$2:$H$112,7,FALSE)</f>
        <v>342</v>
      </c>
      <c r="C81" s="11">
        <f>VLOOKUP($A81,'спортивные сооружния'!A79:G191,7,FALSE)</f>
        <v>39</v>
      </c>
      <c r="D81" s="11">
        <f>VLOOKUP($A81,библиотеки!A81:H195,7,FALSE)</f>
        <v>7002</v>
      </c>
      <c r="E81" s="11">
        <f>VLOOKUP($A81,Газеты!$A$3:$G$111,7,FALSE)</f>
        <v>266</v>
      </c>
      <c r="F81" s="11">
        <f>VLOOKUP($A81,Лагеря!$A$3:$F$113,6,FALSE)</f>
        <v>67.2</v>
      </c>
    </row>
    <row r="82" spans="1:6" ht="19.2" x14ac:dyDescent="0.3">
      <c r="A82" s="10" t="s">
        <v>114</v>
      </c>
      <c r="B82" s="11">
        <f>VLOOKUP($A82,'театры, музеи'!$A$2:$H$112,7,FALSE)</f>
        <v>278</v>
      </c>
      <c r="C82" s="11">
        <f>VLOOKUP($A82,'спортивные сооружния'!A80:G192,7,FALSE)</f>
        <v>14</v>
      </c>
      <c r="D82" s="11">
        <f>VLOOKUP($A82,библиотеки!A82:H196,7,FALSE)</f>
        <v>4694</v>
      </c>
      <c r="E82" s="11">
        <f>VLOOKUP($A82,Газеты!$A$3:$G$111,7,FALSE)</f>
        <v>416</v>
      </c>
      <c r="F82" s="11">
        <f>VLOOKUP($A82,Лагеря!$A$3:$F$113,6,FALSE)</f>
        <v>42.8</v>
      </c>
    </row>
    <row r="83" spans="1:6" ht="38.4" x14ac:dyDescent="0.3">
      <c r="A83" s="8" t="s">
        <v>1071</v>
      </c>
      <c r="B83" s="11" t="e">
        <f>VLOOKUP($A83,'театры, музеи'!$A$2:$H$112,7,FALSE)</f>
        <v>#N/A</v>
      </c>
      <c r="C83" s="11" t="e">
        <f>VLOOKUP($A83,'спортивные сооружния'!A81:G193,7,FALSE)</f>
        <v>#N/A</v>
      </c>
      <c r="D83" s="11" t="e">
        <f>VLOOKUP($A83,библиотеки!A83:H197,7,FALSE)</f>
        <v>#N/A</v>
      </c>
      <c r="E83" s="11" t="e">
        <f>VLOOKUP($A83,Газеты!$A$3:$G$111,7,FALSE)</f>
        <v>#N/A</v>
      </c>
      <c r="F83" s="11" t="e">
        <f>VLOOKUP($A83,Лагеря!$A$3:$F$113,6,FALSE)</f>
        <v>#N/A</v>
      </c>
    </row>
    <row r="84" spans="1:6" ht="19.2" x14ac:dyDescent="0.3">
      <c r="A84" s="8" t="s">
        <v>116</v>
      </c>
      <c r="B84" s="11">
        <f>VLOOKUP($A84,'театры, музеи'!$A$2:$H$112,7,FALSE)</f>
        <v>263</v>
      </c>
      <c r="C84" s="11">
        <f>VLOOKUP($A84,'спортивные сооружния'!A82:G194,7,FALSE)</f>
        <v>19</v>
      </c>
      <c r="D84" s="11">
        <f>VLOOKUP($A84,библиотеки!A84:H198,7,FALSE)</f>
        <v>5587</v>
      </c>
      <c r="E84" s="11">
        <f>VLOOKUP($A84,Газеты!$A$3:$G$111,7,FALSE)</f>
        <v>342</v>
      </c>
      <c r="F84" s="11">
        <f>VLOOKUP($A84,Лагеря!$A$3:$F$113,6,FALSE)</f>
        <v>31.8</v>
      </c>
    </row>
    <row r="85" spans="1:6" ht="19.2" x14ac:dyDescent="0.3">
      <c r="A85" s="10" t="s">
        <v>117</v>
      </c>
      <c r="B85" s="11">
        <f>VLOOKUP($A85,'театры, музеи'!$A$2:$H$112,7,FALSE)</f>
        <v>242</v>
      </c>
      <c r="C85" s="11">
        <f>VLOOKUP($A85,'спортивные сооружния'!A83:G195,7,FALSE)</f>
        <v>24</v>
      </c>
      <c r="D85" s="11">
        <f>VLOOKUP($A85,библиотеки!A85:H199,7,FALSE)</f>
        <v>8837</v>
      </c>
      <c r="E85" s="11">
        <f>VLOOKUP($A85,Газеты!$A$3:$G$111,7,FALSE)</f>
        <v>135</v>
      </c>
      <c r="F85" s="11">
        <f>VLOOKUP($A85,Лагеря!$A$3:$F$113,6,FALSE)</f>
        <v>34.5</v>
      </c>
    </row>
    <row r="86" spans="1:6" ht="19.2" x14ac:dyDescent="0.3">
      <c r="A86" s="10" t="s">
        <v>118</v>
      </c>
      <c r="B86" s="11">
        <f>VLOOKUP($A86,'театры, музеи'!$A$2:$H$112,7,FALSE)</f>
        <v>276</v>
      </c>
      <c r="C86" s="11">
        <f>VLOOKUP($A86,'спортивные сооружния'!A83:G196,7,FALSE)</f>
        <v>12</v>
      </c>
      <c r="D86" s="11">
        <f>VLOOKUP($A86,библиотеки!A86:H200,7,FALSE)</f>
        <v>6518</v>
      </c>
      <c r="E86" s="11">
        <f>VLOOKUP($A86,Газеты!$A$3:$G$111,7,FALSE)</f>
        <v>163</v>
      </c>
      <c r="F86" s="11">
        <f>VLOOKUP($A86,Лагеря!$A$3:$F$113,6,FALSE)</f>
        <v>37.200000000000003</v>
      </c>
    </row>
    <row r="87" spans="1:6" ht="19.2" x14ac:dyDescent="0.3">
      <c r="A87" s="10" t="s">
        <v>119</v>
      </c>
      <c r="B87" s="11">
        <f>VLOOKUP($A87,'театры, музеи'!$A$2:$H$112,7,FALSE)</f>
        <v>271</v>
      </c>
      <c r="C87" s="11">
        <f>VLOOKUP($A87,'спортивные сооружния'!A84:G197,7,FALSE)</f>
        <v>1</v>
      </c>
      <c r="D87" s="11">
        <f>VLOOKUP($A87,библиотеки!A87:H201,7,FALSE)</f>
        <v>7520</v>
      </c>
      <c r="E87" s="11">
        <f>VLOOKUP($A87,Газеты!$A$3:$G$111,7,FALSE)</f>
        <v>487</v>
      </c>
      <c r="F87" s="11">
        <f>VLOOKUP($A87,Лагеря!$A$3:$F$113,6,FALSE)</f>
        <v>12.9</v>
      </c>
    </row>
    <row r="88" spans="1:6" ht="19.2" x14ac:dyDescent="0.3">
      <c r="A88" s="10" t="s">
        <v>120</v>
      </c>
      <c r="B88" s="11">
        <f>VLOOKUP($A88,'театры, музеи'!$A$2:$H$112,7,FALSE)</f>
        <v>318</v>
      </c>
      <c r="C88" s="11">
        <f>VLOOKUP($A88,'спортивные сооружния'!A85:G198,7,FALSE)</f>
        <v>24</v>
      </c>
      <c r="D88" s="11">
        <f>VLOOKUP($A88,библиотеки!A88:H202,7,FALSE)</f>
        <v>3577</v>
      </c>
      <c r="E88" s="11">
        <f>VLOOKUP($A88,Газеты!$A$3:$G$111,7,FALSE)</f>
        <v>150</v>
      </c>
      <c r="F88" s="11">
        <f>VLOOKUP($A88,Лагеря!$A$3:$F$113,6,FALSE)</f>
        <v>92.2</v>
      </c>
    </row>
    <row r="89" spans="1:6" ht="19.2" x14ac:dyDescent="0.3">
      <c r="A89" s="10" t="s">
        <v>121</v>
      </c>
      <c r="B89" s="11">
        <f>VLOOKUP($A89,'театры, музеи'!$A$2:$H$112,7,FALSE)</f>
        <v>246</v>
      </c>
      <c r="C89" s="11">
        <f>VLOOKUP($A89,'спортивные сооружния'!A85:G199,7,FALSE)</f>
        <v>16</v>
      </c>
      <c r="D89" s="11">
        <f>VLOOKUP($A89,библиотеки!A88:H203,7,FALSE)</f>
        <v>7103</v>
      </c>
      <c r="E89" s="11">
        <f>VLOOKUP($A89,Газеты!$A$3:$G$111,7,FALSE)</f>
        <v>193</v>
      </c>
      <c r="F89" s="11">
        <f>VLOOKUP($A89,Лагеря!$A$3:$F$113,6,FALSE)</f>
        <v>40.299999999999997</v>
      </c>
    </row>
    <row r="90" spans="1:6" ht="19.2" x14ac:dyDescent="0.3">
      <c r="A90" s="10" t="s">
        <v>122</v>
      </c>
      <c r="B90" s="11">
        <f>VLOOKUP($A90,'театры, музеи'!$A$2:$H$112,7,FALSE)</f>
        <v>172</v>
      </c>
      <c r="C90" s="11">
        <f>VLOOKUP($A90,'спортивные сооружния'!A86:G200,7,FALSE)</f>
        <v>26</v>
      </c>
      <c r="D90" s="11">
        <f>VLOOKUP($A90,библиотеки!A89:H204,7,FALSE)</f>
        <v>4829</v>
      </c>
      <c r="E90" s="11">
        <f>VLOOKUP($A90,Газеты!$A$3:$G$111,7,FALSE)</f>
        <v>208</v>
      </c>
      <c r="F90" s="11">
        <f>VLOOKUP($A90,Лагеря!$A$3:$F$113,6,FALSE)</f>
        <v>19.7</v>
      </c>
    </row>
    <row r="91" spans="1:6" ht="19.2" x14ac:dyDescent="0.3">
      <c r="A91" s="10" t="s">
        <v>123</v>
      </c>
      <c r="B91" s="11">
        <f>VLOOKUP($A91,'театры, музеи'!$A$2:$H$112,7,FALSE)</f>
        <v>350</v>
      </c>
      <c r="C91" s="11">
        <f>VLOOKUP($A91,'спортивные сооружния'!A87:G201,7,FALSE)</f>
        <v>1</v>
      </c>
      <c r="D91" s="11">
        <f>VLOOKUP($A91,библиотеки!A89:H205,7,FALSE)</f>
        <v>10550</v>
      </c>
      <c r="E91" s="11">
        <f>VLOOKUP($A91,Газеты!$A$3:$G$111,7,FALSE)</f>
        <v>280</v>
      </c>
      <c r="F91" s="11">
        <f>VLOOKUP($A91,Лагеря!$A$3:$F$113,6,FALSE)</f>
        <v>7.3</v>
      </c>
    </row>
    <row r="92" spans="1:6" ht="19.2" x14ac:dyDescent="0.3">
      <c r="A92" s="10" t="s">
        <v>124</v>
      </c>
      <c r="B92" s="11">
        <f>VLOOKUP($A92,'театры, музеи'!$A$2:$H$112,7,FALSE)</f>
        <v>246</v>
      </c>
      <c r="C92" s="11">
        <f>VLOOKUP($A92,'спортивные сооружния'!A88:G202,7,FALSE)</f>
        <v>3</v>
      </c>
      <c r="D92" s="11">
        <f>VLOOKUP($A92,библиотеки!A90:H206,7,FALSE)</f>
        <v>6276</v>
      </c>
      <c r="E92" s="11">
        <f>VLOOKUP($A92,Газеты!$A$3:$G$111,7,FALSE)</f>
        <v>160</v>
      </c>
      <c r="F92" s="11">
        <f>VLOOKUP($A92,Лагеря!$A$3:$F$113,6,FALSE)</f>
        <v>27.3</v>
      </c>
    </row>
    <row r="93" spans="1:6" ht="28.8" x14ac:dyDescent="0.3">
      <c r="A93" s="10" t="s">
        <v>125</v>
      </c>
      <c r="B93" s="11">
        <f>VLOOKUP($A93,'театры, музеи'!$A$2:$H$112,7,FALSE)</f>
        <v>138</v>
      </c>
      <c r="C93" s="11">
        <f>VLOOKUP($A93,'спортивные сооружния'!A89:G203,7,FALSE)</f>
        <v>2</v>
      </c>
      <c r="D93" s="11">
        <f>VLOOKUP($A93,библиотеки!A91:H207,7,FALSE)</f>
        <v>8834</v>
      </c>
      <c r="E93" s="11">
        <f>VLOOKUP($A93,Газеты!$A$3:$G$111,7,FALSE)</f>
        <v>173</v>
      </c>
      <c r="F93" s="11">
        <f>VLOOKUP($A93,Лагеря!$A$3:$F$113,6,FALSE)</f>
        <v>8.1999999999999993</v>
      </c>
    </row>
    <row r="94" spans="1:6" ht="28.8" x14ac:dyDescent="0.3">
      <c r="A94" s="10" t="s">
        <v>126</v>
      </c>
      <c r="B94" s="11" t="str">
        <f>VLOOKUP($A94,'театры, музеи'!$A$2:$H$112,7,FALSE)</f>
        <v>–</v>
      </c>
      <c r="C94" s="11" t="str">
        <f>VLOOKUP($A94,'спортивные сооружния'!A90:G204,7,FALSE)</f>
        <v>–</v>
      </c>
      <c r="D94" s="11">
        <f>VLOOKUP($A94,библиотеки!A92:H208,7,FALSE)</f>
        <v>14479</v>
      </c>
      <c r="E94" s="11">
        <f>VLOOKUP($A94,Газеты!$A$3:$G$111,7,FALSE)</f>
        <v>108</v>
      </c>
      <c r="F94" s="11">
        <f>VLOOKUP($A94,Лагеря!$A$3:$F$113,6,FALSE)</f>
        <v>4.2</v>
      </c>
    </row>
    <row r="95" spans="1:6" x14ac:dyDescent="0.3">
      <c r="A95" s="10"/>
      <c r="B95" s="11" t="e">
        <f>VLOOKUP($A95,'театры, музеи'!$A$2:$H$112,7,FALSE)</f>
        <v>#N/A</v>
      </c>
      <c r="C95" s="11" t="e">
        <f>VLOOKUP($A95,'спортивные сооружния'!A91:G205,7,FALSE)</f>
        <v>#N/A</v>
      </c>
      <c r="D95" s="11" t="e">
        <f>VLOOKUP($A95,библиотеки!A93:H209,7,FALSE)</f>
        <v>#N/A</v>
      </c>
      <c r="E95" s="11" t="e">
        <f>VLOOKUP($A95,Газеты!$A$3:$G$111,7,FALSE)</f>
        <v>#N/A</v>
      </c>
      <c r="F95" s="11" t="e">
        <f>VLOOKUP($A95,Лагеря!$A$3:$F$113,6,FALSE)</f>
        <v>#N/A</v>
      </c>
    </row>
    <row r="96" spans="1:6" x14ac:dyDescent="0.3">
      <c r="B96" s="11"/>
      <c r="C96" s="11"/>
      <c r="D96" s="13"/>
      <c r="F96" s="11"/>
    </row>
    <row r="97" spans="2:6" x14ac:dyDescent="0.3">
      <c r="B97" s="11"/>
      <c r="C97" s="11"/>
      <c r="F97" s="11"/>
    </row>
    <row r="98" spans="2:6" x14ac:dyDescent="0.3">
      <c r="C98" s="11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B8450-FEF1-45C5-BBD0-B40E48C925E9}">
  <dimension ref="A10:P55"/>
  <sheetViews>
    <sheetView workbookViewId="0">
      <selection activeCell="W20" sqref="W20"/>
    </sheetView>
  </sheetViews>
  <sheetFormatPr defaultRowHeight="14.4" x14ac:dyDescent="0.3"/>
  <cols>
    <col min="2" max="2" width="8.88671875" customWidth="1"/>
  </cols>
  <sheetData>
    <row r="10" spans="1:14" ht="145.19999999999999" x14ac:dyDescent="0.3">
      <c r="J10" s="39" t="s">
        <v>822</v>
      </c>
      <c r="K10" s="39" t="s">
        <v>1</v>
      </c>
      <c r="L10" s="39" t="s">
        <v>2</v>
      </c>
      <c r="M10" s="39" t="s">
        <v>823</v>
      </c>
      <c r="N10" s="39" t="s">
        <v>834</v>
      </c>
    </row>
    <row r="11" spans="1:14" ht="15" thickBot="1" x14ac:dyDescent="0.35">
      <c r="J11" s="40">
        <v>1903</v>
      </c>
      <c r="K11" s="40">
        <v>217</v>
      </c>
      <c r="L11" s="40">
        <v>567</v>
      </c>
      <c r="M11" s="40">
        <v>6459</v>
      </c>
      <c r="N11" s="40">
        <v>4893.8999999999996</v>
      </c>
    </row>
    <row r="12" spans="1:14" x14ac:dyDescent="0.3">
      <c r="A12" s="62"/>
      <c r="B12" s="62" t="s">
        <v>822</v>
      </c>
      <c r="C12" s="62" t="s">
        <v>1</v>
      </c>
      <c r="D12" s="62" t="s">
        <v>2</v>
      </c>
      <c r="E12" s="62" t="s">
        <v>823</v>
      </c>
      <c r="F12" s="62" t="s">
        <v>834</v>
      </c>
      <c r="J12" s="40">
        <v>1877</v>
      </c>
      <c r="K12" s="40">
        <v>260</v>
      </c>
      <c r="L12" s="40">
        <v>533</v>
      </c>
      <c r="M12" s="40">
        <v>5702</v>
      </c>
      <c r="N12" s="40">
        <v>4661.2</v>
      </c>
    </row>
    <row r="13" spans="1:14" x14ac:dyDescent="0.3">
      <c r="A13" t="s">
        <v>822</v>
      </c>
      <c r="B13">
        <v>1</v>
      </c>
      <c r="J13" s="40">
        <v>1770</v>
      </c>
      <c r="K13" s="40">
        <v>109</v>
      </c>
      <c r="L13" s="40">
        <v>400</v>
      </c>
      <c r="M13" s="40">
        <v>5697</v>
      </c>
      <c r="N13" s="40">
        <v>707.1</v>
      </c>
    </row>
    <row r="14" spans="1:14" x14ac:dyDescent="0.3">
      <c r="A14" t="s">
        <v>1</v>
      </c>
      <c r="B14">
        <v>-0.1341913688012879</v>
      </c>
      <c r="C14">
        <v>1</v>
      </c>
      <c r="J14" s="40">
        <v>1676</v>
      </c>
      <c r="K14" s="40">
        <v>173</v>
      </c>
      <c r="L14" s="40">
        <v>648</v>
      </c>
      <c r="M14" s="40">
        <v>5643</v>
      </c>
      <c r="N14" s="40">
        <v>3597.5</v>
      </c>
    </row>
    <row r="15" spans="1:14" x14ac:dyDescent="0.3">
      <c r="A15" t="s">
        <v>2</v>
      </c>
      <c r="B15">
        <v>-0.73726511740411071</v>
      </c>
      <c r="C15">
        <v>0.72302448398742014</v>
      </c>
      <c r="D15">
        <v>1</v>
      </c>
      <c r="J15" s="40">
        <v>1632</v>
      </c>
      <c r="K15" s="40">
        <v>245</v>
      </c>
      <c r="L15" s="40">
        <v>827</v>
      </c>
      <c r="M15" s="40">
        <v>5591</v>
      </c>
      <c r="N15" s="40">
        <v>3925.2</v>
      </c>
    </row>
    <row r="16" spans="1:14" x14ac:dyDescent="0.3">
      <c r="A16" t="s">
        <v>823</v>
      </c>
      <c r="B16">
        <v>0.43303941510729238</v>
      </c>
      <c r="C16">
        <v>0.24468532189921774</v>
      </c>
      <c r="D16">
        <v>4.5815781896227321E-2</v>
      </c>
      <c r="E16">
        <v>1</v>
      </c>
      <c r="J16" s="40">
        <v>1623</v>
      </c>
      <c r="K16" s="40">
        <v>284</v>
      </c>
      <c r="L16" s="40">
        <v>904</v>
      </c>
      <c r="M16" s="40">
        <v>6066</v>
      </c>
      <c r="N16" s="40">
        <v>4021.6</v>
      </c>
    </row>
    <row r="17" spans="1:13" ht="15" thickBot="1" x14ac:dyDescent="0.35">
      <c r="A17" s="61" t="s">
        <v>834</v>
      </c>
      <c r="B17" s="61">
        <v>0.19784659948749123</v>
      </c>
      <c r="C17" s="61">
        <v>0.81379143983977897</v>
      </c>
      <c r="D17" s="61">
        <v>0.4592271168791362</v>
      </c>
      <c r="E17" s="61">
        <v>0.42158126294860893</v>
      </c>
      <c r="F17" s="61">
        <v>1</v>
      </c>
    </row>
    <row r="23" spans="1:13" ht="15" thickBot="1" x14ac:dyDescent="0.35"/>
    <row r="24" spans="1:13" x14ac:dyDescent="0.3">
      <c r="K24" s="63"/>
    </row>
    <row r="25" spans="1:13" x14ac:dyDescent="0.3">
      <c r="K25">
        <v>0.99749431400363564</v>
      </c>
    </row>
    <row r="26" spans="1:13" x14ac:dyDescent="0.3">
      <c r="K26">
        <v>0.99499490646958366</v>
      </c>
    </row>
    <row r="27" spans="1:13" x14ac:dyDescent="0.3">
      <c r="K27">
        <v>0.9749745323479182</v>
      </c>
    </row>
    <row r="28" spans="1:13" x14ac:dyDescent="0.3">
      <c r="K28">
        <v>19.427255433175674</v>
      </c>
    </row>
    <row r="29" spans="1:13" ht="15" thickBot="1" x14ac:dyDescent="0.35">
      <c r="K29" s="61">
        <v>6</v>
      </c>
    </row>
    <row r="31" spans="1:13" ht="15" thickBot="1" x14ac:dyDescent="0.35"/>
    <row r="32" spans="1:13" x14ac:dyDescent="0.3">
      <c r="J32" s="62" t="s">
        <v>838</v>
      </c>
      <c r="K32" s="62" t="s">
        <v>836</v>
      </c>
      <c r="L32" s="62" t="s">
        <v>837</v>
      </c>
      <c r="M32" s="62" t="s">
        <v>839</v>
      </c>
    </row>
    <row r="33" spans="10:16" x14ac:dyDescent="0.3">
      <c r="J33">
        <v>18757.35376991687</v>
      </c>
      <c r="K33">
        <v>4</v>
      </c>
      <c r="L33">
        <v>75029.41507966748</v>
      </c>
      <c r="M33">
        <v>49.69911653113536</v>
      </c>
    </row>
    <row r="34" spans="10:16" x14ac:dyDescent="0.3">
      <c r="J34">
        <v>377.41825366585374</v>
      </c>
      <c r="K34">
        <v>1</v>
      </c>
      <c r="L34">
        <v>377.41825366585374</v>
      </c>
    </row>
    <row r="35" spans="10:16" ht="15" thickBot="1" x14ac:dyDescent="0.35">
      <c r="J35" s="61"/>
      <c r="K35" s="61">
        <v>5</v>
      </c>
      <c r="L35" s="61">
        <v>75406.833333333328</v>
      </c>
      <c r="M35" s="61"/>
    </row>
    <row r="36" spans="10:16" ht="15" thickBot="1" x14ac:dyDescent="0.35"/>
    <row r="37" spans="10:16" x14ac:dyDescent="0.3">
      <c r="J37" s="62" t="s">
        <v>841</v>
      </c>
      <c r="K37" s="62" t="s">
        <v>840</v>
      </c>
      <c r="L37" s="62" t="s">
        <v>835</v>
      </c>
      <c r="M37" s="62" t="s">
        <v>842</v>
      </c>
      <c r="N37" s="62" t="s">
        <v>843</v>
      </c>
      <c r="O37" s="62" t="s">
        <v>844</v>
      </c>
      <c r="P37" s="62" t="s">
        <v>845</v>
      </c>
    </row>
    <row r="38" spans="10:16" x14ac:dyDescent="0.3">
      <c r="J38">
        <v>6.6338722630497493</v>
      </c>
      <c r="K38">
        <v>1304.254847777175</v>
      </c>
      <c r="L38">
        <v>196.60536049839132</v>
      </c>
      <c r="M38">
        <v>9.5247913871469872E-2</v>
      </c>
      <c r="N38">
        <v>3802.3628104991703</v>
      </c>
      <c r="O38">
        <v>-1193.8531149448206</v>
      </c>
      <c r="P38">
        <v>3802.3628104991703</v>
      </c>
    </row>
    <row r="39" spans="10:16" x14ac:dyDescent="0.3">
      <c r="J39">
        <v>0.40515349758918479</v>
      </c>
      <c r="K39">
        <v>0.14607247092675524</v>
      </c>
      <c r="L39">
        <v>0.36053612222513493</v>
      </c>
      <c r="M39">
        <v>0.75493886070055805</v>
      </c>
      <c r="N39">
        <v>4.7271182547058279</v>
      </c>
      <c r="O39">
        <v>-4.4349733128523168</v>
      </c>
      <c r="P39">
        <v>4.7271182547058279</v>
      </c>
    </row>
    <row r="40" spans="10:16" x14ac:dyDescent="0.3">
      <c r="J40">
        <v>0.55415538893933258</v>
      </c>
      <c r="K40">
        <v>0.15855364040378353</v>
      </c>
      <c r="L40">
        <v>0.28611765502679531</v>
      </c>
      <c r="M40">
        <v>0.67785261451922785</v>
      </c>
      <c r="N40">
        <v>3.7940231438084511</v>
      </c>
      <c r="O40">
        <v>-3.4769158630008836</v>
      </c>
      <c r="P40">
        <v>3.7940231438084511</v>
      </c>
    </row>
    <row r="41" spans="10:16" x14ac:dyDescent="0.3">
      <c r="J41">
        <v>3.4323529250529701</v>
      </c>
      <c r="K41">
        <v>0.43672625907510626</v>
      </c>
      <c r="L41">
        <v>0.12723815662643911</v>
      </c>
      <c r="M41">
        <v>0.18048039462656124</v>
      </c>
      <c r="N41">
        <v>2.0534403274241062</v>
      </c>
      <c r="O41">
        <v>-1.1799878092738936</v>
      </c>
      <c r="P41">
        <v>2.0534403274241062</v>
      </c>
    </row>
    <row r="42" spans="10:16" ht="15" thickBot="1" x14ac:dyDescent="0.35">
      <c r="J42" s="61">
        <v>-1.4392028133586676</v>
      </c>
      <c r="K42" s="61">
        <v>-3.2277476656482472E-2</v>
      </c>
      <c r="L42" s="61">
        <v>2.2427330155891319E-2</v>
      </c>
      <c r="M42" s="61">
        <v>0.38658552758330167</v>
      </c>
      <c r="N42" s="61">
        <v>0.25268877199005763</v>
      </c>
      <c r="O42" s="61">
        <v>-0.31724372530302253</v>
      </c>
      <c r="P42" s="61">
        <v>0.25268877199005763</v>
      </c>
    </row>
    <row r="48" spans="10:16" ht="15" thickBot="1" x14ac:dyDescent="0.35"/>
    <row r="49" spans="11:12" x14ac:dyDescent="0.3">
      <c r="K49" s="62" t="s">
        <v>846</v>
      </c>
      <c r="L49" s="62" t="s">
        <v>847</v>
      </c>
    </row>
    <row r="50" spans="11:12" x14ac:dyDescent="0.3">
      <c r="K50">
        <v>1903.0000000000002</v>
      </c>
      <c r="L50">
        <v>-2.2737367544323206E-13</v>
      </c>
    </row>
    <row r="51" spans="11:12" x14ac:dyDescent="0.3">
      <c r="K51">
        <v>1876.9999999999998</v>
      </c>
      <c r="L51">
        <v>2.2737367544323206E-13</v>
      </c>
    </row>
    <row r="52" spans="11:12" x14ac:dyDescent="0.3">
      <c r="K52">
        <v>1770.0000000000002</v>
      </c>
      <c r="L52">
        <v>-2.2737367544323206E-13</v>
      </c>
    </row>
    <row r="53" spans="11:12" x14ac:dyDescent="0.3">
      <c r="K53">
        <v>1676</v>
      </c>
      <c r="L53">
        <v>0</v>
      </c>
    </row>
    <row r="54" spans="11:12" x14ac:dyDescent="0.3">
      <c r="K54">
        <v>1632</v>
      </c>
      <c r="L54">
        <v>0</v>
      </c>
    </row>
    <row r="55" spans="11:12" ht="15" thickBot="1" x14ac:dyDescent="0.35">
      <c r="K55" s="61">
        <v>1623</v>
      </c>
      <c r="L55" s="61">
        <v>0</v>
      </c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25A5B-FAB7-4C22-ABFB-58FD9607083D}">
  <dimension ref="A1:G112"/>
  <sheetViews>
    <sheetView workbookViewId="0">
      <selection activeCell="W20" sqref="W20"/>
    </sheetView>
  </sheetViews>
  <sheetFormatPr defaultRowHeight="14.4" x14ac:dyDescent="0.3"/>
  <sheetData>
    <row r="1" spans="1:7" ht="15" thickBot="1" x14ac:dyDescent="0.35">
      <c r="A1" s="83" t="s">
        <v>888</v>
      </c>
    </row>
    <row r="2" spans="1:7" ht="15" thickBot="1" x14ac:dyDescent="0.35">
      <c r="A2" s="66"/>
      <c r="B2" s="35">
        <v>2010</v>
      </c>
      <c r="C2" s="35">
        <v>2015</v>
      </c>
      <c r="D2" s="35">
        <v>2020</v>
      </c>
      <c r="E2" s="35">
        <v>2021</v>
      </c>
      <c r="F2" s="35">
        <v>2022</v>
      </c>
      <c r="G2" s="35">
        <v>2023</v>
      </c>
    </row>
    <row r="3" spans="1:7" ht="19.2" x14ac:dyDescent="0.3">
      <c r="A3" s="67" t="s">
        <v>4</v>
      </c>
      <c r="B3" s="68">
        <v>71493.100000000006</v>
      </c>
      <c r="C3" s="68">
        <v>72424.899999999994</v>
      </c>
      <c r="D3" s="69">
        <v>69550.3</v>
      </c>
      <c r="E3" s="69">
        <v>70817.899999999994</v>
      </c>
      <c r="F3" s="68">
        <v>71216.899999999994</v>
      </c>
      <c r="G3" s="70">
        <v>72911.8</v>
      </c>
    </row>
    <row r="4" spans="1:7" ht="19.2" x14ac:dyDescent="0.3">
      <c r="A4" s="71" t="s">
        <v>5</v>
      </c>
      <c r="B4" s="269" t="s">
        <v>848</v>
      </c>
      <c r="C4" s="269" t="s">
        <v>849</v>
      </c>
      <c r="D4" s="270">
        <v>20765.599999999999</v>
      </c>
      <c r="E4" s="270">
        <v>20906.2</v>
      </c>
      <c r="F4" s="269" t="s">
        <v>850</v>
      </c>
      <c r="G4" s="268">
        <v>21537.9</v>
      </c>
    </row>
    <row r="5" spans="1:7" ht="19.2" x14ac:dyDescent="0.3">
      <c r="A5" s="71" t="s">
        <v>6</v>
      </c>
      <c r="B5" s="269"/>
      <c r="C5" s="269"/>
      <c r="D5" s="270"/>
      <c r="E5" s="270"/>
      <c r="F5" s="269"/>
      <c r="G5" s="268"/>
    </row>
    <row r="6" spans="1:7" ht="19.2" x14ac:dyDescent="0.3">
      <c r="A6" s="72" t="s">
        <v>7</v>
      </c>
      <c r="B6" s="73">
        <v>749.8</v>
      </c>
      <c r="C6" s="73">
        <v>754</v>
      </c>
      <c r="D6" s="73">
        <v>751.9</v>
      </c>
      <c r="E6" s="73">
        <v>761.5</v>
      </c>
      <c r="F6" s="73">
        <v>771.2</v>
      </c>
      <c r="G6" s="74">
        <v>765.3</v>
      </c>
    </row>
    <row r="7" spans="1:7" ht="19.2" x14ac:dyDescent="0.3">
      <c r="A7" s="72" t="s">
        <v>8</v>
      </c>
      <c r="B7" s="73">
        <v>580.9</v>
      </c>
      <c r="C7" s="73">
        <v>547.70000000000005</v>
      </c>
      <c r="D7" s="73">
        <v>498.5</v>
      </c>
      <c r="E7" s="73">
        <v>511.3</v>
      </c>
      <c r="F7" s="73">
        <v>506.7</v>
      </c>
      <c r="G7" s="74">
        <v>504.5</v>
      </c>
    </row>
    <row r="8" spans="1:7" ht="19.2" x14ac:dyDescent="0.3">
      <c r="A8" s="72" t="s">
        <v>9</v>
      </c>
      <c r="B8" s="73">
        <v>670.5</v>
      </c>
      <c r="C8" s="73">
        <v>664.4</v>
      </c>
      <c r="D8" s="73">
        <v>618.6</v>
      </c>
      <c r="E8" s="73">
        <v>616.1</v>
      </c>
      <c r="F8" s="73">
        <v>647.70000000000005</v>
      </c>
      <c r="G8" s="74">
        <v>639</v>
      </c>
    </row>
    <row r="9" spans="1:7" ht="19.2" x14ac:dyDescent="0.3">
      <c r="A9" s="72" t="s">
        <v>12</v>
      </c>
      <c r="B9" s="73" t="s">
        <v>851</v>
      </c>
      <c r="C9" s="73" t="s">
        <v>852</v>
      </c>
      <c r="D9" s="75">
        <v>1088.0999999999999</v>
      </c>
      <c r="E9" s="75">
        <v>1112.9000000000001</v>
      </c>
      <c r="F9" s="73" t="s">
        <v>853</v>
      </c>
      <c r="G9" s="76">
        <v>1151.5999999999999</v>
      </c>
    </row>
    <row r="10" spans="1:7" ht="19.2" x14ac:dyDescent="0.3">
      <c r="A10" s="72" t="s">
        <v>13</v>
      </c>
      <c r="B10" s="73">
        <v>467.8</v>
      </c>
      <c r="C10" s="73">
        <v>451.5</v>
      </c>
      <c r="D10" s="73">
        <v>428.6</v>
      </c>
      <c r="E10" s="73">
        <v>443.5</v>
      </c>
      <c r="F10" s="73">
        <v>448.5</v>
      </c>
      <c r="G10" s="74">
        <v>422.2</v>
      </c>
    </row>
    <row r="11" spans="1:7" ht="19.2" x14ac:dyDescent="0.3">
      <c r="A11" s="72" t="s">
        <v>14</v>
      </c>
      <c r="B11" s="73">
        <v>516.79999999999995</v>
      </c>
      <c r="C11" s="73">
        <v>508</v>
      </c>
      <c r="D11" s="73">
        <v>495</v>
      </c>
      <c r="E11" s="73">
        <v>508.6</v>
      </c>
      <c r="F11" s="73">
        <v>503.1</v>
      </c>
      <c r="G11" s="74">
        <v>536.9</v>
      </c>
    </row>
    <row r="12" spans="1:7" ht="19.2" x14ac:dyDescent="0.3">
      <c r="A12" s="72" t="s">
        <v>16</v>
      </c>
      <c r="B12" s="73">
        <v>327.5</v>
      </c>
      <c r="C12" s="73">
        <v>299.39999999999998</v>
      </c>
      <c r="D12" s="73">
        <v>271.89999999999998</v>
      </c>
      <c r="E12" s="73">
        <v>273.7</v>
      </c>
      <c r="F12" s="73">
        <v>277.89999999999998</v>
      </c>
      <c r="G12" s="74">
        <v>257.3</v>
      </c>
    </row>
    <row r="13" spans="1:7" ht="19.2" x14ac:dyDescent="0.3">
      <c r="A13" s="72" t="s">
        <v>18</v>
      </c>
      <c r="B13" s="73">
        <v>546.4</v>
      </c>
      <c r="C13" s="73">
        <v>520.29999999999995</v>
      </c>
      <c r="D13" s="73">
        <v>492.1</v>
      </c>
      <c r="E13" s="73">
        <v>509.3</v>
      </c>
      <c r="F13" s="73">
        <v>512.29999999999995</v>
      </c>
      <c r="G13" s="74">
        <v>502.6</v>
      </c>
    </row>
    <row r="14" spans="1:7" ht="19.2" x14ac:dyDescent="0.3">
      <c r="A14" s="72" t="s">
        <v>19</v>
      </c>
      <c r="B14" s="73">
        <v>594.5</v>
      </c>
      <c r="C14" s="73">
        <v>565.20000000000005</v>
      </c>
      <c r="D14" s="73">
        <v>556</v>
      </c>
      <c r="E14" s="73">
        <v>559.4</v>
      </c>
      <c r="F14" s="73">
        <v>549.5</v>
      </c>
      <c r="G14" s="74">
        <v>565.70000000000005</v>
      </c>
    </row>
    <row r="15" spans="1:7" ht="19.2" x14ac:dyDescent="0.3">
      <c r="A15" s="72" t="s">
        <v>20</v>
      </c>
      <c r="B15" s="73" t="s">
        <v>854</v>
      </c>
      <c r="C15" s="73" t="s">
        <v>855</v>
      </c>
      <c r="D15" s="75">
        <v>3422.7</v>
      </c>
      <c r="E15" s="75">
        <v>3488.4</v>
      </c>
      <c r="F15" s="73" t="s">
        <v>856</v>
      </c>
      <c r="G15" s="76">
        <v>3991.8</v>
      </c>
    </row>
    <row r="16" spans="1:7" ht="19.2" x14ac:dyDescent="0.3">
      <c r="A16" s="72" t="s">
        <v>21</v>
      </c>
      <c r="B16" s="73">
        <v>342.5</v>
      </c>
      <c r="C16" s="73">
        <v>335.9</v>
      </c>
      <c r="D16" s="73">
        <v>293.8</v>
      </c>
      <c r="E16" s="73">
        <v>299.2</v>
      </c>
      <c r="F16" s="73">
        <v>297.8</v>
      </c>
      <c r="G16" s="74">
        <v>301.5</v>
      </c>
    </row>
    <row r="17" spans="1:7" ht="19.2" x14ac:dyDescent="0.3">
      <c r="A17" s="72" t="s">
        <v>22</v>
      </c>
      <c r="B17" s="73">
        <v>529</v>
      </c>
      <c r="C17" s="73">
        <v>504.8</v>
      </c>
      <c r="D17" s="73">
        <v>472.7</v>
      </c>
      <c r="E17" s="73">
        <v>487.2</v>
      </c>
      <c r="F17" s="73">
        <v>495.3</v>
      </c>
      <c r="G17" s="74">
        <v>499.7</v>
      </c>
    </row>
    <row r="18" spans="1:7" ht="19.2" x14ac:dyDescent="0.3">
      <c r="A18" s="72" t="s">
        <v>23</v>
      </c>
      <c r="B18" s="73">
        <v>484.6</v>
      </c>
      <c r="C18" s="73">
        <v>460.8</v>
      </c>
      <c r="D18" s="73">
        <v>407.2</v>
      </c>
      <c r="E18" s="73">
        <v>411.6</v>
      </c>
      <c r="F18" s="73">
        <v>423.4</v>
      </c>
      <c r="G18" s="74">
        <v>409.6</v>
      </c>
    </row>
    <row r="19" spans="1:7" ht="19.2" x14ac:dyDescent="0.3">
      <c r="A19" s="72" t="s">
        <v>24</v>
      </c>
      <c r="B19" s="73">
        <v>504</v>
      </c>
      <c r="C19" s="73">
        <v>499.8</v>
      </c>
      <c r="D19" s="73">
        <v>449</v>
      </c>
      <c r="E19" s="73">
        <v>451.8</v>
      </c>
      <c r="F19" s="73">
        <v>462.3</v>
      </c>
      <c r="G19" s="74">
        <v>459.9</v>
      </c>
    </row>
    <row r="20" spans="1:7" ht="19.2" x14ac:dyDescent="0.3">
      <c r="A20" s="72" t="s">
        <v>25</v>
      </c>
      <c r="B20" s="73">
        <v>676.8</v>
      </c>
      <c r="C20" s="73">
        <v>630.1</v>
      </c>
      <c r="D20" s="73">
        <v>576</v>
      </c>
      <c r="E20" s="73">
        <v>571.29999999999995</v>
      </c>
      <c r="F20" s="73">
        <v>575.20000000000005</v>
      </c>
      <c r="G20" s="74">
        <v>578.20000000000005</v>
      </c>
    </row>
    <row r="21" spans="1:7" ht="19.2" x14ac:dyDescent="0.3">
      <c r="A21" s="72" t="s">
        <v>26</v>
      </c>
      <c r="B21" s="73">
        <v>770</v>
      </c>
      <c r="C21" s="73">
        <v>742.6</v>
      </c>
      <c r="D21" s="73">
        <v>705.1</v>
      </c>
      <c r="E21" s="73">
        <v>713</v>
      </c>
      <c r="F21" s="73">
        <v>716</v>
      </c>
      <c r="G21" s="74">
        <v>736.3</v>
      </c>
    </row>
    <row r="22" spans="1:7" ht="19.2" x14ac:dyDescent="0.3">
      <c r="A22" s="72" t="s">
        <v>28</v>
      </c>
      <c r="B22" s="73">
        <v>649.1</v>
      </c>
      <c r="C22" s="73">
        <v>635.9</v>
      </c>
      <c r="D22" s="73">
        <v>597.5</v>
      </c>
      <c r="E22" s="73">
        <v>611.5</v>
      </c>
      <c r="F22" s="73">
        <v>603</v>
      </c>
      <c r="G22" s="74">
        <v>598.70000000000005</v>
      </c>
    </row>
    <row r="23" spans="1:7" x14ac:dyDescent="0.3">
      <c r="A23" s="72" t="s">
        <v>31</v>
      </c>
      <c r="B23" s="73" t="s">
        <v>857</v>
      </c>
      <c r="C23" s="73" t="s">
        <v>858</v>
      </c>
      <c r="D23" s="75">
        <v>8641</v>
      </c>
      <c r="E23" s="75">
        <v>8576</v>
      </c>
      <c r="F23" s="73" t="s">
        <v>859</v>
      </c>
      <c r="G23" s="76">
        <v>8617.1</v>
      </c>
    </row>
    <row r="24" spans="1:7" ht="19.2" x14ac:dyDescent="0.3">
      <c r="A24" s="71" t="s">
        <v>33</v>
      </c>
      <c r="B24" s="269" t="s">
        <v>860</v>
      </c>
      <c r="C24" s="269" t="s">
        <v>861</v>
      </c>
      <c r="D24" s="270">
        <v>6954.2</v>
      </c>
      <c r="E24" s="270">
        <v>7047.9</v>
      </c>
      <c r="F24" s="269" t="s">
        <v>862</v>
      </c>
      <c r="G24" s="268">
        <v>7221.2</v>
      </c>
    </row>
    <row r="25" spans="1:7" ht="19.2" x14ac:dyDescent="0.3">
      <c r="A25" s="71" t="s">
        <v>6</v>
      </c>
      <c r="B25" s="269"/>
      <c r="C25" s="269"/>
      <c r="D25" s="270"/>
      <c r="E25" s="270"/>
      <c r="F25" s="269"/>
      <c r="G25" s="268"/>
    </row>
    <row r="26" spans="1:7" ht="19.2" x14ac:dyDescent="0.3">
      <c r="A26" s="72" t="s">
        <v>36</v>
      </c>
      <c r="B26" s="73">
        <v>310.7</v>
      </c>
      <c r="C26" s="73">
        <v>284</v>
      </c>
      <c r="D26" s="73">
        <v>260.10000000000002</v>
      </c>
      <c r="E26" s="73">
        <v>264.89999999999998</v>
      </c>
      <c r="F26" s="73">
        <v>264.89999999999998</v>
      </c>
      <c r="G26" s="74">
        <v>235.1</v>
      </c>
    </row>
    <row r="27" spans="1:7" ht="19.2" x14ac:dyDescent="0.3">
      <c r="A27" s="72" t="s">
        <v>38</v>
      </c>
      <c r="B27" s="73">
        <v>472.6</v>
      </c>
      <c r="C27" s="73">
        <v>437.7</v>
      </c>
      <c r="D27" s="73">
        <v>383.2</v>
      </c>
      <c r="E27" s="73">
        <v>377.3</v>
      </c>
      <c r="F27" s="73">
        <v>368.9</v>
      </c>
      <c r="G27" s="74">
        <v>335.6</v>
      </c>
    </row>
    <row r="28" spans="1:7" ht="19.2" x14ac:dyDescent="0.3">
      <c r="A28" s="72" t="s">
        <v>40</v>
      </c>
      <c r="B28" s="73">
        <v>575.6</v>
      </c>
      <c r="C28" s="73">
        <v>558.4</v>
      </c>
      <c r="D28" s="73">
        <v>497.7</v>
      </c>
      <c r="E28" s="73">
        <v>509.1</v>
      </c>
      <c r="F28" s="73">
        <v>510.8</v>
      </c>
      <c r="G28" s="74">
        <v>460.5</v>
      </c>
    </row>
    <row r="29" spans="1:7" ht="19.2" x14ac:dyDescent="0.3">
      <c r="A29" s="77" t="s">
        <v>863</v>
      </c>
      <c r="B29" s="73"/>
      <c r="C29" s="73"/>
      <c r="D29" s="73"/>
      <c r="E29" s="73"/>
      <c r="F29" s="73"/>
      <c r="G29" s="74"/>
    </row>
    <row r="30" spans="1:7" x14ac:dyDescent="0.3">
      <c r="A30" t="s">
        <v>43</v>
      </c>
      <c r="B30" s="73">
        <v>32.5</v>
      </c>
      <c r="C30" s="73">
        <v>33.299999999999997</v>
      </c>
      <c r="D30" s="73">
        <v>31.2</v>
      </c>
      <c r="E30" s="73">
        <v>30</v>
      </c>
      <c r="F30" s="73">
        <v>31.4</v>
      </c>
      <c r="G30" s="74">
        <v>30.7</v>
      </c>
    </row>
    <row r="31" spans="1:7" ht="57.6" x14ac:dyDescent="0.3">
      <c r="A31" s="78" t="s">
        <v>45</v>
      </c>
      <c r="B31" s="73">
        <v>543.1</v>
      </c>
      <c r="C31" s="73">
        <v>525.1</v>
      </c>
      <c r="D31" s="73">
        <v>466.5</v>
      </c>
      <c r="E31" s="73">
        <v>479.1</v>
      </c>
      <c r="F31" s="73">
        <v>479.5</v>
      </c>
      <c r="G31" s="74">
        <v>429.8</v>
      </c>
    </row>
    <row r="32" spans="1:7" ht="19.2" x14ac:dyDescent="0.3">
      <c r="A32" s="72" t="s">
        <v>47</v>
      </c>
      <c r="B32" s="73">
        <v>608.6</v>
      </c>
      <c r="C32" s="73">
        <v>554.1</v>
      </c>
      <c r="D32" s="73">
        <v>517.6</v>
      </c>
      <c r="E32" s="73">
        <v>515.1</v>
      </c>
      <c r="F32" s="73">
        <v>517.70000000000005</v>
      </c>
      <c r="G32" s="74">
        <v>503.2</v>
      </c>
    </row>
    <row r="33" spans="1:7" ht="28.8" x14ac:dyDescent="0.3">
      <c r="A33" s="72" t="s">
        <v>49</v>
      </c>
      <c r="B33" s="73">
        <v>484.5</v>
      </c>
      <c r="C33" s="73">
        <v>478.2</v>
      </c>
      <c r="D33" s="73">
        <v>472.8</v>
      </c>
      <c r="E33" s="73">
        <v>489.7</v>
      </c>
      <c r="F33" s="73">
        <v>506.7</v>
      </c>
      <c r="G33" s="74">
        <v>519.29999999999995</v>
      </c>
    </row>
    <row r="34" spans="1:7" ht="19.2" x14ac:dyDescent="0.3">
      <c r="A34" s="72" t="s">
        <v>51</v>
      </c>
      <c r="B34" s="73">
        <v>837.2</v>
      </c>
      <c r="C34" s="73">
        <v>842.1</v>
      </c>
      <c r="D34" s="73">
        <v>782.6</v>
      </c>
      <c r="E34" s="73">
        <v>800.7</v>
      </c>
      <c r="F34" s="73">
        <v>871.1</v>
      </c>
      <c r="G34" s="74">
        <v>901.5</v>
      </c>
    </row>
    <row r="35" spans="1:7" ht="19.2" x14ac:dyDescent="0.3">
      <c r="A35" s="72" t="s">
        <v>52</v>
      </c>
      <c r="B35" s="73">
        <v>417.9</v>
      </c>
      <c r="C35" s="73">
        <v>383.2</v>
      </c>
      <c r="D35" s="73">
        <v>348.3</v>
      </c>
      <c r="E35" s="73">
        <v>356.5</v>
      </c>
      <c r="F35" s="73">
        <v>340.9</v>
      </c>
      <c r="G35" s="74">
        <v>313.2</v>
      </c>
    </row>
    <row r="36" spans="1:7" ht="19.2" x14ac:dyDescent="0.3">
      <c r="A36" s="72" t="s">
        <v>53</v>
      </c>
      <c r="B36" s="73">
        <v>315</v>
      </c>
      <c r="C36" s="73">
        <v>298.7</v>
      </c>
      <c r="D36" s="73">
        <v>258.8</v>
      </c>
      <c r="E36" s="73">
        <v>264.5</v>
      </c>
      <c r="F36" s="73">
        <v>268.10000000000002</v>
      </c>
      <c r="G36" s="74">
        <v>273.8</v>
      </c>
    </row>
    <row r="37" spans="1:7" ht="19.2" x14ac:dyDescent="0.3">
      <c r="A37" s="72" t="s">
        <v>55</v>
      </c>
      <c r="B37" s="73">
        <v>310.5</v>
      </c>
      <c r="C37" s="73">
        <v>295.60000000000002</v>
      </c>
      <c r="D37" s="73">
        <v>272</v>
      </c>
      <c r="E37" s="73">
        <v>274.5</v>
      </c>
      <c r="F37" s="73">
        <v>275.89999999999998</v>
      </c>
      <c r="G37" s="74">
        <v>285.2</v>
      </c>
    </row>
    <row r="38" spans="1:7" ht="19.2" x14ac:dyDescent="0.3">
      <c r="A38" s="72" t="s">
        <v>57</v>
      </c>
      <c r="B38" s="73" t="s">
        <v>864</v>
      </c>
      <c r="C38" s="73" t="s">
        <v>865</v>
      </c>
      <c r="D38" s="75">
        <v>3161.1</v>
      </c>
      <c r="E38" s="75">
        <v>3195.6</v>
      </c>
      <c r="F38" s="73" t="s">
        <v>866</v>
      </c>
      <c r="G38" s="76">
        <v>3393.9</v>
      </c>
    </row>
    <row r="39" spans="1:7" x14ac:dyDescent="0.3">
      <c r="A39" s="71" t="s">
        <v>60</v>
      </c>
      <c r="B39" s="269" t="s">
        <v>867</v>
      </c>
      <c r="C39" s="269" t="s">
        <v>868</v>
      </c>
      <c r="D39" s="270">
        <v>7328.9</v>
      </c>
      <c r="E39" s="270">
        <v>7563.7</v>
      </c>
      <c r="F39" s="269" t="s">
        <v>869</v>
      </c>
      <c r="G39" s="268">
        <v>8057.6</v>
      </c>
    </row>
    <row r="40" spans="1:7" ht="19.2" x14ac:dyDescent="0.3">
      <c r="A40" s="71" t="s">
        <v>6</v>
      </c>
      <c r="B40" s="269"/>
      <c r="C40" s="269"/>
      <c r="D40" s="270"/>
      <c r="E40" s="270"/>
      <c r="F40" s="269"/>
      <c r="G40" s="268"/>
    </row>
    <row r="41" spans="1:7" ht="19.2" x14ac:dyDescent="0.3">
      <c r="A41" s="72" t="s">
        <v>61</v>
      </c>
      <c r="B41" s="73">
        <v>156.5</v>
      </c>
      <c r="C41" s="73">
        <v>155.1</v>
      </c>
      <c r="D41" s="73">
        <v>152.19999999999999</v>
      </c>
      <c r="E41" s="73">
        <v>152.4</v>
      </c>
      <c r="F41" s="73">
        <v>152.5</v>
      </c>
      <c r="G41" s="74">
        <v>156.69999999999999</v>
      </c>
    </row>
    <row r="42" spans="1:7" ht="19.2" x14ac:dyDescent="0.3">
      <c r="A42" s="72" t="s">
        <v>62</v>
      </c>
      <c r="B42" s="73">
        <v>115.1</v>
      </c>
      <c r="C42" s="73">
        <v>111.8</v>
      </c>
      <c r="D42" s="73">
        <v>104</v>
      </c>
      <c r="E42" s="73">
        <v>105.1</v>
      </c>
      <c r="F42" s="73">
        <v>112</v>
      </c>
      <c r="G42" s="74">
        <v>111.9</v>
      </c>
    </row>
    <row r="43" spans="1:7" ht="19.2" x14ac:dyDescent="0.3">
      <c r="A43" s="72" t="s">
        <v>63</v>
      </c>
      <c r="B43" s="73"/>
      <c r="C43" s="73">
        <v>852.7</v>
      </c>
      <c r="D43" s="73">
        <v>843</v>
      </c>
      <c r="E43" s="73">
        <v>850.2</v>
      </c>
      <c r="F43" s="73">
        <v>839</v>
      </c>
      <c r="G43" s="74">
        <v>890.6</v>
      </c>
    </row>
    <row r="44" spans="1:7" ht="19.2" x14ac:dyDescent="0.3">
      <c r="A44" s="72" t="s">
        <v>65</v>
      </c>
      <c r="B44" s="73" t="s">
        <v>870</v>
      </c>
      <c r="C44" s="73" t="s">
        <v>871</v>
      </c>
      <c r="D44" s="75">
        <v>2609.1</v>
      </c>
      <c r="E44" s="75">
        <v>2703.1</v>
      </c>
      <c r="F44" s="73" t="s">
        <v>872</v>
      </c>
      <c r="G44" s="76">
        <v>2908</v>
      </c>
    </row>
    <row r="45" spans="1:7" ht="19.2" x14ac:dyDescent="0.3">
      <c r="A45" s="72" t="s">
        <v>66</v>
      </c>
      <c r="B45" s="73">
        <v>493.6</v>
      </c>
      <c r="C45" s="73">
        <v>479.8</v>
      </c>
      <c r="D45" s="73">
        <v>444.2</v>
      </c>
      <c r="E45" s="73">
        <v>457.8</v>
      </c>
      <c r="F45" s="73">
        <v>472.9</v>
      </c>
      <c r="G45" s="74">
        <v>466.8</v>
      </c>
    </row>
    <row r="46" spans="1:7" ht="19.2" x14ac:dyDescent="0.3">
      <c r="A46" s="72" t="s">
        <v>67</v>
      </c>
      <c r="B46" s="73" t="s">
        <v>873</v>
      </c>
      <c r="C46" s="73" t="s">
        <v>874</v>
      </c>
      <c r="D46" s="75">
        <v>1072.5999999999999</v>
      </c>
      <c r="E46" s="75">
        <v>1105.7</v>
      </c>
      <c r="F46" s="73" t="s">
        <v>875</v>
      </c>
      <c r="G46" s="76">
        <v>1180.0999999999999</v>
      </c>
    </row>
    <row r="47" spans="1:7" ht="19.2" x14ac:dyDescent="0.3">
      <c r="A47" s="72" t="s">
        <v>70</v>
      </c>
      <c r="B47" s="73" t="s">
        <v>876</v>
      </c>
      <c r="C47" s="73" t="s">
        <v>877</v>
      </c>
      <c r="D47" s="75">
        <v>1909.4</v>
      </c>
      <c r="E47" s="75">
        <v>1984.6</v>
      </c>
      <c r="F47" s="73" t="s">
        <v>878</v>
      </c>
      <c r="G47" s="76">
        <v>2092.1</v>
      </c>
    </row>
    <row r="48" spans="1:7" ht="28.8" x14ac:dyDescent="0.3">
      <c r="A48" s="72" t="s">
        <v>71</v>
      </c>
      <c r="B48" s="73"/>
      <c r="C48" s="73">
        <v>172.2</v>
      </c>
      <c r="D48" s="73">
        <v>194.3</v>
      </c>
      <c r="E48" s="73">
        <v>205</v>
      </c>
      <c r="F48" s="73">
        <v>233</v>
      </c>
      <c r="G48" s="74">
        <v>251.4</v>
      </c>
    </row>
    <row r="49" spans="1:7" ht="19.2" x14ac:dyDescent="0.3">
      <c r="A49" s="71" t="s">
        <v>73</v>
      </c>
      <c r="B49" s="269" t="s">
        <v>879</v>
      </c>
      <c r="C49" s="269" t="s">
        <v>880</v>
      </c>
      <c r="D49" s="270">
        <v>3739.1</v>
      </c>
      <c r="E49" s="270">
        <v>3842</v>
      </c>
      <c r="F49" s="269" t="s">
        <v>881</v>
      </c>
      <c r="G49" s="268">
        <v>4190.5</v>
      </c>
    </row>
    <row r="50" spans="1:7" ht="19.2" x14ac:dyDescent="0.3">
      <c r="A50" s="71" t="s">
        <v>6</v>
      </c>
      <c r="B50" s="269"/>
      <c r="C50" s="269"/>
      <c r="D50" s="270"/>
      <c r="E50" s="270"/>
      <c r="F50" s="269"/>
      <c r="G50" s="268"/>
    </row>
    <row r="51" spans="1:7" ht="19.2" x14ac:dyDescent="0.3">
      <c r="A51" s="72" t="s">
        <v>74</v>
      </c>
      <c r="B51" s="73" t="s">
        <v>882</v>
      </c>
      <c r="C51" s="73" t="s">
        <v>883</v>
      </c>
      <c r="D51" s="75">
        <v>1022.9</v>
      </c>
      <c r="E51" s="75">
        <v>1060</v>
      </c>
      <c r="F51" s="73" t="s">
        <v>884</v>
      </c>
      <c r="G51" s="76">
        <v>1230.2</v>
      </c>
    </row>
    <row r="52" spans="1:7" ht="19.2" x14ac:dyDescent="0.3">
      <c r="A52" s="72" t="s">
        <v>250</v>
      </c>
      <c r="B52" s="73">
        <v>134.1</v>
      </c>
      <c r="C52" s="73">
        <v>153.19999999999999</v>
      </c>
      <c r="D52" s="73">
        <v>182.2</v>
      </c>
      <c r="E52" s="73">
        <v>184.1</v>
      </c>
      <c r="F52" s="73">
        <v>199.8</v>
      </c>
      <c r="G52" s="74">
        <v>198.6</v>
      </c>
    </row>
    <row r="53" spans="1:7" ht="28.8" x14ac:dyDescent="0.3">
      <c r="A53" s="72" t="s">
        <v>76</v>
      </c>
      <c r="B53" s="73">
        <v>362.6</v>
      </c>
      <c r="C53" s="73">
        <v>357</v>
      </c>
      <c r="D53" s="73">
        <v>360.6</v>
      </c>
      <c r="E53" s="73">
        <v>363.7</v>
      </c>
      <c r="F53" s="73">
        <v>377.5</v>
      </c>
      <c r="G53" s="74">
        <v>386</v>
      </c>
    </row>
    <row r="54" spans="1:7" ht="28.8" x14ac:dyDescent="0.3">
      <c r="A54" s="72" t="s">
        <v>77</v>
      </c>
      <c r="B54" s="73">
        <v>179.1</v>
      </c>
      <c r="C54" s="73">
        <v>173.3</v>
      </c>
      <c r="D54" s="73">
        <v>161.80000000000001</v>
      </c>
      <c r="E54" s="73">
        <v>168.8</v>
      </c>
      <c r="F54" s="73">
        <v>179</v>
      </c>
      <c r="G54" s="74">
        <v>188</v>
      </c>
    </row>
    <row r="55" spans="1:7" ht="28.8" x14ac:dyDescent="0.3">
      <c r="A55" s="10" t="s">
        <v>1066</v>
      </c>
      <c r="B55" s="73">
        <v>301.7</v>
      </c>
      <c r="C55" s="73">
        <v>294.7</v>
      </c>
      <c r="D55" s="73">
        <v>248.7</v>
      </c>
      <c r="E55" s="73">
        <v>255.4</v>
      </c>
      <c r="F55" s="73">
        <v>266.7</v>
      </c>
      <c r="G55" s="74">
        <v>274.2</v>
      </c>
    </row>
    <row r="56" spans="1:7" ht="19.2" x14ac:dyDescent="0.3">
      <c r="A56" s="72" t="s">
        <v>78</v>
      </c>
      <c r="B56" s="73">
        <v>408.5</v>
      </c>
      <c r="C56" s="73">
        <v>488.7</v>
      </c>
      <c r="D56" s="73">
        <v>515.1</v>
      </c>
      <c r="E56" s="73">
        <v>538.79999999999995</v>
      </c>
      <c r="F56" s="73">
        <v>573.9</v>
      </c>
      <c r="G56" s="74">
        <v>569.20000000000005</v>
      </c>
    </row>
    <row r="57" spans="1:7" ht="19.8" thickBot="1" x14ac:dyDescent="0.35">
      <c r="A57" s="79" t="s">
        <v>79</v>
      </c>
      <c r="B57" s="80" t="s">
        <v>885</v>
      </c>
      <c r="C57" s="80" t="s">
        <v>886</v>
      </c>
      <c r="D57" s="81">
        <v>1247.9000000000001</v>
      </c>
      <c r="E57" s="81">
        <v>1271.0999999999999</v>
      </c>
      <c r="F57" s="80" t="s">
        <v>887</v>
      </c>
      <c r="G57" s="82">
        <v>1344.4</v>
      </c>
    </row>
    <row r="58" spans="1:7" ht="19.2" x14ac:dyDescent="0.3">
      <c r="A58" s="71" t="s">
        <v>80</v>
      </c>
      <c r="B58" s="272" t="s">
        <v>889</v>
      </c>
      <c r="C58" s="272" t="s">
        <v>890</v>
      </c>
      <c r="D58" s="273">
        <v>13114.1</v>
      </c>
      <c r="E58" s="273">
        <v>13436.9</v>
      </c>
      <c r="F58" s="272" t="s">
        <v>891</v>
      </c>
      <c r="G58" s="271">
        <v>13695.9</v>
      </c>
    </row>
    <row r="59" spans="1:7" ht="19.2" x14ac:dyDescent="0.3">
      <c r="A59" s="71" t="s">
        <v>6</v>
      </c>
      <c r="B59" s="269"/>
      <c r="C59" s="269"/>
      <c r="D59" s="270"/>
      <c r="E59" s="270"/>
      <c r="F59" s="269"/>
      <c r="G59" s="268"/>
    </row>
    <row r="60" spans="1:7" ht="28.8" x14ac:dyDescent="0.3">
      <c r="A60" s="72" t="s">
        <v>81</v>
      </c>
      <c r="B60" s="73" t="s">
        <v>892</v>
      </c>
      <c r="C60" s="73" t="s">
        <v>893</v>
      </c>
      <c r="D60" s="75">
        <v>1588.9</v>
      </c>
      <c r="E60" s="75">
        <v>1650.9</v>
      </c>
      <c r="F60" s="73" t="s">
        <v>894</v>
      </c>
      <c r="G60" s="76">
        <v>1730</v>
      </c>
    </row>
    <row r="61" spans="1:7" ht="19.2" x14ac:dyDescent="0.3">
      <c r="A61" s="72" t="s">
        <v>82</v>
      </c>
      <c r="B61" s="73">
        <v>319.39999999999998</v>
      </c>
      <c r="C61" s="73">
        <v>307.5</v>
      </c>
      <c r="D61" s="73">
        <v>264.5</v>
      </c>
      <c r="E61" s="73">
        <v>270.89999999999998</v>
      </c>
      <c r="F61" s="73">
        <v>268.3</v>
      </c>
      <c r="G61" s="74">
        <v>280.7</v>
      </c>
    </row>
    <row r="62" spans="1:7" ht="19.2" x14ac:dyDescent="0.3">
      <c r="A62" s="72" t="s">
        <v>83</v>
      </c>
      <c r="B62" s="73">
        <v>426.3</v>
      </c>
      <c r="C62" s="73">
        <v>393.6</v>
      </c>
      <c r="D62" s="73">
        <v>365.4</v>
      </c>
      <c r="E62" s="73">
        <v>374</v>
      </c>
      <c r="F62" s="73">
        <v>386.1</v>
      </c>
      <c r="G62" s="74">
        <v>369.3</v>
      </c>
    </row>
    <row r="63" spans="1:7" ht="19.2" x14ac:dyDescent="0.3">
      <c r="A63" s="72" t="s">
        <v>84</v>
      </c>
      <c r="B63" s="73" t="s">
        <v>895</v>
      </c>
      <c r="C63" s="73" t="s">
        <v>896</v>
      </c>
      <c r="D63" s="75">
        <v>1938.8</v>
      </c>
      <c r="E63" s="75">
        <v>1985.8</v>
      </c>
      <c r="F63" s="73" t="s">
        <v>897</v>
      </c>
      <c r="G63" s="76">
        <v>2036.5</v>
      </c>
    </row>
    <row r="64" spans="1:7" ht="19.2" x14ac:dyDescent="0.3">
      <c r="A64" s="72" t="s">
        <v>85</v>
      </c>
      <c r="B64" s="73">
        <v>761.7</v>
      </c>
      <c r="C64" s="73">
        <v>741.6</v>
      </c>
      <c r="D64" s="73">
        <v>678.4</v>
      </c>
      <c r="E64" s="73">
        <v>693.7</v>
      </c>
      <c r="F64" s="73">
        <v>685.4</v>
      </c>
      <c r="G64" s="74">
        <v>681.5</v>
      </c>
    </row>
    <row r="65" spans="1:7" ht="19.2" x14ac:dyDescent="0.3">
      <c r="A65" s="72" t="s">
        <v>86</v>
      </c>
      <c r="B65" s="73">
        <v>597.9</v>
      </c>
      <c r="C65" s="73">
        <v>564.29999999999995</v>
      </c>
      <c r="D65" s="73">
        <v>478.9</v>
      </c>
      <c r="E65" s="73">
        <v>494.1</v>
      </c>
      <c r="F65" s="73">
        <v>495</v>
      </c>
      <c r="G65" s="74">
        <v>508.7</v>
      </c>
    </row>
    <row r="66" spans="1:7" ht="19.2" x14ac:dyDescent="0.3">
      <c r="A66" s="72" t="s">
        <v>87</v>
      </c>
      <c r="B66" s="73" t="s">
        <v>898</v>
      </c>
      <c r="C66" s="73" t="s">
        <v>899</v>
      </c>
      <c r="D66" s="75">
        <v>1108.5</v>
      </c>
      <c r="E66" s="75">
        <v>1153.5</v>
      </c>
      <c r="F66" s="73" t="s">
        <v>900</v>
      </c>
      <c r="G66" s="76">
        <v>1145.5999999999999</v>
      </c>
    </row>
    <row r="67" spans="1:7" ht="19.2" x14ac:dyDescent="0.3">
      <c r="A67" s="72" t="s">
        <v>88</v>
      </c>
      <c r="B67" s="73">
        <v>624.9</v>
      </c>
      <c r="C67" s="73">
        <v>596.6</v>
      </c>
      <c r="D67" s="73">
        <v>552.20000000000005</v>
      </c>
      <c r="E67" s="73">
        <v>557.4</v>
      </c>
      <c r="F67" s="73">
        <v>555.5</v>
      </c>
      <c r="G67" s="74">
        <v>530</v>
      </c>
    </row>
    <row r="68" spans="1:7" ht="19.2" x14ac:dyDescent="0.3">
      <c r="A68" s="10" t="s">
        <v>89</v>
      </c>
      <c r="B68" s="73" t="s">
        <v>901</v>
      </c>
      <c r="C68" s="73" t="s">
        <v>902</v>
      </c>
      <c r="D68" s="75">
        <v>1603.6</v>
      </c>
      <c r="E68" s="75">
        <v>1637.9</v>
      </c>
      <c r="F68" s="73" t="s">
        <v>903</v>
      </c>
      <c r="G68" s="76">
        <v>1660.5</v>
      </c>
    </row>
    <row r="69" spans="1:7" ht="19.2" x14ac:dyDescent="0.3">
      <c r="A69" s="72" t="s">
        <v>90</v>
      </c>
      <c r="B69" s="73">
        <v>960.4</v>
      </c>
      <c r="C69" s="73">
        <v>930.2</v>
      </c>
      <c r="D69" s="73">
        <v>832.3</v>
      </c>
      <c r="E69" s="73">
        <v>853</v>
      </c>
      <c r="F69" s="73">
        <v>845.9</v>
      </c>
      <c r="G69" s="74">
        <v>848.3</v>
      </c>
    </row>
    <row r="70" spans="1:7" ht="19.2" x14ac:dyDescent="0.3">
      <c r="A70" s="72" t="s">
        <v>91</v>
      </c>
      <c r="B70" s="73">
        <v>638.9</v>
      </c>
      <c r="C70" s="73">
        <v>632.6</v>
      </c>
      <c r="D70" s="73">
        <v>555.9</v>
      </c>
      <c r="E70" s="73">
        <v>579.29999999999995</v>
      </c>
      <c r="F70" s="73">
        <v>561.6</v>
      </c>
      <c r="G70" s="74">
        <v>580.5</v>
      </c>
    </row>
    <row r="71" spans="1:7" ht="19.2" x14ac:dyDescent="0.3">
      <c r="A71" s="72" t="s">
        <v>92</v>
      </c>
      <c r="B71" s="73" t="s">
        <v>904</v>
      </c>
      <c r="C71" s="73" t="s">
        <v>905</v>
      </c>
      <c r="D71" s="75">
        <v>1597.4</v>
      </c>
      <c r="E71" s="75">
        <v>1620.9</v>
      </c>
      <c r="F71" s="73" t="s">
        <v>906</v>
      </c>
      <c r="G71" s="76">
        <v>1646.3</v>
      </c>
    </row>
    <row r="72" spans="1:7" ht="19.2" x14ac:dyDescent="0.3">
      <c r="A72" s="72" t="s">
        <v>93</v>
      </c>
      <c r="B72" s="73" t="s">
        <v>907</v>
      </c>
      <c r="C72" s="73" t="s">
        <v>908</v>
      </c>
      <c r="D72" s="75">
        <v>1009.4</v>
      </c>
      <c r="E72" s="75">
        <v>1024.4000000000001</v>
      </c>
      <c r="F72" s="73" t="s">
        <v>909</v>
      </c>
      <c r="G72" s="76">
        <v>1120.4000000000001</v>
      </c>
    </row>
    <row r="73" spans="1:7" ht="19.2" x14ac:dyDescent="0.3">
      <c r="A73" s="72" t="s">
        <v>94</v>
      </c>
      <c r="B73" s="73">
        <v>602.6</v>
      </c>
      <c r="C73" s="73">
        <v>582.29999999999995</v>
      </c>
      <c r="D73" s="73">
        <v>539.79999999999995</v>
      </c>
      <c r="E73" s="73">
        <v>541.1</v>
      </c>
      <c r="F73" s="73">
        <v>562.1</v>
      </c>
      <c r="G73" s="74">
        <v>557.70000000000005</v>
      </c>
    </row>
    <row r="74" spans="1:7" x14ac:dyDescent="0.3">
      <c r="A74" s="71" t="s">
        <v>95</v>
      </c>
      <c r="B74" s="269" t="s">
        <v>910</v>
      </c>
      <c r="C74" s="269" t="s">
        <v>911</v>
      </c>
      <c r="D74" s="270">
        <v>6177.7</v>
      </c>
      <c r="E74" s="270">
        <v>6310.9</v>
      </c>
      <c r="F74" s="269" t="s">
        <v>912</v>
      </c>
      <c r="G74" s="268">
        <v>6448.6</v>
      </c>
    </row>
    <row r="75" spans="1:7" ht="19.2" x14ac:dyDescent="0.3">
      <c r="A75" s="71" t="s">
        <v>6</v>
      </c>
      <c r="B75" s="269"/>
      <c r="C75" s="269"/>
      <c r="D75" s="270"/>
      <c r="E75" s="270"/>
      <c r="F75" s="269"/>
      <c r="G75" s="268"/>
    </row>
    <row r="76" spans="1:7" ht="19.2" x14ac:dyDescent="0.3">
      <c r="A76" s="72" t="s">
        <v>96</v>
      </c>
      <c r="B76" s="73">
        <v>383.1</v>
      </c>
      <c r="C76" s="73">
        <v>359.8</v>
      </c>
      <c r="D76" s="73">
        <v>309.8</v>
      </c>
      <c r="E76" s="73">
        <v>302.8</v>
      </c>
      <c r="F76" s="73">
        <v>306.10000000000002</v>
      </c>
      <c r="G76" s="74">
        <v>308.60000000000002</v>
      </c>
    </row>
    <row r="77" spans="1:7" ht="28.8" x14ac:dyDescent="0.3">
      <c r="A77" s="15" t="s">
        <v>97</v>
      </c>
      <c r="B77" s="73" t="s">
        <v>913</v>
      </c>
      <c r="C77" s="73" t="s">
        <v>914</v>
      </c>
      <c r="D77" s="75">
        <v>1954.9</v>
      </c>
      <c r="E77" s="75">
        <v>2024</v>
      </c>
      <c r="F77" s="73" t="s">
        <v>915</v>
      </c>
      <c r="G77" s="76">
        <v>2095.1999999999998</v>
      </c>
    </row>
    <row r="78" spans="1:7" ht="19.2" x14ac:dyDescent="0.3">
      <c r="A78" s="72" t="s">
        <v>98</v>
      </c>
      <c r="B78" s="73" t="s">
        <v>916</v>
      </c>
      <c r="C78" s="73" t="s">
        <v>917</v>
      </c>
      <c r="D78" s="75">
        <v>2196</v>
      </c>
      <c r="E78" s="75">
        <v>2237.5</v>
      </c>
      <c r="F78" s="73" t="s">
        <v>918</v>
      </c>
      <c r="G78" s="76">
        <v>2258.6</v>
      </c>
    </row>
    <row r="79" spans="1:7" ht="19.2" x14ac:dyDescent="0.3">
      <c r="A79" s="77" t="s">
        <v>42</v>
      </c>
      <c r="B79" s="73"/>
      <c r="C79" s="73"/>
      <c r="D79" s="73"/>
      <c r="E79" s="73"/>
      <c r="F79" s="73"/>
      <c r="G79" s="74"/>
    </row>
    <row r="80" spans="1:7" ht="48" x14ac:dyDescent="0.3">
      <c r="A80" s="15" t="s">
        <v>1069</v>
      </c>
      <c r="B80" s="73" t="s">
        <v>919</v>
      </c>
      <c r="C80" s="73" t="s">
        <v>920</v>
      </c>
      <c r="D80" s="75">
        <v>1066.0999999999999</v>
      </c>
      <c r="E80" s="75">
        <v>1086.9000000000001</v>
      </c>
      <c r="F80" s="73" t="s">
        <v>921</v>
      </c>
      <c r="G80" s="76">
        <v>1101.9000000000001</v>
      </c>
    </row>
    <row r="81" spans="1:7" ht="38.4" x14ac:dyDescent="0.3">
      <c r="A81" s="78" t="s">
        <v>101</v>
      </c>
      <c r="B81" s="73">
        <v>387.7</v>
      </c>
      <c r="C81" s="73">
        <v>393.8</v>
      </c>
      <c r="D81" s="73">
        <v>417.2</v>
      </c>
      <c r="E81" s="73">
        <v>424.1</v>
      </c>
      <c r="F81" s="73">
        <v>416.2</v>
      </c>
      <c r="G81" s="74">
        <v>409.2</v>
      </c>
    </row>
    <row r="82" spans="1:7" ht="48" x14ac:dyDescent="0.3">
      <c r="A82" s="78" t="s">
        <v>922</v>
      </c>
      <c r="B82" s="73">
        <v>758.8</v>
      </c>
      <c r="C82" s="73">
        <v>778.6</v>
      </c>
      <c r="D82" s="73">
        <v>712.7</v>
      </c>
      <c r="E82" s="73">
        <v>726.5</v>
      </c>
      <c r="F82" s="73">
        <v>725.5</v>
      </c>
      <c r="G82" s="74">
        <v>747.4</v>
      </c>
    </row>
    <row r="83" spans="1:7" ht="19.2" x14ac:dyDescent="0.3">
      <c r="A83" s="72" t="s">
        <v>103</v>
      </c>
      <c r="B83" s="73" t="s">
        <v>923</v>
      </c>
      <c r="C83" s="73" t="s">
        <v>924</v>
      </c>
      <c r="D83" s="75">
        <v>1717</v>
      </c>
      <c r="E83" s="75">
        <v>1746.6</v>
      </c>
      <c r="F83" s="73" t="s">
        <v>925</v>
      </c>
      <c r="G83" s="76">
        <v>1786.3</v>
      </c>
    </row>
    <row r="84" spans="1:7" x14ac:dyDescent="0.3">
      <c r="A84" s="71" t="s">
        <v>104</v>
      </c>
      <c r="B84" s="269" t="s">
        <v>926</v>
      </c>
      <c r="C84" s="269" t="s">
        <v>927</v>
      </c>
      <c r="D84" s="270">
        <v>7572</v>
      </c>
      <c r="E84" s="270">
        <v>7764.8</v>
      </c>
      <c r="F84" s="269" t="s">
        <v>928</v>
      </c>
      <c r="G84" s="268">
        <v>7795.2</v>
      </c>
    </row>
    <row r="85" spans="1:7" ht="19.2" x14ac:dyDescent="0.3">
      <c r="A85" s="71" t="s">
        <v>6</v>
      </c>
      <c r="B85" s="269"/>
      <c r="C85" s="269"/>
      <c r="D85" s="270"/>
      <c r="E85" s="270"/>
      <c r="F85" s="269"/>
      <c r="G85" s="268"/>
    </row>
    <row r="86" spans="1:7" ht="19.2" x14ac:dyDescent="0.3">
      <c r="A86" s="72" t="s">
        <v>105</v>
      </c>
      <c r="B86" s="73">
        <v>88</v>
      </c>
      <c r="C86" s="73">
        <v>85.6</v>
      </c>
      <c r="D86" s="73">
        <v>80.599999999999994</v>
      </c>
      <c r="E86" s="73">
        <v>82.4</v>
      </c>
      <c r="F86" s="73">
        <v>83</v>
      </c>
      <c r="G86" s="74">
        <v>80.5</v>
      </c>
    </row>
    <row r="87" spans="1:7" ht="19.2" x14ac:dyDescent="0.3">
      <c r="A87" s="72" t="s">
        <v>106</v>
      </c>
      <c r="B87" s="73">
        <v>101.7</v>
      </c>
      <c r="C87" s="73">
        <v>99</v>
      </c>
      <c r="D87" s="73">
        <v>101.9</v>
      </c>
      <c r="E87" s="73">
        <v>103.7</v>
      </c>
      <c r="F87" s="73">
        <v>111.2</v>
      </c>
      <c r="G87" s="74">
        <v>112.3</v>
      </c>
    </row>
    <row r="88" spans="1:7" ht="19.2" x14ac:dyDescent="0.3">
      <c r="A88" s="72" t="s">
        <v>107</v>
      </c>
      <c r="B88" s="73">
        <v>253.2</v>
      </c>
      <c r="C88" s="73">
        <v>237.2</v>
      </c>
      <c r="D88" s="73">
        <v>207.6</v>
      </c>
      <c r="E88" s="73">
        <v>228.4</v>
      </c>
      <c r="F88" s="73">
        <v>233.3</v>
      </c>
      <c r="G88" s="74">
        <v>248.2</v>
      </c>
    </row>
    <row r="89" spans="1:7" ht="19.2" x14ac:dyDescent="0.3">
      <c r="A89" s="72" t="s">
        <v>108</v>
      </c>
      <c r="B89" s="73" t="s">
        <v>929</v>
      </c>
      <c r="C89" s="73" t="s">
        <v>930</v>
      </c>
      <c r="D89" s="73">
        <v>976</v>
      </c>
      <c r="E89" s="75">
        <v>1006.3</v>
      </c>
      <c r="F89" s="73" t="s">
        <v>931</v>
      </c>
      <c r="G89" s="76">
        <v>1057.8</v>
      </c>
    </row>
    <row r="90" spans="1:7" ht="19.2" x14ac:dyDescent="0.3">
      <c r="A90" s="72" t="s">
        <v>109</v>
      </c>
      <c r="B90" s="73" t="s">
        <v>932</v>
      </c>
      <c r="C90" s="73" t="s">
        <v>933</v>
      </c>
      <c r="D90" s="75">
        <v>1363.9</v>
      </c>
      <c r="E90" s="75">
        <v>1408.7</v>
      </c>
      <c r="F90" s="73" t="s">
        <v>934</v>
      </c>
      <c r="G90" s="76">
        <v>1409.4</v>
      </c>
    </row>
    <row r="91" spans="1:7" ht="19.2" x14ac:dyDescent="0.3">
      <c r="A91" s="72" t="s">
        <v>110</v>
      </c>
      <c r="B91" s="73" t="s">
        <v>935</v>
      </c>
      <c r="C91" s="73" t="s">
        <v>936</v>
      </c>
      <c r="D91" s="75">
        <v>1051.5</v>
      </c>
      <c r="E91" s="75">
        <v>1073.0999999999999</v>
      </c>
      <c r="F91" s="73" t="s">
        <v>937</v>
      </c>
      <c r="G91" s="76">
        <v>1093.7</v>
      </c>
    </row>
    <row r="92" spans="1:7" ht="19.2" x14ac:dyDescent="0.3">
      <c r="A92" s="72" t="s">
        <v>111</v>
      </c>
      <c r="B92" s="73" t="s">
        <v>938</v>
      </c>
      <c r="C92" s="73" t="s">
        <v>939</v>
      </c>
      <c r="D92" s="75">
        <v>1146.5</v>
      </c>
      <c r="E92" s="75">
        <v>1156.5999999999999</v>
      </c>
      <c r="F92" s="73" t="s">
        <v>940</v>
      </c>
      <c r="G92" s="76">
        <v>1148.0999999999999</v>
      </c>
    </row>
    <row r="93" spans="1:7" ht="19.2" x14ac:dyDescent="0.3">
      <c r="A93" s="72" t="s">
        <v>827</v>
      </c>
      <c r="B93" s="73" t="s">
        <v>941</v>
      </c>
      <c r="C93" s="73" t="s">
        <v>942</v>
      </c>
      <c r="D93" s="75">
        <v>1288.2</v>
      </c>
      <c r="E93" s="75">
        <v>1328.3</v>
      </c>
      <c r="F93" s="73" t="s">
        <v>943</v>
      </c>
      <c r="G93" s="76">
        <v>1314.9</v>
      </c>
    </row>
    <row r="94" spans="1:7" ht="19.2" x14ac:dyDescent="0.3">
      <c r="A94" s="72" t="s">
        <v>113</v>
      </c>
      <c r="B94" s="73">
        <v>938.5</v>
      </c>
      <c r="C94" s="73">
        <v>932.7</v>
      </c>
      <c r="D94" s="73">
        <v>876.6</v>
      </c>
      <c r="E94" s="73">
        <v>877.8</v>
      </c>
      <c r="F94" s="73">
        <v>868.1</v>
      </c>
      <c r="G94" s="74">
        <v>835.8</v>
      </c>
    </row>
    <row r="95" spans="1:7" ht="19.2" x14ac:dyDescent="0.3">
      <c r="A95" s="72" t="s">
        <v>114</v>
      </c>
      <c r="B95" s="73">
        <v>481.2</v>
      </c>
      <c r="C95" s="73">
        <v>475.2</v>
      </c>
      <c r="D95" s="73">
        <v>479.1</v>
      </c>
      <c r="E95" s="73">
        <v>499.5</v>
      </c>
      <c r="F95" s="73">
        <v>498.5</v>
      </c>
      <c r="G95" s="74">
        <v>494.5</v>
      </c>
    </row>
    <row r="96" spans="1:7" ht="19.2" x14ac:dyDescent="0.3">
      <c r="A96" s="71" t="s">
        <v>115</v>
      </c>
      <c r="B96" s="269" t="s">
        <v>944</v>
      </c>
      <c r="C96" s="269" t="s">
        <v>945</v>
      </c>
      <c r="D96" s="270">
        <v>3898.6</v>
      </c>
      <c r="E96" s="270">
        <v>3945.5</v>
      </c>
      <c r="F96" s="269" t="s">
        <v>946</v>
      </c>
      <c r="G96" s="268">
        <v>3965</v>
      </c>
    </row>
    <row r="97" spans="1:7" ht="19.2" x14ac:dyDescent="0.3">
      <c r="A97" s="71" t="s">
        <v>6</v>
      </c>
      <c r="B97" s="269"/>
      <c r="C97" s="269"/>
      <c r="D97" s="270"/>
      <c r="E97" s="270"/>
      <c r="F97" s="269"/>
      <c r="G97" s="268"/>
    </row>
    <row r="98" spans="1:7" ht="19.2" x14ac:dyDescent="0.3">
      <c r="A98" s="72" t="s">
        <v>116</v>
      </c>
      <c r="B98" s="73">
        <v>401</v>
      </c>
      <c r="C98" s="73">
        <v>398</v>
      </c>
      <c r="D98" s="73">
        <v>352.8</v>
      </c>
      <c r="E98" s="73">
        <v>370.9</v>
      </c>
      <c r="F98" s="73">
        <v>366.2</v>
      </c>
      <c r="G98" s="74">
        <v>376.8</v>
      </c>
    </row>
    <row r="99" spans="1:7" ht="28.8" x14ac:dyDescent="0.3">
      <c r="A99" s="72" t="s">
        <v>117</v>
      </c>
      <c r="B99" s="73">
        <v>482.2</v>
      </c>
      <c r="C99" s="73">
        <v>482.7</v>
      </c>
      <c r="D99" s="73">
        <v>492.4</v>
      </c>
      <c r="E99" s="73">
        <v>495.7</v>
      </c>
      <c r="F99" s="73">
        <v>509.2</v>
      </c>
      <c r="G99" s="74">
        <v>526.70000000000005</v>
      </c>
    </row>
    <row r="100" spans="1:7" ht="19.2" x14ac:dyDescent="0.3">
      <c r="A100" s="72" t="s">
        <v>118</v>
      </c>
      <c r="B100" s="73">
        <v>488.2</v>
      </c>
      <c r="C100" s="73">
        <v>475.4</v>
      </c>
      <c r="D100" s="73">
        <v>452.5</v>
      </c>
      <c r="E100" s="73">
        <v>456.8</v>
      </c>
      <c r="F100" s="73">
        <v>446.3</v>
      </c>
      <c r="G100" s="74">
        <v>427.4</v>
      </c>
    </row>
    <row r="101" spans="1:7" ht="19.2" x14ac:dyDescent="0.3">
      <c r="A101" s="72" t="s">
        <v>119</v>
      </c>
      <c r="B101" s="73">
        <v>169.5</v>
      </c>
      <c r="C101" s="73">
        <v>170.1</v>
      </c>
      <c r="D101" s="73">
        <v>167</v>
      </c>
      <c r="E101" s="73">
        <v>172</v>
      </c>
      <c r="F101" s="73">
        <v>164.5</v>
      </c>
      <c r="G101" s="74">
        <v>161.4</v>
      </c>
    </row>
    <row r="102" spans="1:7" ht="19.2" x14ac:dyDescent="0.3">
      <c r="A102" s="72" t="s">
        <v>120</v>
      </c>
      <c r="B102" s="73">
        <v>975.9</v>
      </c>
      <c r="C102" s="73">
        <v>965.3</v>
      </c>
      <c r="D102" s="73">
        <v>924.7</v>
      </c>
      <c r="E102" s="73">
        <v>936.2</v>
      </c>
      <c r="F102" s="73">
        <v>928.3</v>
      </c>
      <c r="G102" s="74">
        <v>936.2</v>
      </c>
    </row>
    <row r="103" spans="1:7" ht="19.2" x14ac:dyDescent="0.3">
      <c r="A103" s="10" t="s">
        <v>121</v>
      </c>
      <c r="B103" s="73">
        <v>692.1</v>
      </c>
      <c r="C103" s="73">
        <v>683</v>
      </c>
      <c r="D103" s="73">
        <v>666.5</v>
      </c>
      <c r="E103" s="73">
        <v>674.4</v>
      </c>
      <c r="F103" s="73">
        <v>669.8</v>
      </c>
      <c r="G103" s="74">
        <v>679.7</v>
      </c>
    </row>
    <row r="104" spans="1:7" ht="19.2" x14ac:dyDescent="0.3">
      <c r="A104" s="72" t="s">
        <v>122</v>
      </c>
      <c r="B104" s="73">
        <v>423.2</v>
      </c>
      <c r="C104" s="73">
        <v>393.2</v>
      </c>
      <c r="D104" s="73">
        <v>381.2</v>
      </c>
      <c r="E104" s="73">
        <v>381.4</v>
      </c>
      <c r="F104" s="73">
        <v>383.1</v>
      </c>
      <c r="G104" s="74">
        <v>399.9</v>
      </c>
    </row>
    <row r="105" spans="1:7" ht="19.2" x14ac:dyDescent="0.3">
      <c r="A105" s="72" t="s">
        <v>123</v>
      </c>
      <c r="B105" s="73">
        <v>98.6</v>
      </c>
      <c r="C105" s="73">
        <v>94.9</v>
      </c>
      <c r="D105" s="73">
        <v>88.8</v>
      </c>
      <c r="E105" s="73">
        <v>90.2</v>
      </c>
      <c r="F105" s="73">
        <v>86.7</v>
      </c>
      <c r="G105" s="74">
        <v>84.5</v>
      </c>
    </row>
    <row r="106" spans="1:7" ht="19.2" x14ac:dyDescent="0.3">
      <c r="A106" s="72" t="s">
        <v>124</v>
      </c>
      <c r="B106" s="73">
        <v>292.39999999999998</v>
      </c>
      <c r="C106" s="73">
        <v>287.7</v>
      </c>
      <c r="D106" s="73">
        <v>275.39999999999998</v>
      </c>
      <c r="E106" s="73">
        <v>270.8</v>
      </c>
      <c r="F106" s="73">
        <v>275.7</v>
      </c>
      <c r="G106" s="74">
        <v>280.10000000000002</v>
      </c>
    </row>
    <row r="107" spans="1:7" ht="28.8" x14ac:dyDescent="0.3">
      <c r="A107" s="72" t="s">
        <v>125</v>
      </c>
      <c r="B107" s="73">
        <v>76.900000000000006</v>
      </c>
      <c r="C107" s="73">
        <v>70.3</v>
      </c>
      <c r="D107" s="73">
        <v>63.9</v>
      </c>
      <c r="E107" s="73">
        <v>62.2</v>
      </c>
      <c r="F107" s="73">
        <v>62.7</v>
      </c>
      <c r="G107" s="74">
        <v>60.2</v>
      </c>
    </row>
    <row r="108" spans="1:7" ht="28.8" x14ac:dyDescent="0.3">
      <c r="A108" s="72" t="s">
        <v>126</v>
      </c>
      <c r="B108" s="73">
        <v>36.6</v>
      </c>
      <c r="C108" s="73">
        <v>33.1</v>
      </c>
      <c r="D108" s="73">
        <v>33.5</v>
      </c>
      <c r="E108" s="73">
        <v>35</v>
      </c>
      <c r="F108" s="73">
        <v>33.5</v>
      </c>
      <c r="G108" s="74">
        <v>32</v>
      </c>
    </row>
    <row r="109" spans="1:7" x14ac:dyDescent="0.3">
      <c r="A109" s="255" t="s">
        <v>947</v>
      </c>
      <c r="B109" s="256"/>
      <c r="C109" s="256"/>
      <c r="D109" s="256"/>
      <c r="E109" s="256"/>
      <c r="F109" s="256"/>
      <c r="G109" s="257"/>
    </row>
    <row r="110" spans="1:7" ht="17.399999999999999" customHeight="1" x14ac:dyDescent="0.3">
      <c r="A110" s="274" t="s">
        <v>948</v>
      </c>
      <c r="B110" s="275"/>
      <c r="C110" s="275"/>
      <c r="D110" s="275"/>
      <c r="E110" s="275"/>
      <c r="F110" s="275"/>
      <c r="G110" s="276"/>
    </row>
    <row r="111" spans="1:7" ht="17.399999999999999" customHeight="1" x14ac:dyDescent="0.3">
      <c r="A111" s="274" t="s">
        <v>949</v>
      </c>
      <c r="B111" s="275"/>
      <c r="C111" s="275"/>
      <c r="D111" s="275"/>
      <c r="E111" s="275"/>
      <c r="F111" s="275"/>
      <c r="G111" s="276"/>
    </row>
    <row r="112" spans="1:7" ht="15" thickBot="1" x14ac:dyDescent="0.35">
      <c r="A112" s="277" t="s">
        <v>950</v>
      </c>
      <c r="B112" s="278"/>
      <c r="C112" s="278"/>
      <c r="D112" s="278"/>
      <c r="E112" s="278"/>
      <c r="F112" s="278"/>
      <c r="G112" s="279"/>
    </row>
  </sheetData>
  <mergeCells count="52">
    <mergeCell ref="A109:G109"/>
    <mergeCell ref="A110:G110"/>
    <mergeCell ref="A111:G111"/>
    <mergeCell ref="A112:G112"/>
    <mergeCell ref="B96:B97"/>
    <mergeCell ref="C96:C97"/>
    <mergeCell ref="D96:D97"/>
    <mergeCell ref="E96:E97"/>
    <mergeCell ref="F96:F97"/>
    <mergeCell ref="G96:G97"/>
    <mergeCell ref="G84:G85"/>
    <mergeCell ref="B74:B75"/>
    <mergeCell ref="C74:C75"/>
    <mergeCell ref="D74:D75"/>
    <mergeCell ref="E74:E75"/>
    <mergeCell ref="F74:F75"/>
    <mergeCell ref="G74:G75"/>
    <mergeCell ref="B84:B85"/>
    <mergeCell ref="C84:C85"/>
    <mergeCell ref="D84:D85"/>
    <mergeCell ref="E84:E85"/>
    <mergeCell ref="F84:F85"/>
    <mergeCell ref="G58:G59"/>
    <mergeCell ref="B49:B50"/>
    <mergeCell ref="C49:C50"/>
    <mergeCell ref="D49:D50"/>
    <mergeCell ref="E49:E50"/>
    <mergeCell ref="F49:F50"/>
    <mergeCell ref="G49:G50"/>
    <mergeCell ref="B58:B59"/>
    <mergeCell ref="C58:C59"/>
    <mergeCell ref="D58:D59"/>
    <mergeCell ref="E58:E59"/>
    <mergeCell ref="F58:F59"/>
    <mergeCell ref="G39:G40"/>
    <mergeCell ref="B24:B25"/>
    <mergeCell ref="C24:C25"/>
    <mergeCell ref="D24:D25"/>
    <mergeCell ref="E24:E25"/>
    <mergeCell ref="F24:F25"/>
    <mergeCell ref="G24:G25"/>
    <mergeCell ref="B39:B40"/>
    <mergeCell ref="C39:C40"/>
    <mergeCell ref="D39:D40"/>
    <mergeCell ref="E39:E40"/>
    <mergeCell ref="F39:F40"/>
    <mergeCell ref="G4:G5"/>
    <mergeCell ref="B4:B5"/>
    <mergeCell ref="C4:C5"/>
    <mergeCell ref="D4:D5"/>
    <mergeCell ref="E4:E5"/>
    <mergeCell ref="F4:F5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14FC3-7514-4685-84B7-2BB6A8EC22FB}">
  <dimension ref="A1:H114"/>
  <sheetViews>
    <sheetView topLeftCell="A21" workbookViewId="0">
      <selection activeCell="W20" sqref="W20"/>
    </sheetView>
  </sheetViews>
  <sheetFormatPr defaultRowHeight="14.4" x14ac:dyDescent="0.3"/>
  <sheetData>
    <row r="1" spans="1:8" ht="15" thickBot="1" x14ac:dyDescent="0.35">
      <c r="A1" t="s">
        <v>953</v>
      </c>
    </row>
    <row r="2" spans="1:8" ht="15" thickBot="1" x14ac:dyDescent="0.35">
      <c r="A2" s="55"/>
      <c r="B2" s="55">
        <v>2010</v>
      </c>
      <c r="C2" s="55">
        <v>2015</v>
      </c>
      <c r="D2" s="55">
        <v>2020</v>
      </c>
      <c r="E2" s="55">
        <v>2021</v>
      </c>
      <c r="F2" s="55">
        <v>2022</v>
      </c>
      <c r="G2" s="55">
        <v>2023</v>
      </c>
      <c r="H2" t="s">
        <v>1011</v>
      </c>
    </row>
    <row r="3" spans="1:8" ht="19.2" x14ac:dyDescent="0.3">
      <c r="A3" s="84" t="s">
        <v>4</v>
      </c>
      <c r="B3" s="53" t="s">
        <v>954</v>
      </c>
      <c r="C3" s="57">
        <v>30140</v>
      </c>
      <c r="D3" s="57">
        <v>35934</v>
      </c>
      <c r="E3" s="57">
        <v>39934</v>
      </c>
      <c r="F3" s="53" t="s">
        <v>955</v>
      </c>
      <c r="G3" s="57">
        <v>53579</v>
      </c>
      <c r="H3" s="54"/>
    </row>
    <row r="4" spans="1:8" ht="19.2" x14ac:dyDescent="0.3">
      <c r="A4" s="71" t="s">
        <v>5</v>
      </c>
      <c r="B4" s="230" t="s">
        <v>956</v>
      </c>
      <c r="C4" s="228">
        <v>38351</v>
      </c>
      <c r="D4" s="228">
        <v>47318</v>
      </c>
      <c r="E4" s="228">
        <v>53244</v>
      </c>
      <c r="F4" s="230" t="s">
        <v>957</v>
      </c>
      <c r="G4" s="230" t="s">
        <v>958</v>
      </c>
      <c r="H4" s="234">
        <v>1</v>
      </c>
    </row>
    <row r="5" spans="1:8" ht="19.2" x14ac:dyDescent="0.3">
      <c r="A5" s="71" t="s">
        <v>6</v>
      </c>
      <c r="B5" s="230"/>
      <c r="C5" s="228"/>
      <c r="D5" s="228"/>
      <c r="E5" s="228"/>
      <c r="F5" s="230"/>
      <c r="G5" s="230"/>
      <c r="H5" s="234"/>
    </row>
    <row r="6" spans="1:8" ht="19.2" x14ac:dyDescent="0.3">
      <c r="A6" s="72" t="s">
        <v>7</v>
      </c>
      <c r="B6" s="11" t="s">
        <v>959</v>
      </c>
      <c r="C6" s="13">
        <v>28006</v>
      </c>
      <c r="D6" s="13">
        <v>32799</v>
      </c>
      <c r="E6" s="13">
        <v>35511</v>
      </c>
      <c r="F6" s="13">
        <v>41855</v>
      </c>
      <c r="G6" s="13">
        <v>47257</v>
      </c>
      <c r="H6" s="12">
        <v>25</v>
      </c>
    </row>
    <row r="7" spans="1:8" ht="19.2" x14ac:dyDescent="0.3">
      <c r="A7" s="72" t="s">
        <v>8</v>
      </c>
      <c r="B7" s="11" t="s">
        <v>960</v>
      </c>
      <c r="C7" s="13">
        <v>23479</v>
      </c>
      <c r="D7" s="13">
        <v>28720</v>
      </c>
      <c r="E7" s="13">
        <v>31713</v>
      </c>
      <c r="F7" s="13">
        <v>37428</v>
      </c>
      <c r="G7" s="13">
        <v>40927</v>
      </c>
      <c r="H7" s="12">
        <v>49</v>
      </c>
    </row>
    <row r="8" spans="1:8" ht="19.2" x14ac:dyDescent="0.3">
      <c r="A8" s="72" t="s">
        <v>9</v>
      </c>
      <c r="B8" s="11" t="s">
        <v>961</v>
      </c>
      <c r="C8" s="13">
        <v>22593</v>
      </c>
      <c r="D8" s="13">
        <v>25649</v>
      </c>
      <c r="E8" s="13">
        <v>28148</v>
      </c>
      <c r="F8" s="13">
        <v>34667</v>
      </c>
      <c r="G8" s="13">
        <v>38649</v>
      </c>
      <c r="H8" s="12">
        <v>62</v>
      </c>
    </row>
    <row r="9" spans="1:8" ht="19.2" x14ac:dyDescent="0.3">
      <c r="A9" s="72" t="s">
        <v>12</v>
      </c>
      <c r="B9" s="11" t="s">
        <v>962</v>
      </c>
      <c r="C9" s="13">
        <v>29291</v>
      </c>
      <c r="D9" s="13">
        <v>31925</v>
      </c>
      <c r="E9" s="13">
        <v>34982</v>
      </c>
      <c r="F9" s="13">
        <v>41156</v>
      </c>
      <c r="G9" s="13">
        <v>45087</v>
      </c>
      <c r="H9" s="12">
        <v>31</v>
      </c>
    </row>
    <row r="10" spans="1:8" ht="19.2" x14ac:dyDescent="0.3">
      <c r="A10" s="72" t="s">
        <v>13</v>
      </c>
      <c r="B10" s="11" t="s">
        <v>963</v>
      </c>
      <c r="C10" s="13">
        <v>22783</v>
      </c>
      <c r="D10" s="13">
        <v>27558</v>
      </c>
      <c r="E10" s="13">
        <v>30235</v>
      </c>
      <c r="F10" s="13">
        <v>36509</v>
      </c>
      <c r="G10" s="13">
        <v>41108</v>
      </c>
      <c r="H10" s="12">
        <v>48</v>
      </c>
    </row>
    <row r="11" spans="1:8" ht="19.2" x14ac:dyDescent="0.3">
      <c r="A11" s="72" t="s">
        <v>14</v>
      </c>
      <c r="B11" s="11" t="s">
        <v>964</v>
      </c>
      <c r="C11" s="13">
        <v>26787</v>
      </c>
      <c r="D11" s="13">
        <v>30943</v>
      </c>
      <c r="E11" s="13">
        <v>33174</v>
      </c>
      <c r="F11" s="13">
        <v>39423</v>
      </c>
      <c r="G11" s="13">
        <v>44564</v>
      </c>
      <c r="H11" s="12">
        <v>32</v>
      </c>
    </row>
    <row r="12" spans="1:8" ht="19.2" x14ac:dyDescent="0.3">
      <c r="A12" s="72" t="s">
        <v>16</v>
      </c>
      <c r="B12" s="11" t="s">
        <v>965</v>
      </c>
      <c r="C12" s="13">
        <v>22550</v>
      </c>
      <c r="D12" s="13">
        <v>27408</v>
      </c>
      <c r="E12" s="13">
        <v>30567</v>
      </c>
      <c r="F12" s="13">
        <v>37285</v>
      </c>
      <c r="G12" s="13">
        <v>43668</v>
      </c>
      <c r="H12" s="12">
        <v>35</v>
      </c>
    </row>
    <row r="13" spans="1:8" ht="19.2" x14ac:dyDescent="0.3">
      <c r="A13" s="72" t="s">
        <v>18</v>
      </c>
      <c r="B13" s="11" t="s">
        <v>966</v>
      </c>
      <c r="C13" s="13">
        <v>25383</v>
      </c>
      <c r="D13" s="13">
        <v>29917</v>
      </c>
      <c r="E13" s="13">
        <v>32871</v>
      </c>
      <c r="F13" s="13">
        <v>39401</v>
      </c>
      <c r="G13" s="13">
        <v>43719</v>
      </c>
      <c r="H13" s="12">
        <v>34</v>
      </c>
    </row>
    <row r="14" spans="1:8" ht="19.2" x14ac:dyDescent="0.3">
      <c r="A14" s="72" t="s">
        <v>19</v>
      </c>
      <c r="B14" s="11" t="s">
        <v>967</v>
      </c>
      <c r="C14" s="13">
        <v>26864</v>
      </c>
      <c r="D14" s="13">
        <v>31932</v>
      </c>
      <c r="E14" s="13">
        <v>34509</v>
      </c>
      <c r="F14" s="13">
        <v>41177</v>
      </c>
      <c r="G14" s="13">
        <v>45458</v>
      </c>
      <c r="H14" s="12">
        <v>30</v>
      </c>
    </row>
    <row r="15" spans="1:8" ht="19.2" x14ac:dyDescent="0.3">
      <c r="A15" s="72" t="s">
        <v>20</v>
      </c>
      <c r="B15" s="11" t="s">
        <v>968</v>
      </c>
      <c r="C15" s="13">
        <v>36170</v>
      </c>
      <c r="D15" s="13">
        <v>43332</v>
      </c>
      <c r="E15" s="13">
        <v>49213</v>
      </c>
      <c r="F15" s="13">
        <v>55746</v>
      </c>
      <c r="G15" s="13">
        <v>64870</v>
      </c>
      <c r="H15" s="12">
        <v>12</v>
      </c>
    </row>
    <row r="16" spans="1:8" ht="19.2" x14ac:dyDescent="0.3">
      <c r="A16" s="72" t="s">
        <v>21</v>
      </c>
      <c r="B16" s="11" t="s">
        <v>969</v>
      </c>
      <c r="C16" s="13">
        <v>22152</v>
      </c>
      <c r="D16" s="13">
        <v>27121</v>
      </c>
      <c r="E16" s="13">
        <v>30008</v>
      </c>
      <c r="F16" s="13">
        <v>35923</v>
      </c>
      <c r="G16" s="13">
        <v>43730</v>
      </c>
      <c r="H16" s="12">
        <v>33</v>
      </c>
    </row>
    <row r="17" spans="1:8" ht="19.2" x14ac:dyDescent="0.3">
      <c r="A17" s="72" t="s">
        <v>22</v>
      </c>
      <c r="B17" s="11" t="s">
        <v>970</v>
      </c>
      <c r="C17" s="13">
        <v>23578</v>
      </c>
      <c r="D17" s="13">
        <v>27044</v>
      </c>
      <c r="E17" s="13">
        <v>30142</v>
      </c>
      <c r="F17" s="13">
        <v>36431</v>
      </c>
      <c r="G17" s="13">
        <v>39905</v>
      </c>
      <c r="H17" s="12">
        <v>53</v>
      </c>
    </row>
    <row r="18" spans="1:8" ht="19.2" x14ac:dyDescent="0.3">
      <c r="A18" s="72" t="s">
        <v>23</v>
      </c>
      <c r="B18" s="11" t="s">
        <v>971</v>
      </c>
      <c r="C18" s="13">
        <v>23893</v>
      </c>
      <c r="D18" s="13">
        <v>28870</v>
      </c>
      <c r="E18" s="13">
        <v>31484</v>
      </c>
      <c r="F18" s="13">
        <v>35653</v>
      </c>
      <c r="G18" s="13">
        <v>42734</v>
      </c>
      <c r="H18" s="12">
        <v>40</v>
      </c>
    </row>
    <row r="19" spans="1:8" ht="19.2" x14ac:dyDescent="0.3">
      <c r="A19" s="72" t="s">
        <v>24</v>
      </c>
      <c r="B19" s="11" t="s">
        <v>972</v>
      </c>
      <c r="C19" s="13">
        <v>24876</v>
      </c>
      <c r="D19" s="13">
        <v>27924</v>
      </c>
      <c r="E19" s="13">
        <v>30290</v>
      </c>
      <c r="F19" s="13">
        <v>34783</v>
      </c>
      <c r="G19" s="13">
        <v>39229</v>
      </c>
      <c r="H19" s="12">
        <v>58</v>
      </c>
    </row>
    <row r="20" spans="1:8" ht="19.2" x14ac:dyDescent="0.3">
      <c r="A20" s="72" t="s">
        <v>25</v>
      </c>
      <c r="B20" s="11" t="s">
        <v>973</v>
      </c>
      <c r="C20" s="13">
        <v>23703</v>
      </c>
      <c r="D20" s="13">
        <v>27771</v>
      </c>
      <c r="E20" s="13">
        <v>30773</v>
      </c>
      <c r="F20" s="13">
        <v>36265</v>
      </c>
      <c r="G20" s="13">
        <v>41274</v>
      </c>
      <c r="H20" s="12">
        <v>47</v>
      </c>
    </row>
    <row r="21" spans="1:8" ht="19.2" x14ac:dyDescent="0.3">
      <c r="A21" s="72" t="s">
        <v>26</v>
      </c>
      <c r="B21" s="11" t="s">
        <v>974</v>
      </c>
      <c r="C21" s="13">
        <v>25035</v>
      </c>
      <c r="D21" s="13">
        <v>28315</v>
      </c>
      <c r="E21" s="13">
        <v>30935</v>
      </c>
      <c r="F21" s="13">
        <v>37146</v>
      </c>
      <c r="G21" s="13">
        <v>42375</v>
      </c>
      <c r="H21" s="12">
        <v>45</v>
      </c>
    </row>
    <row r="22" spans="1:8" ht="19.2" x14ac:dyDescent="0.3">
      <c r="A22" s="72" t="s">
        <v>28</v>
      </c>
      <c r="B22" s="11" t="s">
        <v>975</v>
      </c>
      <c r="C22" s="13">
        <v>26799</v>
      </c>
      <c r="D22" s="13">
        <v>29978</v>
      </c>
      <c r="E22" s="13">
        <v>33697</v>
      </c>
      <c r="F22" s="13">
        <v>40667</v>
      </c>
      <c r="G22" s="13">
        <v>46684</v>
      </c>
      <c r="H22" s="12">
        <v>27</v>
      </c>
    </row>
    <row r="23" spans="1:8" x14ac:dyDescent="0.3">
      <c r="A23" s="72" t="s">
        <v>31</v>
      </c>
      <c r="B23" s="11" t="s">
        <v>976</v>
      </c>
      <c r="C23" s="13">
        <v>60465</v>
      </c>
      <c r="D23" s="13">
        <v>76320</v>
      </c>
      <c r="E23" s="13">
        <v>86453</v>
      </c>
      <c r="F23" s="13">
        <v>102143</v>
      </c>
      <c r="G23" s="13">
        <v>117103</v>
      </c>
      <c r="H23" s="12">
        <v>4</v>
      </c>
    </row>
    <row r="24" spans="1:8" ht="19.2" x14ac:dyDescent="0.3">
      <c r="A24" s="71" t="s">
        <v>33</v>
      </c>
      <c r="B24" s="230" t="s">
        <v>977</v>
      </c>
      <c r="C24" s="228">
        <v>31256</v>
      </c>
      <c r="D24" s="228">
        <v>39502</v>
      </c>
      <c r="E24" s="228">
        <v>44623</v>
      </c>
      <c r="F24" s="230" t="s">
        <v>978</v>
      </c>
      <c r="G24" s="230" t="s">
        <v>979</v>
      </c>
      <c r="H24" s="234">
        <v>2</v>
      </c>
    </row>
    <row r="25" spans="1:8" ht="19.2" x14ac:dyDescent="0.3">
      <c r="A25" s="71" t="s">
        <v>6</v>
      </c>
      <c r="B25" s="230"/>
      <c r="C25" s="228"/>
      <c r="D25" s="228"/>
      <c r="E25" s="228"/>
      <c r="F25" s="230"/>
      <c r="G25" s="230"/>
      <c r="H25" s="234"/>
    </row>
    <row r="26" spans="1:8" ht="19.2" x14ac:dyDescent="0.3">
      <c r="A26" s="72" t="s">
        <v>36</v>
      </c>
      <c r="B26" s="11" t="s">
        <v>980</v>
      </c>
      <c r="C26" s="13">
        <v>27118</v>
      </c>
      <c r="D26" s="13">
        <v>36504</v>
      </c>
      <c r="E26" s="13">
        <v>39929</v>
      </c>
      <c r="F26" s="13">
        <v>46019</v>
      </c>
      <c r="G26" s="13">
        <v>53068</v>
      </c>
      <c r="H26" s="12">
        <v>20</v>
      </c>
    </row>
    <row r="27" spans="1:8" ht="19.2" x14ac:dyDescent="0.3">
      <c r="A27" s="72" t="s">
        <v>38</v>
      </c>
      <c r="B27" s="11" t="s">
        <v>981</v>
      </c>
      <c r="C27" s="13">
        <v>32331</v>
      </c>
      <c r="D27" s="13">
        <v>39601</v>
      </c>
      <c r="E27" s="13">
        <v>42603</v>
      </c>
      <c r="F27" s="13">
        <v>50840</v>
      </c>
      <c r="G27" s="13">
        <v>56152</v>
      </c>
      <c r="H27" s="12">
        <v>14</v>
      </c>
    </row>
    <row r="28" spans="1:8" ht="19.2" x14ac:dyDescent="0.3">
      <c r="A28" s="72" t="s">
        <v>40</v>
      </c>
      <c r="B28" s="11" t="s">
        <v>982</v>
      </c>
      <c r="C28" s="13">
        <v>32434</v>
      </c>
      <c r="D28" s="13">
        <v>39788</v>
      </c>
      <c r="E28" s="13">
        <v>43381</v>
      </c>
      <c r="F28" s="13">
        <v>52050</v>
      </c>
      <c r="G28" s="13">
        <v>58967</v>
      </c>
      <c r="H28" s="12"/>
    </row>
    <row r="29" spans="1:8" ht="19.2" x14ac:dyDescent="0.3">
      <c r="A29" s="77" t="s">
        <v>42</v>
      </c>
      <c r="B29" s="11"/>
      <c r="C29" s="11"/>
      <c r="D29" s="11"/>
      <c r="E29" s="11"/>
      <c r="F29" s="11"/>
      <c r="G29" s="11"/>
      <c r="H29" s="12"/>
    </row>
    <row r="30" spans="1:8" x14ac:dyDescent="0.3">
      <c r="A30" t="s">
        <v>43</v>
      </c>
      <c r="B30" s="11" t="s">
        <v>983</v>
      </c>
      <c r="C30" s="13">
        <v>74218</v>
      </c>
      <c r="D30" s="13">
        <v>89570</v>
      </c>
      <c r="E30" s="13">
        <v>92620</v>
      </c>
      <c r="F30" s="13">
        <v>115336</v>
      </c>
      <c r="G30" s="13">
        <v>128204</v>
      </c>
      <c r="H30" s="12">
        <v>3</v>
      </c>
    </row>
    <row r="31" spans="1:8" ht="48" x14ac:dyDescent="0.3">
      <c r="A31" s="10" t="s">
        <v>45</v>
      </c>
      <c r="B31" s="267"/>
      <c r="C31" s="281">
        <v>30816</v>
      </c>
      <c r="D31" s="281">
        <v>37728</v>
      </c>
      <c r="E31" s="281">
        <v>41307</v>
      </c>
      <c r="F31" s="267" t="s">
        <v>984</v>
      </c>
      <c r="G31" s="267" t="s">
        <v>985</v>
      </c>
      <c r="H31" s="280">
        <v>15</v>
      </c>
    </row>
    <row r="32" spans="1:8" ht="28.8" x14ac:dyDescent="0.3">
      <c r="A32" s="78" t="s">
        <v>212</v>
      </c>
      <c r="B32" s="267"/>
      <c r="C32" s="281"/>
      <c r="D32" s="281"/>
      <c r="E32" s="281"/>
      <c r="F32" s="267"/>
      <c r="G32" s="267"/>
      <c r="H32" s="280"/>
    </row>
    <row r="33" spans="1:8" ht="19.2" x14ac:dyDescent="0.3">
      <c r="A33" s="72" t="s">
        <v>47</v>
      </c>
      <c r="B33" s="11" t="s">
        <v>986</v>
      </c>
      <c r="C33" s="13">
        <v>25002</v>
      </c>
      <c r="D33" s="13">
        <v>29706</v>
      </c>
      <c r="E33" s="13">
        <v>31887</v>
      </c>
      <c r="F33" s="13">
        <v>37178</v>
      </c>
      <c r="G33" s="13">
        <v>42708</v>
      </c>
      <c r="H33" s="12">
        <v>41</v>
      </c>
    </row>
    <row r="34" spans="1:8" ht="28.8" x14ac:dyDescent="0.3">
      <c r="A34" s="72" t="s">
        <v>49</v>
      </c>
      <c r="B34" s="11" t="s">
        <v>987</v>
      </c>
      <c r="C34" s="13">
        <v>25476</v>
      </c>
      <c r="D34" s="13">
        <v>29536</v>
      </c>
      <c r="E34" s="13">
        <v>31934</v>
      </c>
      <c r="F34" s="13">
        <v>38327</v>
      </c>
      <c r="G34" s="13">
        <v>43543</v>
      </c>
      <c r="H34" s="12">
        <v>36</v>
      </c>
    </row>
    <row r="35" spans="1:8" ht="19.2" x14ac:dyDescent="0.3">
      <c r="A35" s="72" t="s">
        <v>51</v>
      </c>
      <c r="B35" s="11" t="s">
        <v>988</v>
      </c>
      <c r="C35" s="13">
        <v>25008</v>
      </c>
      <c r="D35" s="13">
        <v>31884</v>
      </c>
      <c r="E35" s="13">
        <v>35199</v>
      </c>
      <c r="F35" s="13">
        <v>40790</v>
      </c>
      <c r="G35" s="13">
        <v>45989</v>
      </c>
      <c r="H35" s="12">
        <v>28</v>
      </c>
    </row>
    <row r="36" spans="1:8" ht="19.2" x14ac:dyDescent="0.3">
      <c r="A36" s="72" t="s">
        <v>52</v>
      </c>
      <c r="B36" s="11" t="s">
        <v>989</v>
      </c>
      <c r="C36" s="13">
        <v>38001</v>
      </c>
      <c r="D36" s="13">
        <v>50139</v>
      </c>
      <c r="E36" s="13">
        <v>55506</v>
      </c>
      <c r="F36" s="13">
        <v>65707</v>
      </c>
      <c r="G36" s="13">
        <v>75786</v>
      </c>
      <c r="H36" s="12">
        <v>8</v>
      </c>
    </row>
    <row r="37" spans="1:8" ht="19.2" x14ac:dyDescent="0.3">
      <c r="A37" s="72" t="s">
        <v>53</v>
      </c>
      <c r="B37" s="11" t="s">
        <v>990</v>
      </c>
      <c r="C37" s="13">
        <v>25712</v>
      </c>
      <c r="D37" s="13">
        <v>26606</v>
      </c>
      <c r="E37" s="13">
        <v>29517</v>
      </c>
      <c r="F37" s="13">
        <v>34201</v>
      </c>
      <c r="G37" s="13">
        <v>38903</v>
      </c>
      <c r="H37" s="12">
        <v>61</v>
      </c>
    </row>
    <row r="38" spans="1:8" ht="19.2" x14ac:dyDescent="0.3">
      <c r="A38" s="72" t="s">
        <v>55</v>
      </c>
      <c r="B38" s="11" t="s">
        <v>991</v>
      </c>
      <c r="C38" s="13">
        <v>21762</v>
      </c>
      <c r="D38" s="13">
        <v>27069</v>
      </c>
      <c r="E38" s="13">
        <v>30127</v>
      </c>
      <c r="F38" s="13">
        <v>35031</v>
      </c>
      <c r="G38" s="13">
        <v>39898</v>
      </c>
      <c r="H38" s="12">
        <v>54</v>
      </c>
    </row>
    <row r="39" spans="1:8" ht="19.2" x14ac:dyDescent="0.3">
      <c r="A39" s="72" t="s">
        <v>57</v>
      </c>
      <c r="B39" s="11" t="s">
        <v>992</v>
      </c>
      <c r="C39" s="13">
        <v>36757</v>
      </c>
      <c r="D39" s="13">
        <v>47664</v>
      </c>
      <c r="E39" s="13">
        <v>55679</v>
      </c>
      <c r="F39" s="13">
        <v>65395</v>
      </c>
      <c r="G39" s="13">
        <v>72037</v>
      </c>
      <c r="H39" s="12">
        <v>10</v>
      </c>
    </row>
    <row r="40" spans="1:8" x14ac:dyDescent="0.3">
      <c r="A40" s="71" t="s">
        <v>60</v>
      </c>
      <c r="B40" s="230" t="s">
        <v>993</v>
      </c>
      <c r="C40" s="228">
        <v>25157</v>
      </c>
      <c r="D40" s="228">
        <v>30413</v>
      </c>
      <c r="E40" s="228">
        <v>34431</v>
      </c>
      <c r="F40" s="230" t="s">
        <v>994</v>
      </c>
      <c r="G40" s="230" t="s">
        <v>995</v>
      </c>
      <c r="H40" s="234">
        <v>5</v>
      </c>
    </row>
    <row r="41" spans="1:8" ht="19.2" x14ac:dyDescent="0.3">
      <c r="A41" s="71" t="s">
        <v>6</v>
      </c>
      <c r="B41" s="230"/>
      <c r="C41" s="228"/>
      <c r="D41" s="228"/>
      <c r="E41" s="228"/>
      <c r="F41" s="230"/>
      <c r="G41" s="230"/>
      <c r="H41" s="234"/>
    </row>
    <row r="42" spans="1:8" ht="19.2" x14ac:dyDescent="0.3">
      <c r="A42" s="72" t="s">
        <v>61</v>
      </c>
      <c r="B42" s="11" t="s">
        <v>996</v>
      </c>
      <c r="C42" s="13">
        <v>22417</v>
      </c>
      <c r="D42" s="13">
        <v>28716</v>
      </c>
      <c r="E42" s="13">
        <v>32882</v>
      </c>
      <c r="F42" s="13">
        <v>36627</v>
      </c>
      <c r="G42" s="13">
        <v>42684</v>
      </c>
      <c r="H42" s="12">
        <v>43</v>
      </c>
    </row>
    <row r="43" spans="1:8" ht="19.2" x14ac:dyDescent="0.3">
      <c r="A43" s="72" t="s">
        <v>62</v>
      </c>
      <c r="B43" s="11" t="s">
        <v>997</v>
      </c>
      <c r="C43" s="13">
        <v>15325</v>
      </c>
      <c r="D43" s="13">
        <v>19892</v>
      </c>
      <c r="E43" s="13">
        <v>21415</v>
      </c>
      <c r="F43" s="13">
        <v>23771</v>
      </c>
      <c r="G43" s="13">
        <v>28635</v>
      </c>
      <c r="H43" s="12">
        <v>83</v>
      </c>
    </row>
    <row r="44" spans="1:8" ht="19.2" x14ac:dyDescent="0.3">
      <c r="A44" s="72" t="s">
        <v>63</v>
      </c>
      <c r="B44" s="11"/>
      <c r="C44" s="13">
        <v>15641</v>
      </c>
      <c r="D44" s="13">
        <v>22698</v>
      </c>
      <c r="E44" s="13">
        <v>25937</v>
      </c>
      <c r="F44" s="13">
        <v>29817</v>
      </c>
      <c r="G44" s="13">
        <v>32875</v>
      </c>
      <c r="H44" s="12">
        <v>79</v>
      </c>
    </row>
    <row r="45" spans="1:8" ht="19.2" x14ac:dyDescent="0.3">
      <c r="A45" s="72" t="s">
        <v>65</v>
      </c>
      <c r="B45" s="11" t="s">
        <v>998</v>
      </c>
      <c r="C45" s="13">
        <v>30970</v>
      </c>
      <c r="D45" s="13">
        <v>36547</v>
      </c>
      <c r="E45" s="13">
        <v>42228</v>
      </c>
      <c r="F45" s="13">
        <v>48684</v>
      </c>
      <c r="G45" s="13">
        <v>54627</v>
      </c>
      <c r="H45" s="12">
        <v>16</v>
      </c>
    </row>
    <row r="46" spans="1:8" ht="19.2" x14ac:dyDescent="0.3">
      <c r="A46" s="72" t="s">
        <v>66</v>
      </c>
      <c r="B46" s="11" t="s">
        <v>999</v>
      </c>
      <c r="C46" s="13">
        <v>24149</v>
      </c>
      <c r="D46" s="13">
        <v>25912</v>
      </c>
      <c r="E46" s="13">
        <v>27675</v>
      </c>
      <c r="F46" s="13">
        <v>33137</v>
      </c>
      <c r="G46" s="13">
        <v>36593</v>
      </c>
      <c r="H46" s="12">
        <v>66</v>
      </c>
    </row>
    <row r="47" spans="1:8" ht="19.2" x14ac:dyDescent="0.3">
      <c r="A47" s="72" t="s">
        <v>67</v>
      </c>
      <c r="B47" s="11" t="s">
        <v>1000</v>
      </c>
      <c r="C47" s="13">
        <v>21953</v>
      </c>
      <c r="D47" s="13">
        <v>24627</v>
      </c>
      <c r="E47" s="13">
        <v>27226</v>
      </c>
      <c r="F47" s="13">
        <v>32673</v>
      </c>
      <c r="G47" s="13">
        <v>35575</v>
      </c>
      <c r="H47" s="12">
        <v>71</v>
      </c>
    </row>
    <row r="48" spans="1:8" ht="19.2" x14ac:dyDescent="0.3">
      <c r="A48" s="72" t="s">
        <v>70</v>
      </c>
      <c r="B48" s="11" t="s">
        <v>1001</v>
      </c>
      <c r="C48" s="13">
        <v>25730</v>
      </c>
      <c r="D48" s="13">
        <v>31270</v>
      </c>
      <c r="E48" s="13">
        <v>34743</v>
      </c>
      <c r="F48" s="13">
        <v>41377</v>
      </c>
      <c r="G48" s="13">
        <v>46840</v>
      </c>
      <c r="H48" s="12">
        <v>26</v>
      </c>
    </row>
    <row r="49" spans="1:8" ht="28.8" x14ac:dyDescent="0.3">
      <c r="A49" s="72" t="s">
        <v>71</v>
      </c>
      <c r="B49" s="11"/>
      <c r="C49" s="13">
        <v>17324</v>
      </c>
      <c r="D49" s="13">
        <v>27267</v>
      </c>
      <c r="E49" s="13">
        <v>31603</v>
      </c>
      <c r="F49" s="13">
        <v>35679</v>
      </c>
      <c r="G49" s="13">
        <v>39968</v>
      </c>
      <c r="H49" s="12">
        <v>52</v>
      </c>
    </row>
    <row r="50" spans="1:8" ht="19.2" x14ac:dyDescent="0.3">
      <c r="A50" s="71" t="s">
        <v>73</v>
      </c>
      <c r="B50" s="230" t="s">
        <v>1002</v>
      </c>
      <c r="C50" s="228">
        <v>22368</v>
      </c>
      <c r="D50" s="228">
        <v>24143</v>
      </c>
      <c r="E50" s="228">
        <v>26323</v>
      </c>
      <c r="F50" s="230" t="s">
        <v>1003</v>
      </c>
      <c r="G50" s="230" t="s">
        <v>1004</v>
      </c>
      <c r="H50" s="234">
        <v>8</v>
      </c>
    </row>
    <row r="51" spans="1:8" ht="19.2" x14ac:dyDescent="0.3">
      <c r="A51" s="71" t="s">
        <v>6</v>
      </c>
      <c r="B51" s="230"/>
      <c r="C51" s="228"/>
      <c r="D51" s="228"/>
      <c r="E51" s="228"/>
      <c r="F51" s="230"/>
      <c r="G51" s="230"/>
      <c r="H51" s="234"/>
    </row>
    <row r="52" spans="1:8" ht="19.2" x14ac:dyDescent="0.3">
      <c r="A52" s="72" t="s">
        <v>74</v>
      </c>
      <c r="B52" s="11" t="s">
        <v>1005</v>
      </c>
      <c r="C52" s="13">
        <v>26625</v>
      </c>
      <c r="D52" s="13">
        <v>27395</v>
      </c>
      <c r="E52" s="13">
        <v>29952</v>
      </c>
      <c r="F52" s="13">
        <v>37606</v>
      </c>
      <c r="G52" s="13">
        <v>39686</v>
      </c>
      <c r="H52" s="12">
        <v>56</v>
      </c>
    </row>
    <row r="53" spans="1:8" ht="19.2" x14ac:dyDescent="0.3">
      <c r="A53" s="72" t="s">
        <v>250</v>
      </c>
      <c r="B53" s="11" t="s">
        <v>1006</v>
      </c>
      <c r="C53" s="13">
        <v>15358</v>
      </c>
      <c r="D53" s="13">
        <v>17247</v>
      </c>
      <c r="E53" s="13">
        <v>18573</v>
      </c>
      <c r="F53" s="13">
        <v>23047</v>
      </c>
      <c r="G53" s="13">
        <v>24414</v>
      </c>
      <c r="H53" s="12">
        <v>85</v>
      </c>
    </row>
    <row r="54" spans="1:8" ht="28.8" x14ac:dyDescent="0.3">
      <c r="A54" s="72" t="s">
        <v>76</v>
      </c>
      <c r="B54" s="11" t="s">
        <v>1007</v>
      </c>
      <c r="C54" s="13">
        <v>18670</v>
      </c>
      <c r="D54" s="13">
        <v>21276</v>
      </c>
      <c r="E54" s="13">
        <v>24991</v>
      </c>
      <c r="F54" s="13">
        <v>34759</v>
      </c>
      <c r="G54" s="13">
        <v>38948</v>
      </c>
      <c r="H54" s="12">
        <v>59</v>
      </c>
    </row>
    <row r="55" spans="1:8" ht="28.8" x14ac:dyDescent="0.3">
      <c r="A55" s="72" t="s">
        <v>77</v>
      </c>
      <c r="B55" s="11" t="s">
        <v>1008</v>
      </c>
      <c r="C55" s="13">
        <v>17754</v>
      </c>
      <c r="D55" s="13">
        <v>18903</v>
      </c>
      <c r="E55" s="13">
        <v>20256</v>
      </c>
      <c r="F55" s="13">
        <v>23035</v>
      </c>
      <c r="G55" s="13">
        <v>25619</v>
      </c>
      <c r="H55" s="12">
        <v>84</v>
      </c>
    </row>
    <row r="56" spans="1:8" ht="28.8" x14ac:dyDescent="0.3">
      <c r="A56" s="10" t="s">
        <v>1066</v>
      </c>
      <c r="B56" s="11" t="s">
        <v>1009</v>
      </c>
      <c r="C56" s="13">
        <v>21816</v>
      </c>
      <c r="D56" s="13">
        <v>24035</v>
      </c>
      <c r="E56" s="13">
        <v>25980</v>
      </c>
      <c r="F56" s="13">
        <v>30774</v>
      </c>
      <c r="G56" s="13">
        <v>35276</v>
      </c>
      <c r="H56" s="12">
        <v>72</v>
      </c>
    </row>
    <row r="57" spans="1:8" ht="19.2" x14ac:dyDescent="0.3">
      <c r="A57" s="10" t="s">
        <v>78</v>
      </c>
      <c r="B57" s="11" t="s">
        <v>530</v>
      </c>
      <c r="C57" s="13">
        <v>22703</v>
      </c>
      <c r="D57" s="13">
        <v>24645</v>
      </c>
      <c r="E57" s="13">
        <v>26425</v>
      </c>
      <c r="F57" s="13">
        <v>30751</v>
      </c>
      <c r="G57" s="13">
        <v>35920</v>
      </c>
      <c r="H57" s="12">
        <v>69</v>
      </c>
    </row>
    <row r="58" spans="1:8" ht="19.8" thickBot="1" x14ac:dyDescent="0.35">
      <c r="A58" s="79" t="s">
        <v>79</v>
      </c>
      <c r="B58" s="17" t="s">
        <v>1010</v>
      </c>
      <c r="C58" s="23">
        <v>20871</v>
      </c>
      <c r="D58" s="23">
        <v>23305</v>
      </c>
      <c r="E58" s="23">
        <v>25133</v>
      </c>
      <c r="F58" s="23">
        <v>30100</v>
      </c>
      <c r="G58" s="23">
        <v>32930</v>
      </c>
      <c r="H58" s="18">
        <v>78</v>
      </c>
    </row>
    <row r="59" spans="1:8" ht="19.2" x14ac:dyDescent="0.3">
      <c r="A59" s="85" t="s">
        <v>80</v>
      </c>
      <c r="B59" s="272" t="s">
        <v>1012</v>
      </c>
      <c r="C59" s="248">
        <v>26097</v>
      </c>
      <c r="D59" s="248">
        <v>28604</v>
      </c>
      <c r="E59" s="248">
        <v>31285</v>
      </c>
      <c r="F59" s="248">
        <v>37173</v>
      </c>
      <c r="G59" s="235" t="s">
        <v>1013</v>
      </c>
      <c r="H59" s="237">
        <v>7</v>
      </c>
    </row>
    <row r="60" spans="1:8" ht="19.2" x14ac:dyDescent="0.3">
      <c r="A60" s="71" t="s">
        <v>6</v>
      </c>
      <c r="B60" s="269"/>
      <c r="C60" s="228"/>
      <c r="D60" s="228"/>
      <c r="E60" s="228"/>
      <c r="F60" s="228"/>
      <c r="G60" s="230"/>
      <c r="H60" s="234"/>
    </row>
    <row r="61" spans="1:8" ht="28.8" x14ac:dyDescent="0.3">
      <c r="A61" s="72" t="s">
        <v>81</v>
      </c>
      <c r="B61" s="73" t="s">
        <v>1014</v>
      </c>
      <c r="C61" s="13">
        <v>27065</v>
      </c>
      <c r="D61" s="13">
        <v>29827</v>
      </c>
      <c r="E61" s="13">
        <v>31935</v>
      </c>
      <c r="F61" s="11" t="s">
        <v>1015</v>
      </c>
      <c r="G61" s="13">
        <v>40022</v>
      </c>
      <c r="H61" s="12">
        <v>51</v>
      </c>
    </row>
    <row r="62" spans="1:8" ht="19.2" x14ac:dyDescent="0.3">
      <c r="A62" s="72" t="s">
        <v>82</v>
      </c>
      <c r="B62" s="73" t="s">
        <v>1016</v>
      </c>
      <c r="C62" s="13">
        <v>18496</v>
      </c>
      <c r="D62" s="13">
        <v>21138</v>
      </c>
      <c r="E62" s="13">
        <v>23024</v>
      </c>
      <c r="F62" s="13">
        <v>27276</v>
      </c>
      <c r="G62" s="13">
        <v>31013</v>
      </c>
      <c r="H62" s="12">
        <v>80</v>
      </c>
    </row>
    <row r="63" spans="1:8" ht="19.2" x14ac:dyDescent="0.3">
      <c r="A63" s="72" t="s">
        <v>83</v>
      </c>
      <c r="B63" s="73" t="s">
        <v>1017</v>
      </c>
      <c r="C63" s="13">
        <v>17494</v>
      </c>
      <c r="D63" s="13">
        <v>20394</v>
      </c>
      <c r="E63" s="13">
        <v>22607</v>
      </c>
      <c r="F63" s="13">
        <v>27439</v>
      </c>
      <c r="G63" s="13">
        <v>30647</v>
      </c>
      <c r="H63" s="12">
        <v>81</v>
      </c>
    </row>
    <row r="64" spans="1:8" ht="19.2" x14ac:dyDescent="0.3">
      <c r="A64" s="72" t="s">
        <v>84</v>
      </c>
      <c r="B64" s="73" t="s">
        <v>1018</v>
      </c>
      <c r="C64" s="13">
        <v>32031</v>
      </c>
      <c r="D64" s="13">
        <v>34815</v>
      </c>
      <c r="E64" s="13">
        <v>38601</v>
      </c>
      <c r="F64" s="13">
        <v>45932</v>
      </c>
      <c r="G64" s="13">
        <v>52524</v>
      </c>
      <c r="H64" s="12">
        <v>21</v>
      </c>
    </row>
    <row r="65" spans="1:8" ht="19.2" x14ac:dyDescent="0.3">
      <c r="A65" s="72" t="s">
        <v>85</v>
      </c>
      <c r="B65" s="73" t="s">
        <v>1019</v>
      </c>
      <c r="C65" s="13">
        <v>24493</v>
      </c>
      <c r="D65" s="13">
        <v>25997</v>
      </c>
      <c r="E65" s="13">
        <v>28346</v>
      </c>
      <c r="F65" s="13">
        <v>33820</v>
      </c>
      <c r="G65" s="13">
        <v>38939</v>
      </c>
      <c r="H65" s="12">
        <v>60</v>
      </c>
    </row>
    <row r="66" spans="1:8" ht="19.2" x14ac:dyDescent="0.3">
      <c r="A66" s="72" t="s">
        <v>86</v>
      </c>
      <c r="B66" s="73" t="s">
        <v>1020</v>
      </c>
      <c r="C66" s="13">
        <v>18244</v>
      </c>
      <c r="D66" s="13">
        <v>21384</v>
      </c>
      <c r="E66" s="13">
        <v>23926</v>
      </c>
      <c r="F66" s="13">
        <v>28702</v>
      </c>
      <c r="G66" s="13">
        <v>34129</v>
      </c>
      <c r="H66" s="12">
        <v>76</v>
      </c>
    </row>
    <row r="67" spans="1:8" ht="19.2" x14ac:dyDescent="0.3">
      <c r="A67" s="72" t="s">
        <v>87</v>
      </c>
      <c r="B67" s="73" t="s">
        <v>1021</v>
      </c>
      <c r="C67" s="13">
        <v>31754</v>
      </c>
      <c r="D67" s="13">
        <v>30550</v>
      </c>
      <c r="E67" s="13">
        <v>33139</v>
      </c>
      <c r="F67" s="13">
        <v>39767</v>
      </c>
      <c r="G67" s="13">
        <v>45639</v>
      </c>
      <c r="H67" s="12">
        <v>29</v>
      </c>
    </row>
    <row r="68" spans="1:8" ht="19.2" x14ac:dyDescent="0.3">
      <c r="A68" s="72" t="s">
        <v>88</v>
      </c>
      <c r="B68" s="73" t="s">
        <v>1022</v>
      </c>
      <c r="C68" s="13">
        <v>22194</v>
      </c>
      <c r="D68" s="13">
        <v>25804</v>
      </c>
      <c r="E68" s="13">
        <v>28519</v>
      </c>
      <c r="F68" s="13">
        <v>35178</v>
      </c>
      <c r="G68" s="13">
        <v>38277</v>
      </c>
      <c r="H68" s="12">
        <v>64</v>
      </c>
    </row>
    <row r="69" spans="1:8" ht="19.2" x14ac:dyDescent="0.3">
      <c r="A69" s="10" t="s">
        <v>89</v>
      </c>
      <c r="B69" s="73" t="s">
        <v>1023</v>
      </c>
      <c r="C69" s="13">
        <v>30139</v>
      </c>
      <c r="D69" s="13">
        <v>34140</v>
      </c>
      <c r="E69" s="13">
        <v>37929</v>
      </c>
      <c r="F69" s="13">
        <v>45573</v>
      </c>
      <c r="G69" s="13">
        <v>50601</v>
      </c>
      <c r="H69" s="12">
        <v>22</v>
      </c>
    </row>
    <row r="70" spans="1:8" ht="19.2" x14ac:dyDescent="0.3">
      <c r="A70" s="72" t="s">
        <v>90</v>
      </c>
      <c r="B70" s="73" t="s">
        <v>1024</v>
      </c>
      <c r="C70" s="13">
        <v>23301</v>
      </c>
      <c r="D70" s="13">
        <v>25530</v>
      </c>
      <c r="E70" s="13">
        <v>27454</v>
      </c>
      <c r="F70" s="13">
        <v>32972</v>
      </c>
      <c r="G70" s="13">
        <v>36756</v>
      </c>
      <c r="H70" s="12">
        <v>65</v>
      </c>
    </row>
    <row r="71" spans="1:8" ht="19.2" x14ac:dyDescent="0.3">
      <c r="A71" s="72" t="s">
        <v>91</v>
      </c>
      <c r="B71" s="73" t="s">
        <v>1025</v>
      </c>
      <c r="C71" s="13">
        <v>21540</v>
      </c>
      <c r="D71" s="13">
        <v>24352</v>
      </c>
      <c r="E71" s="13">
        <v>26676</v>
      </c>
      <c r="F71" s="13">
        <v>32072</v>
      </c>
      <c r="G71" s="13">
        <v>36429</v>
      </c>
      <c r="H71" s="12">
        <v>68</v>
      </c>
    </row>
    <row r="72" spans="1:8" ht="19.2" x14ac:dyDescent="0.3">
      <c r="A72" s="72" t="s">
        <v>92</v>
      </c>
      <c r="B72" s="73" t="s">
        <v>1026</v>
      </c>
      <c r="C72" s="13">
        <v>27799</v>
      </c>
      <c r="D72" s="13">
        <v>29708</v>
      </c>
      <c r="E72" s="13">
        <v>32343</v>
      </c>
      <c r="F72" s="13">
        <v>38444</v>
      </c>
      <c r="G72" s="13">
        <v>42701</v>
      </c>
      <c r="H72" s="12">
        <v>42</v>
      </c>
    </row>
    <row r="73" spans="1:8" ht="19.2" x14ac:dyDescent="0.3">
      <c r="A73" s="72" t="s">
        <v>93</v>
      </c>
      <c r="B73" s="73" t="s">
        <v>1027</v>
      </c>
      <c r="C73" s="13">
        <v>19887</v>
      </c>
      <c r="D73" s="13">
        <v>23515</v>
      </c>
      <c r="E73" s="13">
        <v>25517</v>
      </c>
      <c r="F73" s="13">
        <v>30290</v>
      </c>
      <c r="G73" s="13">
        <v>33348</v>
      </c>
      <c r="H73" s="12">
        <v>77</v>
      </c>
    </row>
    <row r="74" spans="1:8" ht="19.2" x14ac:dyDescent="0.3">
      <c r="A74" s="72" t="s">
        <v>94</v>
      </c>
      <c r="B74" s="73" t="s">
        <v>1028</v>
      </c>
      <c r="C74" s="13">
        <v>22805</v>
      </c>
      <c r="D74" s="13">
        <v>24813</v>
      </c>
      <c r="E74" s="13">
        <v>27112</v>
      </c>
      <c r="F74" s="13">
        <v>31670</v>
      </c>
      <c r="G74" s="13">
        <v>35783</v>
      </c>
      <c r="H74" s="12">
        <v>70</v>
      </c>
    </row>
    <row r="75" spans="1:8" x14ac:dyDescent="0.3">
      <c r="A75" s="71" t="s">
        <v>95</v>
      </c>
      <c r="B75" s="269" t="s">
        <v>1029</v>
      </c>
      <c r="C75" s="228">
        <v>32741</v>
      </c>
      <c r="D75" s="228">
        <v>37379</v>
      </c>
      <c r="E75" s="228">
        <v>40251</v>
      </c>
      <c r="F75" s="228">
        <v>47466</v>
      </c>
      <c r="G75" s="228">
        <v>53489</v>
      </c>
      <c r="H75" s="234">
        <v>4</v>
      </c>
    </row>
    <row r="76" spans="1:8" ht="19.2" x14ac:dyDescent="0.3">
      <c r="A76" s="71" t="s">
        <v>6</v>
      </c>
      <c r="B76" s="269"/>
      <c r="C76" s="228"/>
      <c r="D76" s="228"/>
      <c r="E76" s="228"/>
      <c r="F76" s="228"/>
      <c r="G76" s="228"/>
      <c r="H76" s="234"/>
    </row>
    <row r="77" spans="1:8" ht="19.2" x14ac:dyDescent="0.3">
      <c r="A77" s="72" t="s">
        <v>96</v>
      </c>
      <c r="B77" s="73" t="s">
        <v>1030</v>
      </c>
      <c r="C77" s="13">
        <v>20635</v>
      </c>
      <c r="D77" s="13">
        <v>22654</v>
      </c>
      <c r="E77" s="13">
        <v>24710</v>
      </c>
      <c r="F77" s="13">
        <v>29838</v>
      </c>
      <c r="G77" s="13">
        <v>34812</v>
      </c>
      <c r="H77" s="12">
        <v>75</v>
      </c>
    </row>
    <row r="78" spans="1:8" ht="28.8" x14ac:dyDescent="0.3">
      <c r="A78" s="15" t="s">
        <v>97</v>
      </c>
      <c r="B78" s="73" t="s">
        <v>1031</v>
      </c>
      <c r="C78" s="13">
        <v>34116</v>
      </c>
      <c r="D78" s="13">
        <v>37452</v>
      </c>
      <c r="E78" s="13">
        <v>40281</v>
      </c>
      <c r="F78" s="13">
        <v>47109</v>
      </c>
      <c r="G78" s="13">
        <v>53413</v>
      </c>
      <c r="H78" s="12">
        <v>19</v>
      </c>
    </row>
    <row r="79" spans="1:8" ht="19.2" x14ac:dyDescent="0.3">
      <c r="A79" s="72" t="s">
        <v>98</v>
      </c>
      <c r="B79" s="73" t="s">
        <v>1032</v>
      </c>
      <c r="C79" s="13">
        <v>41810</v>
      </c>
      <c r="D79" s="13">
        <v>50206</v>
      </c>
      <c r="E79" s="13">
        <v>53105</v>
      </c>
      <c r="F79" s="13">
        <v>62161</v>
      </c>
      <c r="G79" s="13">
        <v>69341</v>
      </c>
      <c r="H79" s="12"/>
    </row>
    <row r="80" spans="1:8" ht="19.2" x14ac:dyDescent="0.3">
      <c r="A80" s="77" t="s">
        <v>42</v>
      </c>
      <c r="B80" s="73"/>
      <c r="C80" s="11"/>
      <c r="D80" s="11"/>
      <c r="E80" s="11"/>
      <c r="F80" s="11"/>
      <c r="G80" s="11"/>
      <c r="H80" s="12"/>
    </row>
    <row r="81" spans="1:8" ht="48" x14ac:dyDescent="0.3">
      <c r="A81" s="15" t="s">
        <v>1069</v>
      </c>
      <c r="B81" s="282" t="s">
        <v>1033</v>
      </c>
      <c r="C81" s="281">
        <v>46088</v>
      </c>
      <c r="D81" s="281">
        <v>54264</v>
      </c>
      <c r="E81" s="281">
        <v>56644</v>
      </c>
      <c r="F81" s="281">
        <v>66517</v>
      </c>
      <c r="G81" s="267">
        <v>72634</v>
      </c>
      <c r="H81" s="280">
        <v>9</v>
      </c>
    </row>
    <row r="82" spans="1:8" ht="28.8" x14ac:dyDescent="0.3">
      <c r="A82" s="78" t="s">
        <v>383</v>
      </c>
      <c r="B82" s="282"/>
      <c r="C82" s="281"/>
      <c r="D82" s="281"/>
      <c r="E82" s="281"/>
      <c r="F82" s="281"/>
      <c r="G82" s="267"/>
      <c r="H82" s="280"/>
    </row>
    <row r="83" spans="1:8" x14ac:dyDescent="0.3">
      <c r="A83" t="s">
        <v>101</v>
      </c>
      <c r="B83" s="73" t="s">
        <v>1035</v>
      </c>
      <c r="C83" s="13">
        <v>69942</v>
      </c>
      <c r="D83" s="13">
        <v>96553</v>
      </c>
      <c r="E83" s="13">
        <v>104323</v>
      </c>
      <c r="F83" s="13">
        <v>120010</v>
      </c>
      <c r="G83" s="13">
        <v>139651</v>
      </c>
      <c r="H83" s="12">
        <v>2</v>
      </c>
    </row>
    <row r="84" spans="1:8" ht="48" x14ac:dyDescent="0.3">
      <c r="A84" s="78" t="s">
        <v>922</v>
      </c>
      <c r="B84" s="73"/>
      <c r="C84" s="13">
        <v>27068</v>
      </c>
      <c r="D84" s="13">
        <v>30971</v>
      </c>
      <c r="E84" s="13">
        <v>32956</v>
      </c>
      <c r="F84" s="13">
        <v>39047</v>
      </c>
      <c r="G84" s="13">
        <v>43350</v>
      </c>
      <c r="H84" s="12">
        <v>38</v>
      </c>
    </row>
    <row r="85" spans="1:8" ht="19.2" x14ac:dyDescent="0.3">
      <c r="A85" s="72" t="s">
        <v>103</v>
      </c>
      <c r="B85" s="73" t="s">
        <v>1036</v>
      </c>
      <c r="C85" s="13">
        <v>24646</v>
      </c>
      <c r="D85" s="13">
        <v>26628</v>
      </c>
      <c r="E85" s="13">
        <v>29474</v>
      </c>
      <c r="F85" s="13">
        <v>35347</v>
      </c>
      <c r="G85" s="13">
        <v>39703</v>
      </c>
      <c r="H85" s="12">
        <v>55</v>
      </c>
    </row>
    <row r="86" spans="1:8" x14ac:dyDescent="0.3">
      <c r="A86" s="71" t="s">
        <v>104</v>
      </c>
      <c r="B86" s="269" t="s">
        <v>1037</v>
      </c>
      <c r="C86" s="228">
        <v>23687</v>
      </c>
      <c r="D86" s="228">
        <v>28187</v>
      </c>
      <c r="E86" s="228">
        <v>31007</v>
      </c>
      <c r="F86" s="228">
        <v>37881</v>
      </c>
      <c r="G86" s="228">
        <v>42991</v>
      </c>
      <c r="H86" s="234">
        <v>6</v>
      </c>
    </row>
    <row r="87" spans="1:8" ht="20.399999999999999" x14ac:dyDescent="0.3">
      <c r="A87" s="71" t="s">
        <v>951</v>
      </c>
      <c r="B87" s="269"/>
      <c r="C87" s="228"/>
      <c r="D87" s="228"/>
      <c r="E87" s="228"/>
      <c r="F87" s="228"/>
      <c r="G87" s="228"/>
      <c r="H87" s="234"/>
    </row>
    <row r="88" spans="1:8" ht="19.2" x14ac:dyDescent="0.3">
      <c r="A88" s="72" t="s">
        <v>105</v>
      </c>
      <c r="B88" s="73" t="s">
        <v>1038</v>
      </c>
      <c r="C88" s="13">
        <v>18257</v>
      </c>
      <c r="D88" s="13">
        <v>22642</v>
      </c>
      <c r="E88" s="13">
        <v>24958</v>
      </c>
      <c r="F88" s="13">
        <v>29564</v>
      </c>
      <c r="G88" s="13">
        <v>34817</v>
      </c>
      <c r="H88" s="12">
        <v>74</v>
      </c>
    </row>
    <row r="89" spans="1:8" ht="19.2" x14ac:dyDescent="0.3">
      <c r="A89" s="72" t="s">
        <v>106</v>
      </c>
      <c r="B89" s="73" t="s">
        <v>1039</v>
      </c>
      <c r="C89" s="13">
        <v>15500</v>
      </c>
      <c r="D89" s="13">
        <v>18803</v>
      </c>
      <c r="E89" s="13">
        <v>20435</v>
      </c>
      <c r="F89" s="13">
        <v>24460</v>
      </c>
      <c r="G89" s="13">
        <v>28934</v>
      </c>
      <c r="H89" s="12">
        <v>82</v>
      </c>
    </row>
    <row r="90" spans="1:8" ht="19.2" x14ac:dyDescent="0.3">
      <c r="A90" s="72" t="s">
        <v>107</v>
      </c>
      <c r="B90" s="73" t="s">
        <v>1040</v>
      </c>
      <c r="C90" s="13">
        <v>19053</v>
      </c>
      <c r="D90" s="13">
        <v>23659</v>
      </c>
      <c r="E90" s="13">
        <v>25849</v>
      </c>
      <c r="F90" s="13">
        <v>31056</v>
      </c>
      <c r="G90" s="13">
        <v>34999</v>
      </c>
      <c r="H90" s="12">
        <v>73</v>
      </c>
    </row>
    <row r="91" spans="1:8" ht="19.2" x14ac:dyDescent="0.3">
      <c r="A91" s="72" t="s">
        <v>108</v>
      </c>
      <c r="B91" s="73" t="s">
        <v>1041</v>
      </c>
      <c r="C91" s="13">
        <v>21277</v>
      </c>
      <c r="D91" s="13">
        <v>24981</v>
      </c>
      <c r="E91" s="13">
        <v>27305</v>
      </c>
      <c r="F91" s="13">
        <v>32901</v>
      </c>
      <c r="G91" s="13">
        <v>36431</v>
      </c>
      <c r="H91" s="12">
        <v>67</v>
      </c>
    </row>
    <row r="92" spans="1:8" ht="19.2" x14ac:dyDescent="0.3">
      <c r="A92" s="72" t="s">
        <v>109</v>
      </c>
      <c r="B92" s="73" t="s">
        <v>1042</v>
      </c>
      <c r="C92" s="13">
        <v>27026</v>
      </c>
      <c r="D92" s="13">
        <v>32801</v>
      </c>
      <c r="E92" s="13">
        <v>36004</v>
      </c>
      <c r="F92" s="13">
        <v>43183</v>
      </c>
      <c r="G92" s="13">
        <v>50380</v>
      </c>
      <c r="H92" s="12">
        <v>23</v>
      </c>
    </row>
    <row r="93" spans="1:8" ht="19.2" x14ac:dyDescent="0.3">
      <c r="A93" s="72" t="s">
        <v>110</v>
      </c>
      <c r="B93" s="73" t="s">
        <v>1043</v>
      </c>
      <c r="C93" s="13">
        <v>21730</v>
      </c>
      <c r="D93" s="13">
        <v>27514</v>
      </c>
      <c r="E93" s="13">
        <v>30270</v>
      </c>
      <c r="F93" s="13">
        <v>37484</v>
      </c>
      <c r="G93" s="13">
        <v>42483</v>
      </c>
      <c r="H93" s="12">
        <v>44</v>
      </c>
    </row>
    <row r="94" spans="1:8" ht="19.2" x14ac:dyDescent="0.3">
      <c r="A94" s="72" t="s">
        <v>111</v>
      </c>
      <c r="B94" s="73" t="s">
        <v>1044</v>
      </c>
      <c r="C94" s="13">
        <v>21921</v>
      </c>
      <c r="D94" s="13">
        <v>25544</v>
      </c>
      <c r="E94" s="13">
        <v>28174</v>
      </c>
      <c r="F94" s="13">
        <v>33996</v>
      </c>
      <c r="G94" s="13">
        <v>39408</v>
      </c>
      <c r="H94" s="12">
        <v>57</v>
      </c>
    </row>
    <row r="95" spans="1:8" ht="19.2" x14ac:dyDescent="0.3">
      <c r="A95" s="72" t="s">
        <v>827</v>
      </c>
      <c r="B95" s="73" t="s">
        <v>1045</v>
      </c>
      <c r="C95" s="13">
        <v>25477</v>
      </c>
      <c r="D95" s="13">
        <v>31440</v>
      </c>
      <c r="E95" s="13">
        <v>35070</v>
      </c>
      <c r="F95" s="13">
        <v>44359</v>
      </c>
      <c r="G95" s="13">
        <v>49936</v>
      </c>
      <c r="H95" s="12">
        <v>24</v>
      </c>
    </row>
    <row r="96" spans="1:8" ht="19.2" x14ac:dyDescent="0.3">
      <c r="A96" s="72" t="s">
        <v>113</v>
      </c>
      <c r="B96" s="73" t="s">
        <v>1046</v>
      </c>
      <c r="C96" s="13">
        <v>25433</v>
      </c>
      <c r="D96" s="13">
        <v>27729</v>
      </c>
      <c r="E96" s="13">
        <v>30407</v>
      </c>
      <c r="F96" s="13">
        <v>36919</v>
      </c>
      <c r="G96" s="13">
        <v>40804</v>
      </c>
      <c r="H96" s="12">
        <v>50</v>
      </c>
    </row>
    <row r="97" spans="1:8" ht="19.2" x14ac:dyDescent="0.3">
      <c r="A97" s="72" t="s">
        <v>114</v>
      </c>
      <c r="B97" s="73" t="s">
        <v>1047</v>
      </c>
      <c r="C97" s="13">
        <v>26885</v>
      </c>
      <c r="D97" s="13">
        <v>29001</v>
      </c>
      <c r="E97" s="13">
        <v>31210</v>
      </c>
      <c r="F97" s="13">
        <v>37954</v>
      </c>
      <c r="G97" s="13">
        <v>41600</v>
      </c>
      <c r="H97" s="12">
        <v>46</v>
      </c>
    </row>
    <row r="98" spans="1:8" ht="19.2" x14ac:dyDescent="0.3">
      <c r="A98" s="71" t="s">
        <v>115</v>
      </c>
      <c r="B98" s="269" t="s">
        <v>1048</v>
      </c>
      <c r="C98" s="228">
        <v>32199</v>
      </c>
      <c r="D98" s="228">
        <v>39612</v>
      </c>
      <c r="E98" s="228">
        <v>43089</v>
      </c>
      <c r="F98" s="228">
        <v>52186</v>
      </c>
      <c r="G98" s="228">
        <v>57941</v>
      </c>
      <c r="H98" s="234">
        <v>3</v>
      </c>
    </row>
    <row r="99" spans="1:8" ht="20.399999999999999" x14ac:dyDescent="0.3">
      <c r="A99" s="71" t="s">
        <v>951</v>
      </c>
      <c r="B99" s="269"/>
      <c r="C99" s="228"/>
      <c r="D99" s="228"/>
      <c r="E99" s="228"/>
      <c r="F99" s="228"/>
      <c r="G99" s="228"/>
      <c r="H99" s="234"/>
    </row>
    <row r="100" spans="1:8" ht="19.2" x14ac:dyDescent="0.3">
      <c r="A100" s="72" t="s">
        <v>116</v>
      </c>
      <c r="B100" s="73" t="s">
        <v>1049</v>
      </c>
      <c r="C100" s="13">
        <v>23902</v>
      </c>
      <c r="D100" s="13">
        <v>26333</v>
      </c>
      <c r="E100" s="13">
        <v>28446</v>
      </c>
      <c r="F100" s="13">
        <v>35163</v>
      </c>
      <c r="G100" s="13">
        <v>38412</v>
      </c>
      <c r="H100" s="12">
        <v>63</v>
      </c>
    </row>
    <row r="101" spans="1:8" ht="28.8" x14ac:dyDescent="0.3">
      <c r="A101" s="72" t="s">
        <v>117</v>
      </c>
      <c r="B101" s="73" t="s">
        <v>1050</v>
      </c>
      <c r="C101" s="13">
        <v>36918</v>
      </c>
      <c r="D101" s="13">
        <v>46108</v>
      </c>
      <c r="E101" s="13">
        <v>50090</v>
      </c>
      <c r="F101" s="13">
        <v>59040</v>
      </c>
      <c r="G101" s="13">
        <v>69031</v>
      </c>
      <c r="H101" s="12">
        <v>11</v>
      </c>
    </row>
    <row r="102" spans="1:8" ht="19.2" x14ac:dyDescent="0.3">
      <c r="A102" s="72" t="s">
        <v>118</v>
      </c>
      <c r="B102" s="73" t="s">
        <v>1051</v>
      </c>
      <c r="C102" s="13">
        <v>22369</v>
      </c>
      <c r="D102" s="13">
        <v>28021</v>
      </c>
      <c r="E102" s="13">
        <v>31043</v>
      </c>
      <c r="F102" s="13">
        <v>38601</v>
      </c>
      <c r="G102" s="13">
        <v>42758</v>
      </c>
      <c r="H102" s="12">
        <v>39</v>
      </c>
    </row>
    <row r="103" spans="1:8" ht="19.2" x14ac:dyDescent="0.3">
      <c r="A103" s="72" t="s">
        <v>119</v>
      </c>
      <c r="B103" s="73" t="s">
        <v>1052</v>
      </c>
      <c r="C103" s="13">
        <v>43985</v>
      </c>
      <c r="D103" s="13">
        <v>58674</v>
      </c>
      <c r="E103" s="13">
        <v>64791</v>
      </c>
      <c r="F103" s="13">
        <v>77505</v>
      </c>
      <c r="G103" s="13">
        <v>87054</v>
      </c>
      <c r="H103" s="12">
        <v>7</v>
      </c>
    </row>
    <row r="104" spans="1:8" ht="19.2" x14ac:dyDescent="0.3">
      <c r="A104" s="72" t="s">
        <v>120</v>
      </c>
      <c r="B104" s="73" t="s">
        <v>1053</v>
      </c>
      <c r="C104" s="13">
        <v>31224</v>
      </c>
      <c r="D104" s="13">
        <v>37728</v>
      </c>
      <c r="E104" s="13">
        <v>41293</v>
      </c>
      <c r="F104" s="13">
        <v>49942</v>
      </c>
      <c r="G104" s="13">
        <v>54494</v>
      </c>
      <c r="H104" s="12">
        <v>17</v>
      </c>
    </row>
    <row r="105" spans="1:8" ht="17.399999999999999" customHeight="1" x14ac:dyDescent="0.3">
      <c r="A105" s="10" t="s">
        <v>121</v>
      </c>
      <c r="B105" s="73" t="s">
        <v>1054</v>
      </c>
      <c r="C105" s="13">
        <v>35550</v>
      </c>
      <c r="D105" s="13">
        <v>41931</v>
      </c>
      <c r="E105" s="13">
        <v>44310</v>
      </c>
      <c r="F105" s="13">
        <v>52656</v>
      </c>
      <c r="G105" s="13">
        <v>58092</v>
      </c>
      <c r="H105" s="12">
        <v>13</v>
      </c>
    </row>
    <row r="106" spans="1:8" ht="19.2" x14ac:dyDescent="0.3">
      <c r="A106" s="72" t="s">
        <v>122</v>
      </c>
      <c r="B106" s="73" t="s">
        <v>1055</v>
      </c>
      <c r="C106" s="13">
        <v>28371</v>
      </c>
      <c r="D106" s="13">
        <v>35862</v>
      </c>
      <c r="E106" s="13">
        <v>40067</v>
      </c>
      <c r="F106" s="13">
        <v>49798</v>
      </c>
      <c r="G106" s="13">
        <v>54055</v>
      </c>
      <c r="H106" s="12">
        <v>18</v>
      </c>
    </row>
    <row r="107" spans="1:8" ht="17.399999999999999" customHeight="1" x14ac:dyDescent="0.3">
      <c r="A107" s="72" t="s">
        <v>123</v>
      </c>
      <c r="B107" s="73" t="s">
        <v>1056</v>
      </c>
      <c r="C107" s="13">
        <v>51011</v>
      </c>
      <c r="D107" s="13">
        <v>71805</v>
      </c>
      <c r="E107" s="13">
        <v>82031</v>
      </c>
      <c r="F107" s="13">
        <v>101999</v>
      </c>
      <c r="G107" s="13">
        <v>111157</v>
      </c>
      <c r="H107" s="12">
        <v>5</v>
      </c>
    </row>
    <row r="108" spans="1:8" ht="19.2" x14ac:dyDescent="0.3">
      <c r="A108" s="72" t="s">
        <v>124</v>
      </c>
      <c r="B108" s="73" t="s">
        <v>1057</v>
      </c>
      <c r="C108" s="13">
        <v>48753</v>
      </c>
      <c r="D108" s="13">
        <v>62792</v>
      </c>
      <c r="E108" s="13">
        <v>66211</v>
      </c>
      <c r="F108" s="13">
        <v>79322</v>
      </c>
      <c r="G108" s="13">
        <v>87902</v>
      </c>
      <c r="H108" s="12">
        <v>6</v>
      </c>
    </row>
    <row r="109" spans="1:8" ht="28.8" x14ac:dyDescent="0.3">
      <c r="A109" s="72" t="s">
        <v>125</v>
      </c>
      <c r="B109" s="73" t="s">
        <v>1058</v>
      </c>
      <c r="C109" s="13">
        <v>24061</v>
      </c>
      <c r="D109" s="13">
        <v>28815</v>
      </c>
      <c r="E109" s="13">
        <v>31118</v>
      </c>
      <c r="F109" s="13">
        <v>37753</v>
      </c>
      <c r="G109" s="13">
        <v>43479</v>
      </c>
      <c r="H109" s="12">
        <v>37</v>
      </c>
    </row>
    <row r="110" spans="1:8" ht="28.8" x14ac:dyDescent="0.3">
      <c r="A110" s="72" t="s">
        <v>126</v>
      </c>
      <c r="B110" s="73" t="s">
        <v>1059</v>
      </c>
      <c r="C110" s="13">
        <v>64459</v>
      </c>
      <c r="D110" s="13">
        <v>92980</v>
      </c>
      <c r="E110" s="13">
        <v>104178</v>
      </c>
      <c r="F110" s="13">
        <v>138161</v>
      </c>
      <c r="G110" s="13">
        <v>156988</v>
      </c>
      <c r="H110" s="12">
        <v>1</v>
      </c>
    </row>
    <row r="111" spans="1:8" x14ac:dyDescent="0.3">
      <c r="A111" s="255" t="s">
        <v>127</v>
      </c>
      <c r="B111" s="256"/>
      <c r="C111" s="256"/>
      <c r="D111" s="256"/>
      <c r="E111" s="256"/>
      <c r="F111" s="256"/>
      <c r="G111" s="256"/>
      <c r="H111" s="257"/>
    </row>
    <row r="112" spans="1:8" x14ac:dyDescent="0.3">
      <c r="A112" s="274" t="s">
        <v>1060</v>
      </c>
      <c r="B112" s="275"/>
      <c r="C112" s="275"/>
      <c r="D112" s="275"/>
      <c r="E112" s="275"/>
      <c r="F112" s="275"/>
      <c r="G112" s="275"/>
      <c r="H112" s="276"/>
    </row>
    <row r="113" spans="1:8" ht="17.399999999999999" customHeight="1" x14ac:dyDescent="0.3">
      <c r="A113" s="274" t="s">
        <v>1061</v>
      </c>
      <c r="B113" s="275"/>
      <c r="C113" s="275"/>
      <c r="D113" s="275"/>
      <c r="E113" s="275"/>
      <c r="F113" s="275"/>
      <c r="G113" s="275"/>
      <c r="H113" s="276"/>
    </row>
    <row r="114" spans="1:8" ht="15" thickBot="1" x14ac:dyDescent="0.35">
      <c r="A114" s="283" t="s">
        <v>952</v>
      </c>
      <c r="B114" s="284"/>
      <c r="C114" s="284"/>
      <c r="D114" s="284"/>
      <c r="E114" s="284"/>
      <c r="F114" s="284"/>
      <c r="G114" s="284"/>
      <c r="H114" s="285"/>
    </row>
  </sheetData>
  <mergeCells count="74">
    <mergeCell ref="A111:H111"/>
    <mergeCell ref="A112:H112"/>
    <mergeCell ref="A113:H113"/>
    <mergeCell ref="A114:H114"/>
    <mergeCell ref="H86:H87"/>
    <mergeCell ref="B98:B99"/>
    <mergeCell ref="C98:C99"/>
    <mergeCell ref="D98:D99"/>
    <mergeCell ref="E98:E99"/>
    <mergeCell ref="F98:F99"/>
    <mergeCell ref="G98:G99"/>
    <mergeCell ref="H98:H99"/>
    <mergeCell ref="B86:B87"/>
    <mergeCell ref="C86:C87"/>
    <mergeCell ref="D86:D87"/>
    <mergeCell ref="E86:E87"/>
    <mergeCell ref="F86:F87"/>
    <mergeCell ref="G86:G87"/>
    <mergeCell ref="H75:H76"/>
    <mergeCell ref="B81:B82"/>
    <mergeCell ref="C81:C82"/>
    <mergeCell ref="D81:D82"/>
    <mergeCell ref="E81:E82"/>
    <mergeCell ref="F81:F82"/>
    <mergeCell ref="G81:G82"/>
    <mergeCell ref="H81:H82"/>
    <mergeCell ref="B75:B76"/>
    <mergeCell ref="C75:C76"/>
    <mergeCell ref="D75:D76"/>
    <mergeCell ref="E75:E76"/>
    <mergeCell ref="F75:F76"/>
    <mergeCell ref="G75:G76"/>
    <mergeCell ref="H50:H51"/>
    <mergeCell ref="B59:B60"/>
    <mergeCell ref="C59:C60"/>
    <mergeCell ref="D59:D60"/>
    <mergeCell ref="E59:E60"/>
    <mergeCell ref="F59:F60"/>
    <mergeCell ref="G59:G60"/>
    <mergeCell ref="H59:H60"/>
    <mergeCell ref="B50:B51"/>
    <mergeCell ref="C50:C51"/>
    <mergeCell ref="D50:D51"/>
    <mergeCell ref="E50:E51"/>
    <mergeCell ref="F50:F51"/>
    <mergeCell ref="G50:G51"/>
    <mergeCell ref="H31:H32"/>
    <mergeCell ref="B40:B41"/>
    <mergeCell ref="C40:C41"/>
    <mergeCell ref="D40:D41"/>
    <mergeCell ref="E40:E41"/>
    <mergeCell ref="F40:F41"/>
    <mergeCell ref="G40:G41"/>
    <mergeCell ref="H40:H41"/>
    <mergeCell ref="B31:B32"/>
    <mergeCell ref="C31:C32"/>
    <mergeCell ref="D31:D32"/>
    <mergeCell ref="E31:E32"/>
    <mergeCell ref="F31:F32"/>
    <mergeCell ref="G31:G32"/>
    <mergeCell ref="H4:H5"/>
    <mergeCell ref="B24:B25"/>
    <mergeCell ref="C24:C25"/>
    <mergeCell ref="D24:D25"/>
    <mergeCell ref="E24:E25"/>
    <mergeCell ref="F24:F25"/>
    <mergeCell ref="G24:G25"/>
    <mergeCell ref="H24:H25"/>
    <mergeCell ref="B4:B5"/>
    <mergeCell ref="C4:C5"/>
    <mergeCell ref="D4:D5"/>
    <mergeCell ref="E4:E5"/>
    <mergeCell ref="F4:F5"/>
    <mergeCell ref="G4:G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00E00-E25E-4309-8D16-91A560F6FE8F}">
  <dimension ref="A1:P116"/>
  <sheetViews>
    <sheetView topLeftCell="A82" workbookViewId="0">
      <selection activeCell="W20" sqref="W20"/>
    </sheetView>
  </sheetViews>
  <sheetFormatPr defaultRowHeight="14.4" x14ac:dyDescent="0.3"/>
  <sheetData>
    <row r="1" spans="1:16" ht="19.2" customHeight="1" x14ac:dyDescent="0.3">
      <c r="A1" s="86"/>
      <c r="B1" s="3" t="s">
        <v>1073</v>
      </c>
      <c r="C1" s="3" t="s">
        <v>1077</v>
      </c>
      <c r="D1" s="3" t="s">
        <v>1077</v>
      </c>
      <c r="E1" s="3" t="s">
        <v>1085</v>
      </c>
      <c r="F1" s="3" t="s">
        <v>1090</v>
      </c>
      <c r="G1" s="3" t="s">
        <v>1094</v>
      </c>
      <c r="H1" s="86" t="s">
        <v>1097</v>
      </c>
      <c r="I1" s="55" t="s">
        <v>1098</v>
      </c>
      <c r="J1" s="111" t="s">
        <v>1102</v>
      </c>
      <c r="K1" s="112"/>
      <c r="L1" s="3" t="s">
        <v>1103</v>
      </c>
      <c r="M1" s="3" t="s">
        <v>1107</v>
      </c>
      <c r="N1" s="3" t="s">
        <v>1110</v>
      </c>
      <c r="O1" s="3" t="s">
        <v>1113</v>
      </c>
      <c r="P1" s="86"/>
    </row>
    <row r="2" spans="1:16" ht="19.2" x14ac:dyDescent="0.3">
      <c r="A2" s="87"/>
      <c r="B2" s="2" t="s">
        <v>1074</v>
      </c>
      <c r="C2" s="2" t="s">
        <v>1078</v>
      </c>
      <c r="D2" s="2" t="s">
        <v>1081</v>
      </c>
      <c r="E2" s="2" t="s">
        <v>1086</v>
      </c>
      <c r="F2" s="2" t="s">
        <v>1091</v>
      </c>
      <c r="G2" s="2" t="s">
        <v>1095</v>
      </c>
      <c r="H2" s="87"/>
      <c r="I2" s="56" t="s">
        <v>1099</v>
      </c>
      <c r="J2" s="10"/>
      <c r="K2" s="27"/>
      <c r="L2" s="2" t="s">
        <v>1104</v>
      </c>
      <c r="M2" s="2" t="s">
        <v>1108</v>
      </c>
      <c r="N2" s="2" t="s">
        <v>1111</v>
      </c>
      <c r="O2" s="2" t="s">
        <v>1114</v>
      </c>
      <c r="P2" s="87"/>
    </row>
    <row r="3" spans="1:16" ht="38.4" x14ac:dyDescent="0.3">
      <c r="A3" s="87"/>
      <c r="B3" s="2" t="s">
        <v>1075</v>
      </c>
      <c r="C3" s="2" t="s">
        <v>1079</v>
      </c>
      <c r="D3" s="2" t="s">
        <v>1082</v>
      </c>
      <c r="E3" s="2" t="s">
        <v>1087</v>
      </c>
      <c r="F3" s="2" t="s">
        <v>1092</v>
      </c>
      <c r="G3" s="2" t="s">
        <v>1096</v>
      </c>
      <c r="H3" s="87"/>
      <c r="I3" s="56" t="s">
        <v>1100</v>
      </c>
      <c r="J3" s="10"/>
      <c r="K3" s="27"/>
      <c r="L3" s="2" t="s">
        <v>1105</v>
      </c>
      <c r="M3" s="2" t="s">
        <v>1109</v>
      </c>
      <c r="N3" s="2" t="s">
        <v>1112</v>
      </c>
      <c r="O3" s="2" t="s">
        <v>1115</v>
      </c>
      <c r="P3" s="87"/>
    </row>
    <row r="4" spans="1:16" x14ac:dyDescent="0.3">
      <c r="A4" s="87"/>
      <c r="B4" s="2" t="s">
        <v>1076</v>
      </c>
      <c r="C4" s="2" t="s">
        <v>1080</v>
      </c>
      <c r="D4" s="2" t="s">
        <v>1083</v>
      </c>
      <c r="E4" s="2" t="s">
        <v>1088</v>
      </c>
      <c r="F4" s="2" t="s">
        <v>1093</v>
      </c>
      <c r="G4" s="105"/>
      <c r="H4" s="87"/>
      <c r="I4" s="56" t="s">
        <v>1101</v>
      </c>
      <c r="J4" s="10"/>
      <c r="K4" s="27"/>
      <c r="L4" s="2" t="s">
        <v>1106</v>
      </c>
      <c r="M4" s="105"/>
      <c r="N4" s="105"/>
      <c r="O4" s="2" t="s">
        <v>1116</v>
      </c>
      <c r="P4" s="87"/>
    </row>
    <row r="5" spans="1:16" ht="29.4" thickBot="1" x14ac:dyDescent="0.35">
      <c r="A5" s="88"/>
      <c r="B5" s="104"/>
      <c r="C5" s="104"/>
      <c r="D5" s="4" t="s">
        <v>1084</v>
      </c>
      <c r="E5" s="4" t="s">
        <v>1089</v>
      </c>
      <c r="F5" s="104"/>
      <c r="G5" s="104"/>
      <c r="H5" s="88"/>
      <c r="I5" s="109"/>
      <c r="J5" s="16"/>
      <c r="K5" s="30"/>
      <c r="L5" s="105"/>
      <c r="M5" s="105"/>
      <c r="N5" s="105"/>
      <c r="O5" s="2" t="s">
        <v>1117</v>
      </c>
      <c r="P5" s="87"/>
    </row>
    <row r="6" spans="1:16" x14ac:dyDescent="0.3">
      <c r="I6" s="109"/>
      <c r="J6" s="2" t="s">
        <v>1119</v>
      </c>
      <c r="K6" s="2" t="s">
        <v>1121</v>
      </c>
      <c r="L6" s="105"/>
      <c r="M6" s="105"/>
      <c r="N6" s="105"/>
      <c r="O6" s="2" t="s">
        <v>1118</v>
      </c>
      <c r="P6" s="87"/>
    </row>
    <row r="7" spans="1:16" ht="15" thickBot="1" x14ac:dyDescent="0.35">
      <c r="I7" s="110"/>
      <c r="J7" s="4" t="s">
        <v>1120</v>
      </c>
      <c r="K7" s="4" t="s">
        <v>1120</v>
      </c>
      <c r="L7" s="104"/>
      <c r="M7" s="104"/>
      <c r="N7" s="104"/>
      <c r="O7" s="104"/>
      <c r="P7" s="88"/>
    </row>
    <row r="8" spans="1:16" ht="19.2" x14ac:dyDescent="0.3">
      <c r="A8" s="5" t="s">
        <v>4</v>
      </c>
      <c r="B8" s="92">
        <v>99.8</v>
      </c>
      <c r="C8" s="92">
        <v>106.5</v>
      </c>
      <c r="D8" s="92">
        <v>108.6</v>
      </c>
      <c r="E8" s="92">
        <v>108.2</v>
      </c>
      <c r="F8" s="92">
        <v>100.3</v>
      </c>
      <c r="G8" s="92">
        <v>109.8</v>
      </c>
      <c r="H8" s="92">
        <v>104.1</v>
      </c>
      <c r="I8" s="6">
        <v>100.2</v>
      </c>
      <c r="J8" s="6">
        <v>99.7</v>
      </c>
      <c r="K8" s="6">
        <v>100.9</v>
      </c>
      <c r="L8" s="6">
        <v>107.5</v>
      </c>
      <c r="M8" s="6">
        <v>108</v>
      </c>
      <c r="N8" s="6">
        <v>97.2</v>
      </c>
      <c r="O8" s="6">
        <v>156</v>
      </c>
      <c r="P8" s="25" t="s">
        <v>4</v>
      </c>
    </row>
    <row r="9" spans="1:16" ht="19.2" x14ac:dyDescent="0.3">
      <c r="A9" s="8" t="s">
        <v>5</v>
      </c>
      <c r="B9" s="6">
        <v>99.9</v>
      </c>
      <c r="C9" s="6">
        <v>107.9</v>
      </c>
      <c r="D9" s="6">
        <v>107.8</v>
      </c>
      <c r="E9" s="6">
        <v>106.8</v>
      </c>
      <c r="F9" s="6">
        <v>98.8</v>
      </c>
      <c r="G9" s="6">
        <v>103.6</v>
      </c>
      <c r="H9" s="6">
        <v>116</v>
      </c>
      <c r="I9" s="92">
        <v>106.6</v>
      </c>
      <c r="J9" s="92">
        <v>109.2</v>
      </c>
      <c r="K9" s="92">
        <v>103.2</v>
      </c>
      <c r="L9" s="92">
        <v>100.3</v>
      </c>
      <c r="M9" s="92">
        <v>106.7</v>
      </c>
      <c r="N9" s="36"/>
      <c r="O9" s="92">
        <v>173.6</v>
      </c>
      <c r="P9" s="26" t="s">
        <v>5</v>
      </c>
    </row>
    <row r="10" spans="1:16" ht="19.2" x14ac:dyDescent="0.3">
      <c r="A10" s="8" t="s">
        <v>6</v>
      </c>
      <c r="B10" s="6"/>
      <c r="C10" s="6"/>
      <c r="D10" s="6"/>
      <c r="E10" s="6"/>
      <c r="F10" s="6"/>
      <c r="G10" s="6"/>
      <c r="H10" s="6"/>
      <c r="I10" s="92"/>
      <c r="J10" s="92"/>
      <c r="K10" s="92"/>
      <c r="L10" s="92"/>
      <c r="M10" s="92"/>
      <c r="N10" s="36"/>
      <c r="O10" s="92"/>
      <c r="P10" s="26" t="s">
        <v>6</v>
      </c>
    </row>
    <row r="11" spans="1:16" ht="19.2" x14ac:dyDescent="0.3">
      <c r="A11" s="10" t="s">
        <v>7</v>
      </c>
      <c r="B11" s="11">
        <v>99.1</v>
      </c>
      <c r="C11" s="11">
        <v>105.2</v>
      </c>
      <c r="D11" s="11">
        <v>101.5</v>
      </c>
      <c r="E11" s="11">
        <v>107.8</v>
      </c>
      <c r="F11" s="11">
        <v>99.2</v>
      </c>
      <c r="G11" s="11">
        <v>99</v>
      </c>
      <c r="H11" s="11">
        <v>104.7</v>
      </c>
      <c r="I11" s="11">
        <v>105</v>
      </c>
      <c r="J11" s="11">
        <v>108.7</v>
      </c>
      <c r="K11" s="11">
        <v>102.6</v>
      </c>
      <c r="L11" s="11">
        <v>114.1</v>
      </c>
      <c r="M11" s="11">
        <v>99.2</v>
      </c>
      <c r="N11" s="11">
        <v>96.7</v>
      </c>
      <c r="O11" s="11">
        <v>126.1</v>
      </c>
      <c r="P11" s="27" t="s">
        <v>7</v>
      </c>
    </row>
    <row r="12" spans="1:16" ht="19.2" x14ac:dyDescent="0.3">
      <c r="A12" s="10" t="s">
        <v>8</v>
      </c>
      <c r="B12" s="11">
        <v>99.1</v>
      </c>
      <c r="C12" s="11">
        <v>101.2</v>
      </c>
      <c r="D12" s="11">
        <v>98.2</v>
      </c>
      <c r="E12" s="11">
        <v>110.1</v>
      </c>
      <c r="F12" s="11">
        <v>99.9</v>
      </c>
      <c r="G12" s="11">
        <v>93.4</v>
      </c>
      <c r="H12" s="11">
        <v>115.8</v>
      </c>
      <c r="I12" s="11">
        <v>115.9</v>
      </c>
      <c r="J12" s="11">
        <v>118.9</v>
      </c>
      <c r="K12" s="11">
        <v>112.8</v>
      </c>
      <c r="L12" s="11">
        <v>117</v>
      </c>
      <c r="M12" s="11">
        <v>97.6</v>
      </c>
      <c r="N12" s="11">
        <v>101.9</v>
      </c>
      <c r="O12" s="11">
        <v>134.30000000000001</v>
      </c>
      <c r="P12" s="27" t="s">
        <v>8</v>
      </c>
    </row>
    <row r="13" spans="1:16" ht="19.2" x14ac:dyDescent="0.3">
      <c r="A13" s="10" t="s">
        <v>9</v>
      </c>
      <c r="B13" s="11">
        <v>98.8</v>
      </c>
      <c r="C13" s="11">
        <v>103.7</v>
      </c>
      <c r="D13" s="11">
        <v>104</v>
      </c>
      <c r="E13" s="11">
        <v>109.9</v>
      </c>
      <c r="F13" s="11">
        <v>93.4</v>
      </c>
      <c r="G13" s="11">
        <v>91.2</v>
      </c>
      <c r="H13" s="11">
        <v>109.3</v>
      </c>
      <c r="I13" s="11">
        <v>105.7</v>
      </c>
      <c r="J13" s="11">
        <v>109.6</v>
      </c>
      <c r="K13" s="11">
        <v>103.5</v>
      </c>
      <c r="L13" s="11">
        <v>96.8</v>
      </c>
      <c r="M13" s="11">
        <v>103.4</v>
      </c>
      <c r="N13" s="11">
        <v>90</v>
      </c>
      <c r="O13" s="11">
        <v>102</v>
      </c>
      <c r="P13" s="27" t="s">
        <v>9</v>
      </c>
    </row>
    <row r="14" spans="1:16" ht="19.2" x14ac:dyDescent="0.3">
      <c r="A14" s="10" t="s">
        <v>12</v>
      </c>
      <c r="B14" s="11">
        <v>99.5</v>
      </c>
      <c r="C14" s="11">
        <v>103.3</v>
      </c>
      <c r="D14" s="11">
        <v>104.4</v>
      </c>
      <c r="E14" s="11">
        <v>109.3</v>
      </c>
      <c r="F14" s="11">
        <v>97.6</v>
      </c>
      <c r="G14" s="11">
        <v>100.5</v>
      </c>
      <c r="H14" s="11">
        <v>109.9</v>
      </c>
      <c r="I14" s="11">
        <v>103.3</v>
      </c>
      <c r="J14" s="11">
        <v>105.3</v>
      </c>
      <c r="K14" s="11">
        <v>100</v>
      </c>
      <c r="L14" s="11">
        <v>104.8</v>
      </c>
      <c r="M14" s="11">
        <v>104.6</v>
      </c>
      <c r="N14" s="11">
        <v>94.6</v>
      </c>
      <c r="O14" s="11">
        <v>109.9</v>
      </c>
      <c r="P14" s="27" t="s">
        <v>12</v>
      </c>
    </row>
    <row r="15" spans="1:16" ht="19.2" x14ac:dyDescent="0.3">
      <c r="A15" s="10" t="s">
        <v>13</v>
      </c>
      <c r="B15" s="11">
        <v>99</v>
      </c>
      <c r="C15" s="11">
        <v>105.9</v>
      </c>
      <c r="D15" s="11">
        <v>102.4</v>
      </c>
      <c r="E15" s="11">
        <v>109.5</v>
      </c>
      <c r="F15" s="11">
        <v>100</v>
      </c>
      <c r="G15" s="11">
        <v>97.8</v>
      </c>
      <c r="H15" s="11">
        <v>110</v>
      </c>
      <c r="I15" s="11">
        <v>108.5</v>
      </c>
      <c r="J15" s="11">
        <v>114.9</v>
      </c>
      <c r="K15" s="11">
        <v>104.1</v>
      </c>
      <c r="L15" s="11">
        <v>130.5</v>
      </c>
      <c r="M15" s="11">
        <v>102</v>
      </c>
      <c r="N15" s="11">
        <v>99.5</v>
      </c>
      <c r="O15" s="11">
        <v>142.19999999999999</v>
      </c>
      <c r="P15" s="27" t="s">
        <v>13</v>
      </c>
    </row>
    <row r="16" spans="1:16" ht="19.2" x14ac:dyDescent="0.3">
      <c r="A16" s="10" t="s">
        <v>14</v>
      </c>
      <c r="B16" s="11">
        <v>99.8</v>
      </c>
      <c r="C16" s="11">
        <v>105.6</v>
      </c>
      <c r="D16" s="11">
        <v>104.5</v>
      </c>
      <c r="E16" s="11">
        <v>106.9</v>
      </c>
      <c r="F16" s="11">
        <v>88.5</v>
      </c>
      <c r="G16" s="11">
        <v>79.599999999999994</v>
      </c>
      <c r="H16" s="11">
        <v>111</v>
      </c>
      <c r="I16" s="11">
        <v>106.3</v>
      </c>
      <c r="J16" s="11">
        <v>106</v>
      </c>
      <c r="K16" s="11">
        <v>106.6</v>
      </c>
      <c r="L16" s="11">
        <v>122.1</v>
      </c>
      <c r="M16" s="11">
        <v>103.6</v>
      </c>
      <c r="N16" s="11">
        <v>89.4</v>
      </c>
      <c r="O16" s="11">
        <v>14.6</v>
      </c>
      <c r="P16" s="27" t="s">
        <v>14</v>
      </c>
    </row>
    <row r="17" spans="1:16" ht="19.2" x14ac:dyDescent="0.3">
      <c r="A17" s="10" t="s">
        <v>16</v>
      </c>
      <c r="B17" s="11">
        <v>99</v>
      </c>
      <c r="C17" s="11">
        <v>107.8</v>
      </c>
      <c r="D17" s="11">
        <v>102.9</v>
      </c>
      <c r="E17" s="11">
        <v>108</v>
      </c>
      <c r="F17" s="11">
        <v>98.3</v>
      </c>
      <c r="G17" s="11">
        <v>114.4</v>
      </c>
      <c r="H17" s="11">
        <v>108.7</v>
      </c>
      <c r="I17" s="11">
        <v>105.6</v>
      </c>
      <c r="J17" s="11">
        <v>111.1</v>
      </c>
      <c r="K17" s="11">
        <v>102.9</v>
      </c>
      <c r="L17" s="11">
        <v>106.8</v>
      </c>
      <c r="M17" s="11">
        <v>100.6</v>
      </c>
      <c r="N17" s="11">
        <v>97.1</v>
      </c>
      <c r="O17" s="11" t="s">
        <v>44</v>
      </c>
      <c r="P17" s="27" t="s">
        <v>16</v>
      </c>
    </row>
    <row r="18" spans="1:16" ht="19.2" x14ac:dyDescent="0.3">
      <c r="A18" s="10" t="s">
        <v>18</v>
      </c>
      <c r="B18" s="11">
        <v>99.4</v>
      </c>
      <c r="C18" s="11">
        <v>103.5</v>
      </c>
      <c r="D18" s="11">
        <v>102</v>
      </c>
      <c r="E18" s="11">
        <v>109.4</v>
      </c>
      <c r="F18" s="11">
        <v>94.6</v>
      </c>
      <c r="G18" s="11">
        <v>102.9</v>
      </c>
      <c r="H18" s="11">
        <v>111.3</v>
      </c>
      <c r="I18" s="11">
        <v>105</v>
      </c>
      <c r="J18" s="11">
        <v>105.2</v>
      </c>
      <c r="K18" s="11">
        <v>104.5</v>
      </c>
      <c r="L18" s="11">
        <v>111.9</v>
      </c>
      <c r="M18" s="11">
        <v>101.4</v>
      </c>
      <c r="N18" s="11">
        <v>92.8</v>
      </c>
      <c r="O18" s="11">
        <v>89.9</v>
      </c>
      <c r="P18" s="27" t="s">
        <v>18</v>
      </c>
    </row>
    <row r="19" spans="1:16" ht="19.2" x14ac:dyDescent="0.3">
      <c r="A19" s="10" t="s">
        <v>19</v>
      </c>
      <c r="B19" s="11">
        <v>99.1</v>
      </c>
      <c r="C19" s="11">
        <v>103.3</v>
      </c>
      <c r="D19" s="11">
        <v>101.1</v>
      </c>
      <c r="E19" s="11">
        <v>109.4</v>
      </c>
      <c r="F19" s="11">
        <v>92</v>
      </c>
      <c r="G19" s="11">
        <v>104.1</v>
      </c>
      <c r="H19" s="11">
        <v>108.9</v>
      </c>
      <c r="I19" s="11">
        <v>103.5</v>
      </c>
      <c r="J19" s="11">
        <v>105.6</v>
      </c>
      <c r="K19" s="11">
        <v>98.6</v>
      </c>
      <c r="L19" s="11">
        <v>102.1</v>
      </c>
      <c r="M19" s="11">
        <v>100.4</v>
      </c>
      <c r="N19" s="11">
        <v>93.3</v>
      </c>
      <c r="O19" s="11">
        <v>129.80000000000001</v>
      </c>
      <c r="P19" s="27" t="s">
        <v>19</v>
      </c>
    </row>
    <row r="20" spans="1:16" ht="19.2" x14ac:dyDescent="0.3">
      <c r="A20" s="10" t="s">
        <v>20</v>
      </c>
      <c r="B20" s="11">
        <v>100.7</v>
      </c>
      <c r="C20" s="11">
        <v>108.8</v>
      </c>
      <c r="D20" s="11">
        <v>107.5</v>
      </c>
      <c r="E20" s="11">
        <v>109.3</v>
      </c>
      <c r="F20" s="11">
        <v>95</v>
      </c>
      <c r="G20" s="11">
        <v>106.2</v>
      </c>
      <c r="H20" s="11">
        <v>116.2</v>
      </c>
      <c r="I20" s="11">
        <v>103.1</v>
      </c>
      <c r="J20" s="11">
        <v>107.3</v>
      </c>
      <c r="K20" s="11">
        <v>96.9</v>
      </c>
      <c r="L20" s="11">
        <v>88.6</v>
      </c>
      <c r="M20" s="11">
        <v>109.6</v>
      </c>
      <c r="N20" s="11">
        <v>96.5</v>
      </c>
      <c r="O20" s="11">
        <v>158.5</v>
      </c>
      <c r="P20" s="27" t="s">
        <v>20</v>
      </c>
    </row>
    <row r="21" spans="1:16" ht="19.2" x14ac:dyDescent="0.3">
      <c r="A21" s="10" t="s">
        <v>21</v>
      </c>
      <c r="B21" s="11">
        <v>98.9</v>
      </c>
      <c r="C21" s="11">
        <v>113.8</v>
      </c>
      <c r="D21" s="11">
        <v>103.3</v>
      </c>
      <c r="E21" s="11">
        <v>109.9</v>
      </c>
      <c r="F21" s="11">
        <v>97.1</v>
      </c>
      <c r="G21" s="11">
        <v>88.3</v>
      </c>
      <c r="H21" s="11">
        <v>103.6</v>
      </c>
      <c r="I21" s="11">
        <v>114.3</v>
      </c>
      <c r="J21" s="11">
        <v>117.1</v>
      </c>
      <c r="K21" s="11">
        <v>107.3</v>
      </c>
      <c r="L21" s="11">
        <v>100.1</v>
      </c>
      <c r="M21" s="11">
        <v>102.6</v>
      </c>
      <c r="N21" s="11">
        <v>96.2</v>
      </c>
      <c r="O21" s="11">
        <v>138.80000000000001</v>
      </c>
      <c r="P21" s="27" t="s">
        <v>21</v>
      </c>
    </row>
    <row r="22" spans="1:16" ht="19.2" x14ac:dyDescent="0.3">
      <c r="A22" s="10" t="s">
        <v>22</v>
      </c>
      <c r="B22" s="11">
        <v>99.4</v>
      </c>
      <c r="C22" s="11">
        <v>102.8</v>
      </c>
      <c r="D22" s="11">
        <v>105.4</v>
      </c>
      <c r="E22" s="11">
        <v>110.1</v>
      </c>
      <c r="F22" s="11">
        <v>101.7</v>
      </c>
      <c r="G22" s="11">
        <v>102.1</v>
      </c>
      <c r="H22" s="11">
        <v>108.6</v>
      </c>
      <c r="I22" s="11">
        <v>105.5</v>
      </c>
      <c r="J22" s="11">
        <v>104.1</v>
      </c>
      <c r="K22" s="11">
        <v>107.6</v>
      </c>
      <c r="L22" s="11">
        <v>97.8</v>
      </c>
      <c r="M22" s="11">
        <v>105.6</v>
      </c>
      <c r="N22" s="11">
        <v>101.1</v>
      </c>
      <c r="O22" s="11">
        <v>118.5</v>
      </c>
      <c r="P22" s="27" t="s">
        <v>22</v>
      </c>
    </row>
    <row r="23" spans="1:16" ht="19.2" x14ac:dyDescent="0.3">
      <c r="A23" s="10" t="s">
        <v>23</v>
      </c>
      <c r="B23" s="11">
        <v>99</v>
      </c>
      <c r="C23" s="11">
        <v>113.6</v>
      </c>
      <c r="D23" s="11">
        <v>106.1</v>
      </c>
      <c r="E23" s="11">
        <v>113.2</v>
      </c>
      <c r="F23" s="11">
        <v>100.1</v>
      </c>
      <c r="G23" s="11">
        <v>128.9</v>
      </c>
      <c r="H23" s="11">
        <v>111.1</v>
      </c>
      <c r="I23" s="11">
        <v>100.7</v>
      </c>
      <c r="J23" s="11">
        <v>100.3</v>
      </c>
      <c r="K23" s="11">
        <v>101</v>
      </c>
      <c r="L23" s="11">
        <v>100.4</v>
      </c>
      <c r="M23" s="11">
        <v>107.3</v>
      </c>
      <c r="N23" s="11">
        <v>96.8</v>
      </c>
      <c r="O23" s="11">
        <v>131.5</v>
      </c>
      <c r="P23" s="27" t="s">
        <v>23</v>
      </c>
    </row>
    <row r="24" spans="1:16" ht="19.2" x14ac:dyDescent="0.3">
      <c r="A24" s="10" t="s">
        <v>24</v>
      </c>
      <c r="B24" s="11">
        <v>99</v>
      </c>
      <c r="C24" s="11">
        <v>105</v>
      </c>
      <c r="D24" s="11">
        <v>100.9</v>
      </c>
      <c r="E24" s="11">
        <v>109.5</v>
      </c>
      <c r="F24" s="11">
        <v>98.1</v>
      </c>
      <c r="G24" s="11">
        <v>104.6</v>
      </c>
      <c r="H24" s="11">
        <v>112.3</v>
      </c>
      <c r="I24" s="11">
        <v>111.1</v>
      </c>
      <c r="J24" s="11">
        <v>120.5</v>
      </c>
      <c r="K24" s="11">
        <v>95.2</v>
      </c>
      <c r="L24" s="11">
        <v>119.3</v>
      </c>
      <c r="M24" s="11">
        <v>100.8</v>
      </c>
      <c r="N24" s="11">
        <v>96.3</v>
      </c>
      <c r="O24" s="11">
        <v>117.4</v>
      </c>
      <c r="P24" s="27" t="s">
        <v>24</v>
      </c>
    </row>
    <row r="25" spans="1:16" ht="19.2" x14ac:dyDescent="0.3">
      <c r="A25" s="10" t="s">
        <v>25</v>
      </c>
      <c r="B25" s="11">
        <v>99.1</v>
      </c>
      <c r="C25" s="11">
        <v>107.3</v>
      </c>
      <c r="D25" s="11">
        <v>106.7</v>
      </c>
      <c r="E25" s="11">
        <v>112</v>
      </c>
      <c r="F25" s="11">
        <v>96.9</v>
      </c>
      <c r="G25" s="11">
        <v>145.4</v>
      </c>
      <c r="H25" s="11">
        <v>115.4</v>
      </c>
      <c r="I25" s="11">
        <v>116.5</v>
      </c>
      <c r="J25" s="11">
        <v>118</v>
      </c>
      <c r="K25" s="11">
        <v>115.9</v>
      </c>
      <c r="L25" s="11">
        <v>107.5</v>
      </c>
      <c r="M25" s="11">
        <v>107.6</v>
      </c>
      <c r="N25" s="11">
        <v>97</v>
      </c>
      <c r="O25" s="11">
        <v>133.30000000000001</v>
      </c>
      <c r="P25" s="27" t="s">
        <v>25</v>
      </c>
    </row>
    <row r="26" spans="1:16" ht="19.2" x14ac:dyDescent="0.3">
      <c r="A26" s="10" t="s">
        <v>26</v>
      </c>
      <c r="B26" s="11">
        <v>99.3</v>
      </c>
      <c r="C26" s="11">
        <v>107</v>
      </c>
      <c r="D26" s="11">
        <v>111.5</v>
      </c>
      <c r="E26" s="11">
        <v>111.7</v>
      </c>
      <c r="F26" s="11">
        <v>104.1</v>
      </c>
      <c r="G26" s="11">
        <v>101.6</v>
      </c>
      <c r="H26" s="11">
        <v>117.1</v>
      </c>
      <c r="I26" s="11">
        <v>107.1</v>
      </c>
      <c r="J26" s="11">
        <v>107.9</v>
      </c>
      <c r="K26" s="11">
        <v>105.6</v>
      </c>
      <c r="L26" s="11">
        <v>120.9</v>
      </c>
      <c r="M26" s="11">
        <v>111</v>
      </c>
      <c r="N26" s="11">
        <v>104.2</v>
      </c>
      <c r="O26" s="11">
        <v>113</v>
      </c>
      <c r="P26" s="27" t="s">
        <v>26</v>
      </c>
    </row>
    <row r="27" spans="1:16" ht="19.2" x14ac:dyDescent="0.3">
      <c r="A27" s="10" t="s">
        <v>28</v>
      </c>
      <c r="B27" s="36">
        <v>99.4</v>
      </c>
      <c r="C27" s="36">
        <v>108.4</v>
      </c>
      <c r="D27" s="36">
        <v>103.8</v>
      </c>
      <c r="E27" s="36">
        <v>111.5</v>
      </c>
      <c r="F27" s="36">
        <v>97</v>
      </c>
      <c r="G27" s="36">
        <v>106.1</v>
      </c>
      <c r="H27" s="36">
        <v>106.9</v>
      </c>
      <c r="I27" s="11">
        <v>105.1</v>
      </c>
      <c r="J27" s="11">
        <v>105.6</v>
      </c>
      <c r="K27" s="11">
        <v>104.9</v>
      </c>
      <c r="L27" s="11">
        <v>119.8</v>
      </c>
      <c r="M27" s="11">
        <v>105.2</v>
      </c>
      <c r="N27" s="11">
        <v>98.5</v>
      </c>
      <c r="O27" s="11">
        <v>120.9</v>
      </c>
      <c r="P27" s="27" t="s">
        <v>28</v>
      </c>
    </row>
    <row r="28" spans="1:16" x14ac:dyDescent="0.3">
      <c r="A28" s="10" t="s">
        <v>31</v>
      </c>
      <c r="B28" s="36">
        <v>100.3</v>
      </c>
      <c r="C28" s="36">
        <v>109</v>
      </c>
      <c r="D28" s="36">
        <v>110.4</v>
      </c>
      <c r="E28" s="36">
        <v>104.4</v>
      </c>
      <c r="F28" s="36">
        <v>100.6</v>
      </c>
      <c r="G28" s="36">
        <v>103.8</v>
      </c>
      <c r="H28" s="36">
        <v>118.7</v>
      </c>
      <c r="I28" s="11">
        <v>70.8</v>
      </c>
      <c r="J28" s="11">
        <v>70.2</v>
      </c>
      <c r="K28" s="11">
        <v>81.2</v>
      </c>
      <c r="L28" s="11">
        <v>108</v>
      </c>
      <c r="M28" s="11">
        <v>107.5</v>
      </c>
      <c r="N28" s="11">
        <v>101.3</v>
      </c>
      <c r="O28" s="11">
        <v>190.4</v>
      </c>
      <c r="P28" s="27" t="s">
        <v>31</v>
      </c>
    </row>
    <row r="29" spans="1:16" ht="19.2" x14ac:dyDescent="0.3">
      <c r="A29" s="8" t="s">
        <v>33</v>
      </c>
      <c r="B29" s="6">
        <v>99.8</v>
      </c>
      <c r="C29" s="6">
        <v>105.4</v>
      </c>
      <c r="D29" s="6">
        <v>111.7</v>
      </c>
      <c r="E29" s="6">
        <v>106.1</v>
      </c>
      <c r="F29" s="6">
        <v>97.5</v>
      </c>
      <c r="G29" s="6">
        <v>104.3</v>
      </c>
      <c r="H29" s="6">
        <v>104.9</v>
      </c>
      <c r="I29" s="92">
        <v>100.8</v>
      </c>
      <c r="J29" s="92">
        <v>99.4</v>
      </c>
      <c r="K29" s="92">
        <v>101.4</v>
      </c>
      <c r="L29" s="92">
        <v>101.7</v>
      </c>
      <c r="M29" s="92">
        <v>113.1</v>
      </c>
      <c r="N29" s="92"/>
      <c r="O29" s="92">
        <v>120.7</v>
      </c>
      <c r="P29" s="26" t="s">
        <v>33</v>
      </c>
    </row>
    <row r="30" spans="1:16" ht="19.2" x14ac:dyDescent="0.3">
      <c r="A30" s="8" t="s">
        <v>6</v>
      </c>
      <c r="B30" s="6"/>
      <c r="C30" s="6"/>
      <c r="D30" s="6"/>
      <c r="E30" s="6"/>
      <c r="F30" s="6"/>
      <c r="G30" s="6"/>
      <c r="H30" s="6"/>
      <c r="I30" s="92"/>
      <c r="J30" s="92"/>
      <c r="K30" s="92"/>
      <c r="L30" s="92"/>
      <c r="M30" s="92"/>
      <c r="N30" s="92"/>
      <c r="O30" s="92"/>
      <c r="P30" s="26" t="s">
        <v>6</v>
      </c>
    </row>
    <row r="31" spans="1:16" ht="19.2" x14ac:dyDescent="0.3">
      <c r="A31" s="10" t="s">
        <v>36</v>
      </c>
      <c r="B31" s="11">
        <v>99.2</v>
      </c>
      <c r="C31" s="11">
        <v>107.9</v>
      </c>
      <c r="D31" s="11">
        <v>110</v>
      </c>
      <c r="E31" s="11">
        <v>108.2</v>
      </c>
      <c r="F31" s="11">
        <v>91</v>
      </c>
      <c r="G31" s="11">
        <v>95.7</v>
      </c>
      <c r="H31" s="11">
        <v>100.2</v>
      </c>
      <c r="I31" s="11">
        <v>99.9</v>
      </c>
      <c r="J31" s="11">
        <v>99.4</v>
      </c>
      <c r="K31" s="11">
        <v>100.3</v>
      </c>
      <c r="L31" s="11">
        <v>100.8</v>
      </c>
      <c r="M31" s="11">
        <v>112.2</v>
      </c>
      <c r="N31" s="11">
        <v>90.6</v>
      </c>
      <c r="O31" s="11">
        <v>60.8</v>
      </c>
      <c r="P31" s="27" t="s">
        <v>36</v>
      </c>
    </row>
    <row r="32" spans="1:16" ht="19.2" x14ac:dyDescent="0.3">
      <c r="A32" s="10" t="s">
        <v>38</v>
      </c>
      <c r="B32" s="11">
        <v>99.2</v>
      </c>
      <c r="C32" s="11">
        <v>103.4</v>
      </c>
      <c r="D32" s="11">
        <v>102.6</v>
      </c>
      <c r="E32" s="11">
        <v>106.6</v>
      </c>
      <c r="F32" s="11">
        <v>99.9</v>
      </c>
      <c r="G32" s="11">
        <v>98.5</v>
      </c>
      <c r="H32" s="11">
        <v>100.5</v>
      </c>
      <c r="I32" s="11">
        <v>94.6</v>
      </c>
      <c r="J32" s="11">
        <v>101.4</v>
      </c>
      <c r="K32" s="11">
        <v>91.6</v>
      </c>
      <c r="L32" s="11">
        <v>107.1</v>
      </c>
      <c r="M32" s="11">
        <v>105.8</v>
      </c>
      <c r="N32" s="11">
        <v>102.1</v>
      </c>
      <c r="O32" s="11">
        <v>63.8</v>
      </c>
      <c r="P32" s="27" t="s">
        <v>38</v>
      </c>
    </row>
    <row r="33" spans="1:16" ht="19.2" x14ac:dyDescent="0.3">
      <c r="A33" s="10" t="s">
        <v>40</v>
      </c>
      <c r="B33" s="11">
        <v>99.2</v>
      </c>
      <c r="C33" s="11">
        <v>105.9</v>
      </c>
      <c r="D33" s="11">
        <v>103.9</v>
      </c>
      <c r="E33" s="11">
        <v>106.2</v>
      </c>
      <c r="F33" s="11">
        <v>102.5</v>
      </c>
      <c r="G33" s="11">
        <v>98.7</v>
      </c>
      <c r="H33" s="11">
        <v>95.9</v>
      </c>
      <c r="I33" s="11">
        <v>101.6</v>
      </c>
      <c r="J33" s="11">
        <v>99</v>
      </c>
      <c r="K33" s="11">
        <v>103.9</v>
      </c>
      <c r="L33" s="11">
        <v>100</v>
      </c>
      <c r="M33" s="11">
        <v>102.9</v>
      </c>
      <c r="N33" s="11">
        <v>102.1</v>
      </c>
      <c r="O33" s="11">
        <v>69.900000000000006</v>
      </c>
      <c r="P33" s="27" t="s">
        <v>40</v>
      </c>
    </row>
    <row r="34" spans="1:16" ht="19.2" x14ac:dyDescent="0.3">
      <c r="A34" s="14" t="s">
        <v>863</v>
      </c>
      <c r="B34" s="36"/>
      <c r="C34" s="36"/>
      <c r="D34" s="36"/>
      <c r="E34" s="36"/>
      <c r="F34" s="36"/>
      <c r="G34" s="36"/>
      <c r="H34" s="36"/>
      <c r="I34" s="11"/>
      <c r="J34" s="11"/>
      <c r="K34" s="11"/>
      <c r="L34" s="11"/>
      <c r="M34" s="11"/>
      <c r="N34" s="11"/>
      <c r="O34" s="11"/>
      <c r="P34" s="28" t="s">
        <v>42</v>
      </c>
    </row>
    <row r="35" spans="1:16" ht="28.8" x14ac:dyDescent="0.3">
      <c r="A35" s="15" t="s">
        <v>43</v>
      </c>
      <c r="B35" s="36">
        <v>102</v>
      </c>
      <c r="C35" s="36">
        <v>105</v>
      </c>
      <c r="D35" s="36">
        <v>102.5</v>
      </c>
      <c r="E35" s="36">
        <v>104.4</v>
      </c>
      <c r="F35" s="36">
        <v>112.3</v>
      </c>
      <c r="G35" s="36">
        <v>94.4</v>
      </c>
      <c r="H35" s="36">
        <v>93.7</v>
      </c>
      <c r="I35" s="11">
        <v>102.8</v>
      </c>
      <c r="J35" s="11">
        <v>100.1</v>
      </c>
      <c r="K35" s="11">
        <v>103.2</v>
      </c>
      <c r="L35" s="11">
        <v>60.8</v>
      </c>
      <c r="M35" s="11">
        <v>103.7</v>
      </c>
      <c r="N35" s="11">
        <v>107.9</v>
      </c>
      <c r="O35" s="11">
        <v>34</v>
      </c>
      <c r="P35" s="29" t="s">
        <v>43</v>
      </c>
    </row>
    <row r="36" spans="1:16" ht="28.8" x14ac:dyDescent="0.3">
      <c r="A36" s="15" t="s">
        <v>40</v>
      </c>
      <c r="B36" s="11">
        <v>99.1</v>
      </c>
      <c r="C36" s="11">
        <v>105.9</v>
      </c>
      <c r="D36" s="11">
        <v>104</v>
      </c>
      <c r="E36" s="11">
        <v>106.2</v>
      </c>
      <c r="F36" s="11">
        <v>96.5</v>
      </c>
      <c r="G36" s="11">
        <v>100.8</v>
      </c>
      <c r="H36" s="11">
        <v>99.2</v>
      </c>
      <c r="I36" s="36">
        <v>101.5</v>
      </c>
      <c r="J36" s="36">
        <v>99</v>
      </c>
      <c r="K36" s="36">
        <v>104</v>
      </c>
      <c r="L36" s="36">
        <v>103.3</v>
      </c>
      <c r="M36" s="36">
        <v>102.8</v>
      </c>
      <c r="N36" s="36">
        <v>96</v>
      </c>
      <c r="O36" s="36">
        <v>87.1</v>
      </c>
      <c r="P36" s="29" t="s">
        <v>40</v>
      </c>
    </row>
    <row r="37" spans="1:16" ht="28.8" x14ac:dyDescent="0.3">
      <c r="A37" s="15" t="s">
        <v>212</v>
      </c>
      <c r="B37" s="11"/>
      <c r="C37" s="11"/>
      <c r="D37" s="11"/>
      <c r="E37" s="11"/>
      <c r="F37" s="11"/>
      <c r="G37" s="11"/>
      <c r="H37" s="11"/>
      <c r="I37" s="36"/>
      <c r="J37" s="36"/>
      <c r="K37" s="36"/>
      <c r="L37" s="36"/>
      <c r="M37" s="36"/>
      <c r="N37" s="36"/>
      <c r="O37" s="36"/>
      <c r="P37" s="29" t="s">
        <v>212</v>
      </c>
    </row>
    <row r="38" spans="1:16" ht="19.2" x14ac:dyDescent="0.3">
      <c r="A38" s="10" t="s">
        <v>47</v>
      </c>
      <c r="B38" s="11">
        <v>99.3</v>
      </c>
      <c r="C38" s="11">
        <v>107.4</v>
      </c>
      <c r="D38" s="11">
        <v>103.9</v>
      </c>
      <c r="E38" s="11">
        <v>103.7</v>
      </c>
      <c r="F38" s="11">
        <v>95.2</v>
      </c>
      <c r="G38" s="11">
        <v>86.7</v>
      </c>
      <c r="H38" s="11">
        <v>106.2</v>
      </c>
      <c r="I38" s="11">
        <v>101.7</v>
      </c>
      <c r="J38" s="11">
        <v>102.8</v>
      </c>
      <c r="K38" s="11">
        <v>101.2</v>
      </c>
      <c r="L38" s="11">
        <v>115.1</v>
      </c>
      <c r="M38" s="11">
        <v>102.6</v>
      </c>
      <c r="N38" s="11">
        <v>95.1</v>
      </c>
      <c r="O38" s="11">
        <v>62.8</v>
      </c>
      <c r="P38" s="27" t="s">
        <v>47</v>
      </c>
    </row>
    <row r="39" spans="1:16" ht="28.8" x14ac:dyDescent="0.3">
      <c r="A39" s="10" t="s">
        <v>49</v>
      </c>
      <c r="B39" s="11">
        <v>100.2</v>
      </c>
      <c r="C39" s="11">
        <v>106.9</v>
      </c>
      <c r="D39" s="11">
        <v>107.9</v>
      </c>
      <c r="E39" s="11">
        <v>108.6</v>
      </c>
      <c r="F39" s="11">
        <v>95.5</v>
      </c>
      <c r="G39" s="11">
        <v>142.69999999999999</v>
      </c>
      <c r="H39" s="11">
        <v>96.8</v>
      </c>
      <c r="I39" s="11">
        <v>103.2</v>
      </c>
      <c r="J39" s="11">
        <v>103.5</v>
      </c>
      <c r="K39" s="11">
        <v>102.9</v>
      </c>
      <c r="L39" s="11">
        <v>92.3</v>
      </c>
      <c r="M39" s="11">
        <v>107.5</v>
      </c>
      <c r="N39" s="11">
        <v>91.5</v>
      </c>
      <c r="O39" s="11" t="s">
        <v>1122</v>
      </c>
      <c r="P39" s="27" t="s">
        <v>49</v>
      </c>
    </row>
    <row r="40" spans="1:16" ht="19.2" x14ac:dyDescent="0.3">
      <c r="A40" s="10" t="s">
        <v>51</v>
      </c>
      <c r="B40" s="11">
        <v>100.6</v>
      </c>
      <c r="C40" s="11">
        <v>107.3</v>
      </c>
      <c r="D40" s="11">
        <v>113.1</v>
      </c>
      <c r="E40" s="11">
        <v>107.2</v>
      </c>
      <c r="F40" s="11">
        <v>100.1</v>
      </c>
      <c r="G40" s="11">
        <v>113.2</v>
      </c>
      <c r="H40" s="11">
        <v>107.9</v>
      </c>
      <c r="I40" s="11">
        <v>101.1</v>
      </c>
      <c r="J40" s="11">
        <v>97.1</v>
      </c>
      <c r="K40" s="11">
        <v>102.5</v>
      </c>
      <c r="L40" s="11">
        <v>105.5</v>
      </c>
      <c r="M40" s="11">
        <v>114.4</v>
      </c>
      <c r="N40" s="11">
        <v>93.8</v>
      </c>
      <c r="O40" s="11">
        <v>109.4</v>
      </c>
      <c r="P40" s="27" t="s">
        <v>51</v>
      </c>
    </row>
    <row r="41" spans="1:16" ht="19.2" x14ac:dyDescent="0.3">
      <c r="A41" s="10" t="s">
        <v>52</v>
      </c>
      <c r="B41" s="11">
        <v>99.7</v>
      </c>
      <c r="C41" s="11">
        <v>107.3</v>
      </c>
      <c r="D41" s="11">
        <v>103.3</v>
      </c>
      <c r="E41" s="11">
        <v>106</v>
      </c>
      <c r="F41" s="11">
        <v>92.6</v>
      </c>
      <c r="G41" s="11">
        <v>91</v>
      </c>
      <c r="H41" s="11">
        <v>97.5</v>
      </c>
      <c r="I41" s="11">
        <v>106.1</v>
      </c>
      <c r="J41" s="11">
        <v>83</v>
      </c>
      <c r="K41" s="11">
        <v>122.7</v>
      </c>
      <c r="L41" s="11">
        <v>33.700000000000003</v>
      </c>
      <c r="M41" s="11">
        <v>101.1</v>
      </c>
      <c r="N41" s="11">
        <v>97.1</v>
      </c>
      <c r="O41" s="11">
        <v>91</v>
      </c>
      <c r="P41" s="27" t="s">
        <v>52</v>
      </c>
    </row>
    <row r="42" spans="1:16" ht="19.2" x14ac:dyDescent="0.3">
      <c r="A42" s="10" t="s">
        <v>53</v>
      </c>
      <c r="B42" s="11">
        <v>99.2</v>
      </c>
      <c r="C42" s="11">
        <v>106.5</v>
      </c>
      <c r="D42" s="11">
        <v>102.5</v>
      </c>
      <c r="E42" s="11">
        <v>111</v>
      </c>
      <c r="F42" s="11">
        <v>98.6</v>
      </c>
      <c r="G42" s="11">
        <v>116.9</v>
      </c>
      <c r="H42" s="11">
        <v>102.7</v>
      </c>
      <c r="I42" s="11">
        <v>99.6</v>
      </c>
      <c r="J42" s="11">
        <v>101.7</v>
      </c>
      <c r="K42" s="11">
        <v>98.3</v>
      </c>
      <c r="L42" s="11">
        <v>109.6</v>
      </c>
      <c r="M42" s="11">
        <v>102.9</v>
      </c>
      <c r="N42" s="11">
        <v>98.1</v>
      </c>
      <c r="O42" s="11">
        <v>60.2</v>
      </c>
      <c r="P42" s="27" t="s">
        <v>53</v>
      </c>
    </row>
    <row r="43" spans="1:16" ht="19.2" x14ac:dyDescent="0.3">
      <c r="A43" s="10" t="s">
        <v>55</v>
      </c>
      <c r="B43" s="11">
        <v>98.9</v>
      </c>
      <c r="C43" s="11">
        <v>106.8</v>
      </c>
      <c r="D43" s="11">
        <v>102.8</v>
      </c>
      <c r="E43" s="11">
        <v>109.3</v>
      </c>
      <c r="F43" s="11">
        <v>99.1</v>
      </c>
      <c r="G43" s="11">
        <v>100.5</v>
      </c>
      <c r="H43" s="11">
        <v>118.4</v>
      </c>
      <c r="I43" s="11">
        <v>98.7</v>
      </c>
      <c r="J43" s="11">
        <v>87</v>
      </c>
      <c r="K43" s="11">
        <v>101.5</v>
      </c>
      <c r="L43" s="11">
        <v>111.6</v>
      </c>
      <c r="M43" s="11">
        <v>102.3</v>
      </c>
      <c r="N43" s="11">
        <v>99.9</v>
      </c>
      <c r="O43" s="11">
        <v>162.30000000000001</v>
      </c>
      <c r="P43" s="27" t="s">
        <v>55</v>
      </c>
    </row>
    <row r="44" spans="1:16" ht="19.2" x14ac:dyDescent="0.3">
      <c r="A44" s="10" t="s">
        <v>57</v>
      </c>
      <c r="B44" s="11">
        <v>99.96</v>
      </c>
      <c r="C44" s="11">
        <v>104.2</v>
      </c>
      <c r="D44" s="11">
        <v>117.2</v>
      </c>
      <c r="E44" s="11">
        <v>105.2</v>
      </c>
      <c r="F44" s="11">
        <v>97.6</v>
      </c>
      <c r="G44" s="11">
        <v>103.4</v>
      </c>
      <c r="H44" s="11">
        <v>111.5</v>
      </c>
      <c r="I44" s="11" t="s">
        <v>44</v>
      </c>
      <c r="J44" s="11" t="s">
        <v>44</v>
      </c>
      <c r="K44" s="11" t="s">
        <v>44</v>
      </c>
      <c r="L44" s="11">
        <v>100.2</v>
      </c>
      <c r="M44" s="11">
        <v>119.2</v>
      </c>
      <c r="N44" s="11">
        <v>97.2</v>
      </c>
      <c r="O44" s="11">
        <v>143.6</v>
      </c>
      <c r="P44" s="27" t="s">
        <v>57</v>
      </c>
    </row>
    <row r="45" spans="1:16" ht="28.8" x14ac:dyDescent="0.3">
      <c r="A45" s="8" t="s">
        <v>809</v>
      </c>
      <c r="B45" s="6">
        <v>99.9</v>
      </c>
      <c r="C45" s="6">
        <v>105.2</v>
      </c>
      <c r="D45" s="6">
        <v>110.7</v>
      </c>
      <c r="E45" s="6">
        <v>108.9</v>
      </c>
      <c r="F45" s="6">
        <v>104.9</v>
      </c>
      <c r="G45" s="106">
        <v>108.2</v>
      </c>
      <c r="H45" s="6">
        <v>103.5</v>
      </c>
      <c r="I45" s="6">
        <v>100.4</v>
      </c>
      <c r="J45" s="6">
        <v>100.6</v>
      </c>
      <c r="K45" s="6">
        <v>99.7</v>
      </c>
      <c r="L45" s="6">
        <v>106</v>
      </c>
      <c r="M45" s="6">
        <v>112.4</v>
      </c>
      <c r="N45" s="11"/>
      <c r="O45" s="6">
        <v>151.30000000000001</v>
      </c>
      <c r="P45" s="26" t="s">
        <v>809</v>
      </c>
    </row>
    <row r="46" spans="1:16" ht="19.2" x14ac:dyDescent="0.3">
      <c r="A46" s="10" t="s">
        <v>61</v>
      </c>
      <c r="B46" s="11">
        <v>100.5</v>
      </c>
      <c r="C46" s="11">
        <v>111.4</v>
      </c>
      <c r="D46" s="11">
        <v>114.3</v>
      </c>
      <c r="E46" s="11">
        <v>110.1</v>
      </c>
      <c r="F46" s="11">
        <v>104.2</v>
      </c>
      <c r="G46" s="107">
        <v>122.4</v>
      </c>
      <c r="H46" s="11">
        <v>107.2</v>
      </c>
      <c r="I46" s="11">
        <v>101.6</v>
      </c>
      <c r="J46" s="11">
        <v>96.4</v>
      </c>
      <c r="K46" s="11">
        <v>110.2</v>
      </c>
      <c r="L46" s="11">
        <v>120.5</v>
      </c>
      <c r="M46" s="11">
        <v>111.6</v>
      </c>
      <c r="N46" s="11">
        <v>104.7</v>
      </c>
      <c r="O46" s="11">
        <v>130.30000000000001</v>
      </c>
      <c r="P46" s="27" t="s">
        <v>61</v>
      </c>
    </row>
    <row r="47" spans="1:16" ht="19.2" x14ac:dyDescent="0.3">
      <c r="A47" s="10" t="s">
        <v>62</v>
      </c>
      <c r="B47" s="11">
        <v>100.9</v>
      </c>
      <c r="C47" s="11">
        <v>115.6</v>
      </c>
      <c r="D47" s="11">
        <v>160.30000000000001</v>
      </c>
      <c r="E47" s="11">
        <v>111.3</v>
      </c>
      <c r="F47" s="11">
        <v>108.8</v>
      </c>
      <c r="G47" s="107">
        <v>80</v>
      </c>
      <c r="H47" s="11">
        <v>102</v>
      </c>
      <c r="I47" s="11">
        <v>104.8</v>
      </c>
      <c r="J47" s="11">
        <v>116.2</v>
      </c>
      <c r="K47" s="11">
        <v>98.1</v>
      </c>
      <c r="L47" s="11">
        <v>115.4</v>
      </c>
      <c r="M47" s="11">
        <v>187.1</v>
      </c>
      <c r="N47" s="11">
        <v>104.1</v>
      </c>
      <c r="O47" s="11" t="s">
        <v>44</v>
      </c>
      <c r="P47" s="27" t="s">
        <v>62</v>
      </c>
    </row>
    <row r="48" spans="1:16" ht="19.2" x14ac:dyDescent="0.3">
      <c r="A48" s="10" t="s">
        <v>63</v>
      </c>
      <c r="B48" s="11">
        <v>99.6</v>
      </c>
      <c r="C48" s="11">
        <v>102.6</v>
      </c>
      <c r="D48" s="11">
        <v>103.1</v>
      </c>
      <c r="E48" s="11">
        <v>105.5</v>
      </c>
      <c r="F48" s="11">
        <v>98</v>
      </c>
      <c r="G48" s="107">
        <v>117</v>
      </c>
      <c r="H48" s="11">
        <v>98.3</v>
      </c>
      <c r="I48" s="11">
        <v>95.9</v>
      </c>
      <c r="J48" s="11">
        <v>95.7</v>
      </c>
      <c r="K48" s="11">
        <v>96.4</v>
      </c>
      <c r="L48" s="11">
        <v>131.5</v>
      </c>
      <c r="M48" s="11">
        <v>103.9</v>
      </c>
      <c r="N48" s="11">
        <v>97</v>
      </c>
      <c r="O48" s="11">
        <v>19.3</v>
      </c>
      <c r="P48" s="27" t="s">
        <v>63</v>
      </c>
    </row>
    <row r="49" spans="1:16" ht="19.2" x14ac:dyDescent="0.3">
      <c r="A49" s="10" t="s">
        <v>65</v>
      </c>
      <c r="B49" s="11">
        <v>100.2</v>
      </c>
      <c r="C49" s="11">
        <v>105.5</v>
      </c>
      <c r="D49" s="11">
        <v>111.4</v>
      </c>
      <c r="E49" s="11">
        <v>109</v>
      </c>
      <c r="F49" s="11">
        <v>108.1</v>
      </c>
      <c r="G49" s="107">
        <v>102.4</v>
      </c>
      <c r="H49" s="11">
        <v>106</v>
      </c>
      <c r="I49" s="11">
        <v>95.7</v>
      </c>
      <c r="J49" s="11">
        <v>93.8</v>
      </c>
      <c r="K49" s="11">
        <v>101.4</v>
      </c>
      <c r="L49" s="11">
        <v>100.6</v>
      </c>
      <c r="M49" s="11">
        <v>115.6</v>
      </c>
      <c r="N49" s="11">
        <v>102.6</v>
      </c>
      <c r="O49" s="11">
        <v>163.1</v>
      </c>
      <c r="P49" s="27" t="s">
        <v>65</v>
      </c>
    </row>
    <row r="50" spans="1:16" ht="19.2" x14ac:dyDescent="0.3">
      <c r="A50" s="10" t="s">
        <v>66</v>
      </c>
      <c r="B50" s="11">
        <v>99.6</v>
      </c>
      <c r="C50" s="11">
        <v>103.7</v>
      </c>
      <c r="D50" s="11">
        <v>105.7</v>
      </c>
      <c r="E50" s="11">
        <v>106.6</v>
      </c>
      <c r="F50" s="11">
        <v>100.7</v>
      </c>
      <c r="G50" s="107">
        <v>90.1</v>
      </c>
      <c r="H50" s="11">
        <v>100.6</v>
      </c>
      <c r="I50" s="11">
        <v>103</v>
      </c>
      <c r="J50" s="11">
        <v>105.9</v>
      </c>
      <c r="K50" s="11">
        <v>98.8</v>
      </c>
      <c r="L50" s="11">
        <v>107</v>
      </c>
      <c r="M50" s="11">
        <v>101.3</v>
      </c>
      <c r="N50" s="11">
        <v>97.6</v>
      </c>
      <c r="O50" s="11">
        <v>86.8</v>
      </c>
      <c r="P50" s="27" t="s">
        <v>66</v>
      </c>
    </row>
    <row r="51" spans="1:16" ht="19.2" x14ac:dyDescent="0.3">
      <c r="A51" s="10" t="s">
        <v>67</v>
      </c>
      <c r="B51" s="11">
        <v>99.3</v>
      </c>
      <c r="C51" s="11">
        <v>102.4</v>
      </c>
      <c r="D51" s="11">
        <v>110.4</v>
      </c>
      <c r="E51" s="11">
        <v>111.2</v>
      </c>
      <c r="F51" s="11">
        <v>104.3</v>
      </c>
      <c r="G51" s="107">
        <v>121.1</v>
      </c>
      <c r="H51" s="11">
        <v>102.5</v>
      </c>
      <c r="I51" s="11">
        <v>100.1</v>
      </c>
      <c r="J51" s="11">
        <v>101.3</v>
      </c>
      <c r="K51" s="11">
        <v>96.4</v>
      </c>
      <c r="L51" s="11">
        <v>119.1</v>
      </c>
      <c r="M51" s="11">
        <v>110.2</v>
      </c>
      <c r="N51" s="11">
        <v>103.1</v>
      </c>
      <c r="O51" s="11">
        <v>150</v>
      </c>
      <c r="P51" s="27" t="s">
        <v>67</v>
      </c>
    </row>
    <row r="52" spans="1:16" ht="19.2" x14ac:dyDescent="0.3">
      <c r="A52" s="10" t="s">
        <v>70</v>
      </c>
      <c r="B52" s="36">
        <v>99.7</v>
      </c>
      <c r="C52" s="36">
        <v>106</v>
      </c>
      <c r="D52" s="36">
        <v>111.4</v>
      </c>
      <c r="E52" s="36">
        <v>109.5</v>
      </c>
      <c r="F52" s="36">
        <v>103.1</v>
      </c>
      <c r="G52" s="36">
        <v>123.3</v>
      </c>
      <c r="H52" s="36">
        <v>103.5</v>
      </c>
      <c r="I52" s="11">
        <v>106.9</v>
      </c>
      <c r="J52" s="11">
        <v>109.5</v>
      </c>
      <c r="K52" s="11">
        <v>99.1</v>
      </c>
      <c r="L52" s="11">
        <v>109.6</v>
      </c>
      <c r="M52" s="11">
        <v>109.9</v>
      </c>
      <c r="N52" s="11">
        <v>101.5</v>
      </c>
      <c r="O52" s="11" t="s">
        <v>1123</v>
      </c>
      <c r="P52" s="27" t="s">
        <v>70</v>
      </c>
    </row>
    <row r="53" spans="1:16" ht="28.8" x14ac:dyDescent="0.3">
      <c r="A53" s="10" t="s">
        <v>71</v>
      </c>
      <c r="B53" s="36">
        <v>100.6</v>
      </c>
      <c r="C53" s="36">
        <v>106.4</v>
      </c>
      <c r="D53" s="36">
        <v>106.4</v>
      </c>
      <c r="E53" s="36">
        <v>103.7</v>
      </c>
      <c r="F53" s="36">
        <v>109.4</v>
      </c>
      <c r="G53" s="36">
        <v>49.2</v>
      </c>
      <c r="H53" s="36">
        <v>116.4</v>
      </c>
      <c r="I53" s="11">
        <v>97.3</v>
      </c>
      <c r="J53" s="11">
        <v>100</v>
      </c>
      <c r="K53" s="11">
        <v>73.099999999999994</v>
      </c>
      <c r="L53" s="11">
        <v>86.2</v>
      </c>
      <c r="M53" s="11">
        <v>101.3</v>
      </c>
      <c r="N53" s="11">
        <v>98.8</v>
      </c>
      <c r="O53" s="11">
        <v>59.4</v>
      </c>
      <c r="P53" s="27" t="s">
        <v>71</v>
      </c>
    </row>
    <row r="54" spans="1:16" ht="19.2" x14ac:dyDescent="0.3">
      <c r="A54" s="8" t="s">
        <v>73</v>
      </c>
      <c r="B54" s="6">
        <v>100.4</v>
      </c>
      <c r="C54" s="6">
        <v>103.4</v>
      </c>
      <c r="D54" s="6">
        <v>108.1</v>
      </c>
      <c r="E54" s="6">
        <v>105.9</v>
      </c>
      <c r="F54" s="6">
        <v>102.5</v>
      </c>
      <c r="G54" s="106">
        <v>108</v>
      </c>
      <c r="H54" s="6">
        <v>110.2</v>
      </c>
      <c r="I54" s="92">
        <v>104.5</v>
      </c>
      <c r="J54" s="92">
        <v>105.8</v>
      </c>
      <c r="K54" s="92">
        <v>102.6</v>
      </c>
      <c r="L54" s="92">
        <v>123.3</v>
      </c>
      <c r="M54" s="92">
        <v>107.6</v>
      </c>
      <c r="N54" s="36"/>
      <c r="O54" s="92">
        <v>133.1</v>
      </c>
      <c r="P54" s="26" t="s">
        <v>73</v>
      </c>
    </row>
    <row r="55" spans="1:16" ht="19.2" x14ac:dyDescent="0.3">
      <c r="A55" s="8" t="s">
        <v>6</v>
      </c>
      <c r="B55" s="6"/>
      <c r="C55" s="6"/>
      <c r="D55" s="6"/>
      <c r="E55" s="6"/>
      <c r="F55" s="6"/>
      <c r="G55" s="106"/>
      <c r="H55" s="6"/>
      <c r="I55" s="92"/>
      <c r="J55" s="92"/>
      <c r="K55" s="92"/>
      <c r="L55" s="92"/>
      <c r="M55" s="92"/>
      <c r="N55" s="36"/>
      <c r="O55" s="92"/>
      <c r="P55" s="26" t="s">
        <v>6</v>
      </c>
    </row>
    <row r="56" spans="1:16" ht="19.2" x14ac:dyDescent="0.3">
      <c r="A56" s="10" t="s">
        <v>74</v>
      </c>
      <c r="B56" s="11">
        <v>100.7</v>
      </c>
      <c r="C56" s="11">
        <v>100.5</v>
      </c>
      <c r="D56" s="11">
        <v>103.6</v>
      </c>
      <c r="E56" s="11">
        <v>105.2</v>
      </c>
      <c r="F56" s="11">
        <v>101.9</v>
      </c>
      <c r="G56" s="107">
        <v>107.2</v>
      </c>
      <c r="H56" s="11">
        <v>123.8</v>
      </c>
      <c r="I56" s="11">
        <v>105.9</v>
      </c>
      <c r="J56" s="11">
        <v>111.8</v>
      </c>
      <c r="K56" s="11">
        <v>100.2</v>
      </c>
      <c r="L56" s="11">
        <v>160.9</v>
      </c>
      <c r="M56" s="11">
        <v>101.8</v>
      </c>
      <c r="N56" s="11">
        <v>93.7</v>
      </c>
      <c r="O56" s="11" t="s">
        <v>44</v>
      </c>
      <c r="P56" s="27" t="s">
        <v>74</v>
      </c>
    </row>
    <row r="57" spans="1:16" ht="19.2" x14ac:dyDescent="0.3">
      <c r="A57" s="10" t="s">
        <v>250</v>
      </c>
      <c r="B57" s="11">
        <v>101.6</v>
      </c>
      <c r="C57" s="11">
        <v>99.9</v>
      </c>
      <c r="D57" s="11">
        <v>119.2</v>
      </c>
      <c r="E57" s="11">
        <v>101.4</v>
      </c>
      <c r="F57" s="11">
        <v>103.8</v>
      </c>
      <c r="G57" s="107">
        <v>105.5</v>
      </c>
      <c r="H57" s="11">
        <v>117.8</v>
      </c>
      <c r="I57" s="11">
        <v>100.8</v>
      </c>
      <c r="J57" s="11">
        <v>90.5</v>
      </c>
      <c r="K57" s="11">
        <v>108</v>
      </c>
      <c r="L57" s="11">
        <v>120.6</v>
      </c>
      <c r="M57" s="11">
        <v>121.3</v>
      </c>
      <c r="N57" s="11">
        <v>96.9</v>
      </c>
      <c r="O57" s="11" t="s">
        <v>44</v>
      </c>
      <c r="P57" s="27" t="s">
        <v>250</v>
      </c>
    </row>
    <row r="58" spans="1:16" ht="28.8" x14ac:dyDescent="0.3">
      <c r="A58" s="10" t="s">
        <v>76</v>
      </c>
      <c r="B58" s="36">
        <v>100.2</v>
      </c>
      <c r="C58" s="36">
        <v>105.3</v>
      </c>
      <c r="D58" s="36">
        <v>110.5</v>
      </c>
      <c r="E58" s="36">
        <v>106.5</v>
      </c>
      <c r="F58" s="36">
        <v>107</v>
      </c>
      <c r="G58" s="36">
        <v>108.5</v>
      </c>
      <c r="H58" s="36">
        <v>102.7</v>
      </c>
      <c r="I58" s="11">
        <v>110.1</v>
      </c>
      <c r="J58" s="11">
        <v>112.3</v>
      </c>
      <c r="K58" s="11">
        <v>106.9</v>
      </c>
      <c r="L58" s="11">
        <v>107</v>
      </c>
      <c r="M58" s="11">
        <v>109.4</v>
      </c>
      <c r="N58" s="11">
        <v>103.8</v>
      </c>
      <c r="O58" s="11" t="s">
        <v>44</v>
      </c>
      <c r="P58" s="27" t="s">
        <v>76</v>
      </c>
    </row>
    <row r="59" spans="1:16" ht="28.8" x14ac:dyDescent="0.3">
      <c r="A59" s="10" t="s">
        <v>77</v>
      </c>
      <c r="B59" s="36">
        <v>99.97</v>
      </c>
      <c r="C59" s="36">
        <v>104.8</v>
      </c>
      <c r="D59" s="36">
        <v>111.9</v>
      </c>
      <c r="E59" s="36">
        <v>107.5</v>
      </c>
      <c r="F59" s="36">
        <v>104.4</v>
      </c>
      <c r="G59" s="36">
        <v>77.900000000000006</v>
      </c>
      <c r="H59" s="36">
        <v>114.3</v>
      </c>
      <c r="I59" s="11">
        <v>102.7</v>
      </c>
      <c r="J59" s="11">
        <v>104.1</v>
      </c>
      <c r="K59" s="11">
        <v>101.5</v>
      </c>
      <c r="L59" s="11">
        <v>135.9</v>
      </c>
      <c r="M59" s="11">
        <v>106.8</v>
      </c>
      <c r="N59" s="11">
        <v>97.3</v>
      </c>
      <c r="O59" s="11" t="s">
        <v>44</v>
      </c>
      <c r="P59" s="27" t="s">
        <v>77</v>
      </c>
    </row>
    <row r="60" spans="1:16" ht="19.2" x14ac:dyDescent="0.3">
      <c r="A60" s="10" t="s">
        <v>254</v>
      </c>
      <c r="B60" s="11">
        <v>99.7</v>
      </c>
      <c r="C60" s="11">
        <v>107.8</v>
      </c>
      <c r="D60" s="11">
        <v>105</v>
      </c>
      <c r="E60" s="11">
        <v>106.7</v>
      </c>
      <c r="F60" s="11">
        <v>100.5</v>
      </c>
      <c r="G60" s="107">
        <v>92.5</v>
      </c>
      <c r="H60" s="11">
        <v>126.6</v>
      </c>
      <c r="I60" s="36">
        <v>106.8</v>
      </c>
      <c r="J60" s="36">
        <v>111.9</v>
      </c>
      <c r="K60" s="36">
        <v>103.4</v>
      </c>
      <c r="L60" s="36">
        <v>140.9</v>
      </c>
      <c r="M60" s="36">
        <v>107.1</v>
      </c>
      <c r="N60" s="36">
        <v>98.3</v>
      </c>
      <c r="O60" s="36" t="s">
        <v>44</v>
      </c>
      <c r="P60" s="27" t="s">
        <v>254</v>
      </c>
    </row>
    <row r="61" spans="1:16" ht="19.2" x14ac:dyDescent="0.3">
      <c r="A61" s="10" t="s">
        <v>255</v>
      </c>
      <c r="B61" s="11"/>
      <c r="C61" s="11"/>
      <c r="D61" s="11"/>
      <c r="E61" s="11"/>
      <c r="F61" s="11"/>
      <c r="G61" s="107"/>
      <c r="H61" s="11"/>
      <c r="I61" s="36"/>
      <c r="J61" s="36"/>
      <c r="K61" s="36"/>
      <c r="L61" s="36"/>
      <c r="M61" s="36"/>
      <c r="N61" s="36"/>
      <c r="O61" s="36"/>
      <c r="P61" s="27" t="s">
        <v>255</v>
      </c>
    </row>
    <row r="62" spans="1:16" ht="19.2" x14ac:dyDescent="0.3">
      <c r="A62" s="10" t="s">
        <v>256</v>
      </c>
      <c r="B62" s="11">
        <v>101.3</v>
      </c>
      <c r="C62" s="11">
        <v>111.9</v>
      </c>
      <c r="D62" s="11">
        <v>108.5</v>
      </c>
      <c r="E62" s="11">
        <v>105.4</v>
      </c>
      <c r="F62" s="11">
        <v>104.7</v>
      </c>
      <c r="G62" s="107">
        <v>129.19999999999999</v>
      </c>
      <c r="H62" s="11">
        <v>104.5</v>
      </c>
      <c r="I62" s="11">
        <v>110.9</v>
      </c>
      <c r="J62" s="11">
        <v>123.4</v>
      </c>
      <c r="K62" s="11">
        <v>101.2</v>
      </c>
      <c r="L62" s="11">
        <v>115.6</v>
      </c>
      <c r="M62" s="11">
        <v>103.7</v>
      </c>
      <c r="N62" s="11">
        <v>98.2</v>
      </c>
      <c r="O62" s="11" t="s">
        <v>44</v>
      </c>
      <c r="P62" s="27" t="s">
        <v>256</v>
      </c>
    </row>
    <row r="63" spans="1:16" ht="19.8" thickBot="1" x14ac:dyDescent="0.35">
      <c r="A63" s="16" t="s">
        <v>79</v>
      </c>
      <c r="B63" s="17">
        <v>99.8</v>
      </c>
      <c r="C63" s="17">
        <v>101.7</v>
      </c>
      <c r="D63" s="17">
        <v>112.4</v>
      </c>
      <c r="E63" s="17">
        <v>106</v>
      </c>
      <c r="F63" s="17">
        <v>101.5</v>
      </c>
      <c r="G63" s="108">
        <v>106.2</v>
      </c>
      <c r="H63" s="17">
        <v>106.4</v>
      </c>
      <c r="I63" s="17">
        <v>100.8</v>
      </c>
      <c r="J63" s="17">
        <v>99.8</v>
      </c>
      <c r="K63" s="17">
        <v>103.4</v>
      </c>
      <c r="L63" s="17">
        <v>109.2</v>
      </c>
      <c r="M63" s="17">
        <v>114.3</v>
      </c>
      <c r="N63" s="17">
        <v>101.1</v>
      </c>
      <c r="O63" s="17">
        <v>136.4</v>
      </c>
      <c r="P63" s="30" t="s">
        <v>79</v>
      </c>
    </row>
    <row r="64" spans="1:16" ht="19.2" x14ac:dyDescent="0.3">
      <c r="A64" s="8" t="s">
        <v>80</v>
      </c>
      <c r="B64" s="235">
        <v>99.5</v>
      </c>
      <c r="C64" s="235">
        <v>106</v>
      </c>
      <c r="D64" s="235">
        <v>108.6</v>
      </c>
      <c r="E64" s="235">
        <v>111.8</v>
      </c>
      <c r="F64" s="235">
        <v>101.7</v>
      </c>
      <c r="G64" s="235">
        <v>116.1</v>
      </c>
      <c r="H64" s="235">
        <v>107.9</v>
      </c>
      <c r="I64" s="235">
        <v>97.5</v>
      </c>
      <c r="J64" s="235">
        <v>94.6</v>
      </c>
      <c r="K64" s="235">
        <v>101.2</v>
      </c>
      <c r="L64" s="235">
        <v>108.7</v>
      </c>
      <c r="M64" s="235">
        <v>109.4</v>
      </c>
      <c r="N64" s="235"/>
      <c r="O64" s="235">
        <v>156</v>
      </c>
      <c r="P64" s="31" t="s">
        <v>80</v>
      </c>
    </row>
    <row r="65" spans="1:16" ht="19.2" x14ac:dyDescent="0.3">
      <c r="A65" s="8" t="s">
        <v>6</v>
      </c>
      <c r="B65" s="230"/>
      <c r="C65" s="230"/>
      <c r="D65" s="230"/>
      <c r="E65" s="230"/>
      <c r="F65" s="230"/>
      <c r="G65" s="230"/>
      <c r="H65" s="230"/>
      <c r="I65" s="230"/>
      <c r="J65" s="230"/>
      <c r="K65" s="230"/>
      <c r="L65" s="230"/>
      <c r="M65" s="230"/>
      <c r="N65" s="230"/>
      <c r="O65" s="230"/>
      <c r="P65" s="26" t="s">
        <v>6</v>
      </c>
    </row>
    <row r="66" spans="1:16" ht="28.8" x14ac:dyDescent="0.3">
      <c r="A66" s="10" t="s">
        <v>81</v>
      </c>
      <c r="B66" s="11">
        <v>99.7</v>
      </c>
      <c r="C66" s="11">
        <v>104.9</v>
      </c>
      <c r="D66" s="11">
        <v>109.5</v>
      </c>
      <c r="E66" s="11">
        <v>110.5</v>
      </c>
      <c r="F66" s="11">
        <v>101</v>
      </c>
      <c r="G66" s="11">
        <v>107.6</v>
      </c>
      <c r="H66" s="11">
        <v>108</v>
      </c>
      <c r="I66" s="11">
        <v>88.8</v>
      </c>
      <c r="J66" s="11">
        <v>80.3</v>
      </c>
      <c r="K66" s="11">
        <v>96.8</v>
      </c>
      <c r="L66" s="11">
        <v>108.3</v>
      </c>
      <c r="M66" s="11">
        <v>111.3</v>
      </c>
      <c r="N66" s="11">
        <v>97.9</v>
      </c>
      <c r="O66" s="11">
        <v>114.1</v>
      </c>
      <c r="P66" s="27" t="s">
        <v>81</v>
      </c>
    </row>
    <row r="67" spans="1:16" ht="19.2" x14ac:dyDescent="0.3">
      <c r="A67" s="10" t="s">
        <v>82</v>
      </c>
      <c r="B67" s="11">
        <v>99.6</v>
      </c>
      <c r="C67" s="11">
        <v>105.6</v>
      </c>
      <c r="D67" s="11">
        <v>106.5</v>
      </c>
      <c r="E67" s="11">
        <v>112.3</v>
      </c>
      <c r="F67" s="11">
        <v>99.7</v>
      </c>
      <c r="G67" s="11">
        <v>114.1</v>
      </c>
      <c r="H67" s="11">
        <v>115.7</v>
      </c>
      <c r="I67" s="11">
        <v>100.2</v>
      </c>
      <c r="J67" s="11">
        <v>91.9</v>
      </c>
      <c r="K67" s="11">
        <v>104.1</v>
      </c>
      <c r="L67" s="11">
        <v>123.1</v>
      </c>
      <c r="M67" s="11">
        <v>108.8</v>
      </c>
      <c r="N67" s="11">
        <v>100.9</v>
      </c>
      <c r="O67" s="11">
        <v>186.4</v>
      </c>
      <c r="P67" s="27" t="s">
        <v>82</v>
      </c>
    </row>
    <row r="68" spans="1:16" ht="19.2" x14ac:dyDescent="0.3">
      <c r="A68" s="10" t="s">
        <v>83</v>
      </c>
      <c r="B68" s="11">
        <v>99.3</v>
      </c>
      <c r="C68" s="11">
        <v>105.5</v>
      </c>
      <c r="D68" s="11">
        <v>126.1</v>
      </c>
      <c r="E68" s="11">
        <v>112</v>
      </c>
      <c r="F68" s="11">
        <v>98.9</v>
      </c>
      <c r="G68" s="11">
        <v>112.4</v>
      </c>
      <c r="H68" s="11">
        <v>109.5</v>
      </c>
      <c r="I68" s="11">
        <v>107.2</v>
      </c>
      <c r="J68" s="11">
        <v>113.4</v>
      </c>
      <c r="K68" s="11">
        <v>103</v>
      </c>
      <c r="L68" s="11">
        <v>105.2</v>
      </c>
      <c r="M68" s="11">
        <v>131.80000000000001</v>
      </c>
      <c r="N68" s="11">
        <v>98.4</v>
      </c>
      <c r="O68" s="11">
        <v>159</v>
      </c>
      <c r="P68" s="27" t="s">
        <v>83</v>
      </c>
    </row>
    <row r="69" spans="1:16" ht="19.2" x14ac:dyDescent="0.3">
      <c r="A69" s="10" t="s">
        <v>84</v>
      </c>
      <c r="B69" s="11">
        <v>100</v>
      </c>
      <c r="C69" s="11">
        <v>109</v>
      </c>
      <c r="D69" s="11">
        <v>111.2</v>
      </c>
      <c r="E69" s="11">
        <v>112.8</v>
      </c>
      <c r="F69" s="11">
        <v>105.4</v>
      </c>
      <c r="G69" s="11">
        <v>122</v>
      </c>
      <c r="H69" s="11">
        <v>103</v>
      </c>
      <c r="I69" s="11">
        <v>91.8</v>
      </c>
      <c r="J69" s="11">
        <v>81.8</v>
      </c>
      <c r="K69" s="11">
        <v>101.2</v>
      </c>
      <c r="L69" s="11">
        <v>111.1</v>
      </c>
      <c r="M69" s="11">
        <v>111.3</v>
      </c>
      <c r="N69" s="11">
        <v>103.9</v>
      </c>
      <c r="O69" s="11" t="s">
        <v>1126</v>
      </c>
      <c r="P69" s="27" t="s">
        <v>84</v>
      </c>
    </row>
    <row r="70" spans="1:16" ht="19.2" x14ac:dyDescent="0.3">
      <c r="A70" s="10" t="s">
        <v>85</v>
      </c>
      <c r="B70" s="11">
        <v>99.5</v>
      </c>
      <c r="C70" s="11">
        <v>107.8</v>
      </c>
      <c r="D70" s="11">
        <v>105.5</v>
      </c>
      <c r="E70" s="11">
        <v>110.3</v>
      </c>
      <c r="F70" s="11">
        <v>101.4</v>
      </c>
      <c r="G70" s="11">
        <v>106</v>
      </c>
      <c r="H70" s="11">
        <v>113.6</v>
      </c>
      <c r="I70" s="11">
        <v>99</v>
      </c>
      <c r="J70" s="11">
        <v>88.9</v>
      </c>
      <c r="K70" s="11">
        <v>103.2</v>
      </c>
      <c r="L70" s="11">
        <v>118.2</v>
      </c>
      <c r="M70" s="11">
        <v>104.6</v>
      </c>
      <c r="N70" s="11">
        <v>101.8</v>
      </c>
      <c r="O70" s="11">
        <v>125.3</v>
      </c>
      <c r="P70" s="27" t="s">
        <v>85</v>
      </c>
    </row>
    <row r="71" spans="1:16" ht="19.2" x14ac:dyDescent="0.3">
      <c r="A71" s="10" t="s">
        <v>86</v>
      </c>
      <c r="B71" s="11">
        <v>99.5</v>
      </c>
      <c r="C71" s="11">
        <v>112.1</v>
      </c>
      <c r="D71" s="11">
        <v>110.8</v>
      </c>
      <c r="E71" s="11">
        <v>114.8</v>
      </c>
      <c r="F71" s="11">
        <v>103.7</v>
      </c>
      <c r="G71" s="11">
        <v>113.2</v>
      </c>
      <c r="H71" s="11">
        <v>130.69999999999999</v>
      </c>
      <c r="I71" s="11">
        <v>100.5</v>
      </c>
      <c r="J71" s="11">
        <v>100.2</v>
      </c>
      <c r="K71" s="11">
        <v>100.8</v>
      </c>
      <c r="L71" s="11">
        <v>91.8</v>
      </c>
      <c r="M71" s="11">
        <v>112.1</v>
      </c>
      <c r="N71" s="11">
        <v>104.9</v>
      </c>
      <c r="O71" s="11">
        <v>191.5</v>
      </c>
      <c r="P71" s="27" t="s">
        <v>86</v>
      </c>
    </row>
    <row r="72" spans="1:16" ht="19.2" x14ac:dyDescent="0.3">
      <c r="A72" s="10" t="s">
        <v>87</v>
      </c>
      <c r="B72" s="11">
        <v>99.5</v>
      </c>
      <c r="C72" s="11">
        <v>107.9</v>
      </c>
      <c r="D72" s="11">
        <v>104.3</v>
      </c>
      <c r="E72" s="11">
        <v>110.8</v>
      </c>
      <c r="F72" s="11">
        <v>98.7</v>
      </c>
      <c r="G72" s="11">
        <v>115.8</v>
      </c>
      <c r="H72" s="11">
        <v>105.9</v>
      </c>
      <c r="I72" s="11">
        <v>91.5</v>
      </c>
      <c r="J72" s="11">
        <v>75.400000000000006</v>
      </c>
      <c r="K72" s="11">
        <v>99.8</v>
      </c>
      <c r="L72" s="11">
        <v>97</v>
      </c>
      <c r="M72" s="11">
        <v>102.1</v>
      </c>
      <c r="N72" s="11">
        <v>99.6</v>
      </c>
      <c r="O72" s="11">
        <v>75.5</v>
      </c>
      <c r="P72" s="27" t="s">
        <v>87</v>
      </c>
    </row>
    <row r="73" spans="1:16" ht="19.2" x14ac:dyDescent="0.3">
      <c r="A73" s="10" t="s">
        <v>88</v>
      </c>
      <c r="B73" s="11">
        <v>99.3</v>
      </c>
      <c r="C73" s="11">
        <v>101.4</v>
      </c>
      <c r="D73" s="11">
        <v>104.8</v>
      </c>
      <c r="E73" s="11">
        <v>111.1</v>
      </c>
      <c r="F73" s="11">
        <v>100.7</v>
      </c>
      <c r="G73" s="11">
        <v>106.5</v>
      </c>
      <c r="H73" s="11">
        <v>110.5</v>
      </c>
      <c r="I73" s="11">
        <v>97.5</v>
      </c>
      <c r="J73" s="11">
        <v>88.8</v>
      </c>
      <c r="K73" s="11">
        <v>101.8</v>
      </c>
      <c r="L73" s="11">
        <v>112.3</v>
      </c>
      <c r="M73" s="11">
        <v>104.1</v>
      </c>
      <c r="N73" s="11">
        <v>102</v>
      </c>
      <c r="O73" s="11">
        <v>105.7</v>
      </c>
      <c r="P73" s="27" t="s">
        <v>88</v>
      </c>
    </row>
    <row r="74" spans="1:16" ht="19.2" x14ac:dyDescent="0.3">
      <c r="A74" s="10" t="s">
        <v>89</v>
      </c>
      <c r="B74" s="11">
        <v>99.3</v>
      </c>
      <c r="C74" s="11">
        <v>104.7</v>
      </c>
      <c r="D74" s="11">
        <v>108.3</v>
      </c>
      <c r="E74" s="11">
        <v>111</v>
      </c>
      <c r="F74" s="11">
        <v>102.5</v>
      </c>
      <c r="G74" s="11">
        <v>136.6</v>
      </c>
      <c r="H74" s="11">
        <v>111.7</v>
      </c>
      <c r="I74" s="11">
        <v>111.1</v>
      </c>
      <c r="J74" s="11">
        <v>114.2</v>
      </c>
      <c r="K74" s="11">
        <v>107.9</v>
      </c>
      <c r="L74" s="11">
        <v>109.3</v>
      </c>
      <c r="M74" s="11">
        <v>108.3</v>
      </c>
      <c r="N74" s="11">
        <v>102.4</v>
      </c>
      <c r="O74" s="11">
        <v>156.9</v>
      </c>
      <c r="P74" s="27" t="s">
        <v>825</v>
      </c>
    </row>
    <row r="75" spans="1:16" ht="19.2" x14ac:dyDescent="0.3">
      <c r="A75" s="10" t="s">
        <v>90</v>
      </c>
      <c r="B75" s="11">
        <v>99.3</v>
      </c>
      <c r="C75" s="11">
        <v>105.4</v>
      </c>
      <c r="D75" s="11">
        <v>106.1</v>
      </c>
      <c r="E75" s="11">
        <v>116.2</v>
      </c>
      <c r="F75" s="11">
        <v>101.3</v>
      </c>
      <c r="G75" s="11">
        <v>110.9</v>
      </c>
      <c r="H75" s="11">
        <v>103.7</v>
      </c>
      <c r="I75" s="11">
        <v>95.7</v>
      </c>
      <c r="J75" s="11">
        <v>93.6</v>
      </c>
      <c r="K75" s="11">
        <v>99.6</v>
      </c>
      <c r="L75" s="11">
        <v>118.9</v>
      </c>
      <c r="M75" s="11">
        <v>107.4</v>
      </c>
      <c r="N75" s="11">
        <v>102.8</v>
      </c>
      <c r="O75" s="11">
        <v>100.3</v>
      </c>
      <c r="P75" s="27" t="s">
        <v>90</v>
      </c>
    </row>
    <row r="76" spans="1:16" ht="19.2" x14ac:dyDescent="0.3">
      <c r="A76" s="10" t="s">
        <v>91</v>
      </c>
      <c r="B76" s="11">
        <v>99.2</v>
      </c>
      <c r="C76" s="11">
        <v>107.1</v>
      </c>
      <c r="D76" s="11">
        <v>106.6</v>
      </c>
      <c r="E76" s="11">
        <v>111</v>
      </c>
      <c r="F76" s="11">
        <v>101.5</v>
      </c>
      <c r="G76" s="11">
        <v>106.2</v>
      </c>
      <c r="H76" s="11">
        <v>112.4</v>
      </c>
      <c r="I76" s="11">
        <v>107.7</v>
      </c>
      <c r="J76" s="11">
        <v>108.1</v>
      </c>
      <c r="K76" s="11">
        <v>107.3</v>
      </c>
      <c r="L76" s="11">
        <v>113.3</v>
      </c>
      <c r="M76" s="11">
        <v>105.8</v>
      </c>
      <c r="N76" s="11">
        <v>102</v>
      </c>
      <c r="O76" s="11">
        <v>152</v>
      </c>
      <c r="P76" s="27" t="s">
        <v>91</v>
      </c>
    </row>
    <row r="77" spans="1:16" ht="19.2" x14ac:dyDescent="0.3">
      <c r="A77" s="10" t="s">
        <v>92</v>
      </c>
      <c r="B77" s="11">
        <v>99.5</v>
      </c>
      <c r="C77" s="11">
        <v>103.8</v>
      </c>
      <c r="D77" s="11">
        <v>111.1</v>
      </c>
      <c r="E77" s="11">
        <v>111.7</v>
      </c>
      <c r="F77" s="11">
        <v>97.8</v>
      </c>
      <c r="G77" s="11">
        <v>104.9</v>
      </c>
      <c r="H77" s="11">
        <v>111.4</v>
      </c>
      <c r="I77" s="11">
        <v>94.5</v>
      </c>
      <c r="J77" s="11">
        <v>91.9</v>
      </c>
      <c r="K77" s="11">
        <v>101.9</v>
      </c>
      <c r="L77" s="11">
        <v>103</v>
      </c>
      <c r="M77" s="11">
        <v>112.9</v>
      </c>
      <c r="N77" s="11">
        <v>98.8</v>
      </c>
      <c r="O77" s="11" t="s">
        <v>1127</v>
      </c>
      <c r="P77" s="27" t="s">
        <v>92</v>
      </c>
    </row>
    <row r="78" spans="1:16" ht="19.2" x14ac:dyDescent="0.3">
      <c r="A78" s="10" t="s">
        <v>93</v>
      </c>
      <c r="B78" s="11">
        <v>99.2</v>
      </c>
      <c r="C78" s="11">
        <v>103.5</v>
      </c>
      <c r="D78" s="11">
        <v>107.4</v>
      </c>
      <c r="E78" s="11">
        <v>110.6</v>
      </c>
      <c r="F78" s="11">
        <v>105.3</v>
      </c>
      <c r="G78" s="11">
        <v>124</v>
      </c>
      <c r="H78" s="11">
        <v>104.9</v>
      </c>
      <c r="I78" s="11">
        <v>100.6</v>
      </c>
      <c r="J78" s="11">
        <v>102.1</v>
      </c>
      <c r="K78" s="11">
        <v>96.4</v>
      </c>
      <c r="L78" s="11">
        <v>114</v>
      </c>
      <c r="M78" s="11">
        <v>108</v>
      </c>
      <c r="N78" s="11">
        <v>100.6</v>
      </c>
      <c r="O78" s="11">
        <v>149.30000000000001</v>
      </c>
      <c r="P78" s="27" t="s">
        <v>93</v>
      </c>
    </row>
    <row r="79" spans="1:16" ht="19.2" x14ac:dyDescent="0.3">
      <c r="A79" s="10" t="s">
        <v>94</v>
      </c>
      <c r="B79" s="11">
        <v>99.3</v>
      </c>
      <c r="C79" s="11">
        <v>105</v>
      </c>
      <c r="D79" s="11">
        <v>105.2</v>
      </c>
      <c r="E79" s="11">
        <v>110.3</v>
      </c>
      <c r="F79" s="11">
        <v>99</v>
      </c>
      <c r="G79" s="11">
        <v>102.3</v>
      </c>
      <c r="H79" s="11">
        <v>115.1</v>
      </c>
      <c r="I79" s="11">
        <v>93.7</v>
      </c>
      <c r="J79" s="11">
        <v>93.6</v>
      </c>
      <c r="K79" s="11">
        <v>93.9</v>
      </c>
      <c r="L79" s="11">
        <v>115.6</v>
      </c>
      <c r="M79" s="11">
        <v>104.5</v>
      </c>
      <c r="N79" s="11">
        <v>95.5</v>
      </c>
      <c r="O79" s="11" t="s">
        <v>1128</v>
      </c>
      <c r="P79" s="27" t="s">
        <v>94</v>
      </c>
    </row>
    <row r="80" spans="1:16" x14ac:dyDescent="0.3">
      <c r="A80" s="8" t="s">
        <v>95</v>
      </c>
      <c r="B80" s="230">
        <v>100</v>
      </c>
      <c r="C80" s="230">
        <v>107.7</v>
      </c>
      <c r="D80" s="230">
        <v>109.1</v>
      </c>
      <c r="E80" s="230">
        <v>109.5</v>
      </c>
      <c r="F80" s="230">
        <v>101.1</v>
      </c>
      <c r="G80" s="230">
        <v>103.3</v>
      </c>
      <c r="H80" s="230">
        <v>101.9</v>
      </c>
      <c r="I80" s="230">
        <v>91.5</v>
      </c>
      <c r="J80" s="230">
        <v>85.6</v>
      </c>
      <c r="K80" s="230">
        <v>97.3</v>
      </c>
      <c r="L80" s="230">
        <v>111.5</v>
      </c>
      <c r="M80" s="230">
        <v>110</v>
      </c>
      <c r="N80" s="267"/>
      <c r="O80" s="230">
        <v>137</v>
      </c>
      <c r="P80" s="26" t="s">
        <v>95</v>
      </c>
    </row>
    <row r="81" spans="1:16" ht="19.2" x14ac:dyDescent="0.3">
      <c r="A81" s="8" t="s">
        <v>6</v>
      </c>
      <c r="B81" s="230"/>
      <c r="C81" s="230"/>
      <c r="D81" s="230"/>
      <c r="E81" s="230"/>
      <c r="F81" s="230"/>
      <c r="G81" s="230"/>
      <c r="H81" s="230"/>
      <c r="I81" s="230"/>
      <c r="J81" s="230"/>
      <c r="K81" s="230"/>
      <c r="L81" s="230"/>
      <c r="M81" s="230"/>
      <c r="N81" s="267"/>
      <c r="O81" s="230"/>
      <c r="P81" s="26" t="s">
        <v>6</v>
      </c>
    </row>
    <row r="82" spans="1:16" ht="19.2" x14ac:dyDescent="0.3">
      <c r="A82" s="10" t="s">
        <v>96</v>
      </c>
      <c r="B82" s="11">
        <v>98.9</v>
      </c>
      <c r="C82" s="11">
        <v>109.6</v>
      </c>
      <c r="D82" s="11">
        <v>109.2</v>
      </c>
      <c r="E82" s="11">
        <v>115.9</v>
      </c>
      <c r="F82" s="11">
        <v>107.7</v>
      </c>
      <c r="G82" s="11">
        <v>115</v>
      </c>
      <c r="H82" s="11">
        <v>117.1</v>
      </c>
      <c r="I82" s="11">
        <v>79.7</v>
      </c>
      <c r="J82" s="11">
        <v>73.599999999999994</v>
      </c>
      <c r="K82" s="11">
        <v>97.9</v>
      </c>
      <c r="L82" s="11">
        <v>105.5</v>
      </c>
      <c r="M82" s="11">
        <v>107.4</v>
      </c>
      <c r="N82" s="11">
        <v>107.1</v>
      </c>
      <c r="O82" s="11">
        <v>171.9</v>
      </c>
      <c r="P82" s="27" t="s">
        <v>96</v>
      </c>
    </row>
    <row r="83" spans="1:16" ht="28.8" x14ac:dyDescent="0.3">
      <c r="A83" s="15" t="s">
        <v>97</v>
      </c>
      <c r="B83" s="11">
        <v>99.6</v>
      </c>
      <c r="C83" s="11">
        <v>106.6</v>
      </c>
      <c r="D83" s="11">
        <v>106.5</v>
      </c>
      <c r="E83" s="11">
        <v>111.1</v>
      </c>
      <c r="F83" s="11">
        <v>99.6</v>
      </c>
      <c r="G83" s="11">
        <v>116.1</v>
      </c>
      <c r="H83" s="11">
        <v>111.8</v>
      </c>
      <c r="I83" s="11">
        <v>95.7</v>
      </c>
      <c r="J83" s="11">
        <v>90.2</v>
      </c>
      <c r="K83" s="11">
        <v>99.3</v>
      </c>
      <c r="L83" s="11">
        <v>110.9</v>
      </c>
      <c r="M83" s="11">
        <v>104.6</v>
      </c>
      <c r="N83" s="11">
        <v>100.1</v>
      </c>
      <c r="O83" s="11" t="s">
        <v>1129</v>
      </c>
      <c r="P83" s="27" t="s">
        <v>826</v>
      </c>
    </row>
    <row r="84" spans="1:16" ht="19.2" x14ac:dyDescent="0.3">
      <c r="A84" s="10" t="s">
        <v>98</v>
      </c>
      <c r="B84" s="11">
        <v>101</v>
      </c>
      <c r="C84" s="11">
        <v>109.7</v>
      </c>
      <c r="D84" s="11">
        <v>111.4</v>
      </c>
      <c r="E84" s="11">
        <v>108.9</v>
      </c>
      <c r="F84" s="11">
        <v>101.5</v>
      </c>
      <c r="G84" s="11">
        <v>99.9</v>
      </c>
      <c r="H84" s="11">
        <v>99.2</v>
      </c>
      <c r="I84" s="11">
        <v>93.5</v>
      </c>
      <c r="J84" s="11">
        <v>85</v>
      </c>
      <c r="K84" s="11">
        <v>102</v>
      </c>
      <c r="L84" s="11">
        <v>112.6</v>
      </c>
      <c r="M84" s="11">
        <v>114</v>
      </c>
      <c r="N84" s="11">
        <v>101.9</v>
      </c>
      <c r="O84" s="11">
        <v>123.5</v>
      </c>
      <c r="P84" s="27" t="s">
        <v>98</v>
      </c>
    </row>
    <row r="85" spans="1:16" ht="19.2" x14ac:dyDescent="0.3">
      <c r="A85" s="14" t="s">
        <v>42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28" t="s">
        <v>42</v>
      </c>
    </row>
    <row r="86" spans="1:16" ht="48" x14ac:dyDescent="0.3">
      <c r="A86" s="15" t="s">
        <v>1069</v>
      </c>
      <c r="B86" s="267">
        <v>101.7</v>
      </c>
      <c r="C86" s="267">
        <v>108.1</v>
      </c>
      <c r="D86" s="267">
        <v>107.6</v>
      </c>
      <c r="E86" s="267">
        <v>108.4</v>
      </c>
      <c r="F86" s="267">
        <v>102.6</v>
      </c>
      <c r="G86" s="267">
        <v>107.5</v>
      </c>
      <c r="H86" s="267">
        <v>98.5</v>
      </c>
      <c r="I86" s="267">
        <v>98.4</v>
      </c>
      <c r="J86" s="267">
        <v>99.9</v>
      </c>
      <c r="K86" s="267">
        <v>96</v>
      </c>
      <c r="L86" s="267">
        <v>108.8</v>
      </c>
      <c r="M86" s="267">
        <v>109.4</v>
      </c>
      <c r="N86" s="267">
        <v>103.5</v>
      </c>
      <c r="O86" s="267" t="s">
        <v>1130</v>
      </c>
      <c r="P86" s="29" t="s">
        <v>820</v>
      </c>
    </row>
    <row r="87" spans="1:16" ht="19.2" x14ac:dyDescent="0.3">
      <c r="A87" s="15" t="s">
        <v>100</v>
      </c>
      <c r="B87" s="267"/>
      <c r="C87" s="267"/>
      <c r="D87" s="267"/>
      <c r="E87" s="267"/>
      <c r="F87" s="267"/>
      <c r="G87" s="267"/>
      <c r="H87" s="267"/>
      <c r="I87" s="267"/>
      <c r="J87" s="267"/>
      <c r="K87" s="267"/>
      <c r="L87" s="267"/>
      <c r="M87" s="267"/>
      <c r="N87" s="267"/>
      <c r="O87" s="267"/>
      <c r="P87" s="29" t="s">
        <v>100</v>
      </c>
    </row>
    <row r="88" spans="1:16" ht="38.4" x14ac:dyDescent="0.3">
      <c r="A88" t="s">
        <v>101</v>
      </c>
      <c r="B88" s="11">
        <v>100.7</v>
      </c>
      <c r="C88" s="11">
        <v>113</v>
      </c>
      <c r="D88" s="11">
        <v>114.5</v>
      </c>
      <c r="E88" s="11">
        <v>106.6</v>
      </c>
      <c r="F88" s="11">
        <v>100.2</v>
      </c>
      <c r="G88" s="11">
        <v>97.1</v>
      </c>
      <c r="H88" s="11">
        <v>97.1</v>
      </c>
      <c r="I88" s="11">
        <v>80.7</v>
      </c>
      <c r="J88" s="11">
        <v>97</v>
      </c>
      <c r="K88" s="11">
        <v>80.2</v>
      </c>
      <c r="L88" s="11">
        <v>152.6</v>
      </c>
      <c r="M88" s="11">
        <v>115.3</v>
      </c>
      <c r="N88" s="11">
        <v>100.8</v>
      </c>
      <c r="O88" s="11">
        <v>49.7</v>
      </c>
      <c r="P88" s="29" t="s">
        <v>101</v>
      </c>
    </row>
    <row r="89" spans="1:16" ht="48" x14ac:dyDescent="0.3">
      <c r="A89" s="15" t="s">
        <v>1124</v>
      </c>
      <c r="B89" s="267">
        <v>100.4</v>
      </c>
      <c r="C89" s="267">
        <v>109.1</v>
      </c>
      <c r="D89" s="267">
        <v>114.7</v>
      </c>
      <c r="E89" s="267">
        <v>112.5</v>
      </c>
      <c r="F89" s="267">
        <v>101.2</v>
      </c>
      <c r="G89" s="267">
        <v>85</v>
      </c>
      <c r="H89" s="267">
        <v>109.2</v>
      </c>
      <c r="I89" s="267">
        <v>93.5</v>
      </c>
      <c r="J89" s="267">
        <v>83.5</v>
      </c>
      <c r="K89" s="267">
        <v>103.6</v>
      </c>
      <c r="L89" s="267">
        <v>110.7</v>
      </c>
      <c r="M89" s="267">
        <v>118.5</v>
      </c>
      <c r="N89" s="267">
        <v>100.6</v>
      </c>
      <c r="O89" s="267">
        <v>87.3</v>
      </c>
      <c r="P89" s="29" t="s">
        <v>1124</v>
      </c>
    </row>
    <row r="90" spans="1:16" x14ac:dyDescent="0.3">
      <c r="A90" s="15" t="s">
        <v>1125</v>
      </c>
      <c r="B90" s="267"/>
      <c r="C90" s="267"/>
      <c r="D90" s="267"/>
      <c r="E90" s="267"/>
      <c r="F90" s="267"/>
      <c r="G90" s="267"/>
      <c r="H90" s="267"/>
      <c r="I90" s="267"/>
      <c r="J90" s="267"/>
      <c r="K90" s="267"/>
      <c r="L90" s="267"/>
      <c r="M90" s="267"/>
      <c r="N90" s="267"/>
      <c r="O90" s="267"/>
      <c r="P90" s="29" t="s">
        <v>1125</v>
      </c>
    </row>
    <row r="91" spans="1:16" ht="19.2" x14ac:dyDescent="0.3">
      <c r="A91" s="10" t="s">
        <v>103</v>
      </c>
      <c r="B91" s="11">
        <v>99.7</v>
      </c>
      <c r="C91" s="11">
        <v>105.9</v>
      </c>
      <c r="D91" s="11">
        <v>109.6</v>
      </c>
      <c r="E91" s="11">
        <v>110.4</v>
      </c>
      <c r="F91" s="11">
        <v>100.3</v>
      </c>
      <c r="G91" s="11">
        <v>107.8</v>
      </c>
      <c r="H91" s="11">
        <v>110.9</v>
      </c>
      <c r="I91" s="11">
        <v>92.3</v>
      </c>
      <c r="J91" s="11">
        <v>92.8</v>
      </c>
      <c r="K91" s="11">
        <v>92</v>
      </c>
      <c r="L91" s="11">
        <v>111.8</v>
      </c>
      <c r="M91" s="11">
        <v>113.1</v>
      </c>
      <c r="N91" s="11">
        <v>101.1</v>
      </c>
      <c r="O91" s="11">
        <v>155.30000000000001</v>
      </c>
      <c r="P91" s="27" t="s">
        <v>103</v>
      </c>
    </row>
    <row r="92" spans="1:16" x14ac:dyDescent="0.3">
      <c r="A92" s="8" t="s">
        <v>104</v>
      </c>
      <c r="B92" s="230">
        <v>99.5</v>
      </c>
      <c r="C92" s="230">
        <v>106.7</v>
      </c>
      <c r="D92" s="230">
        <v>109.4</v>
      </c>
      <c r="E92" s="230">
        <v>109.8</v>
      </c>
      <c r="F92" s="230">
        <v>102.4</v>
      </c>
      <c r="G92" s="230">
        <v>103</v>
      </c>
      <c r="H92" s="230">
        <v>99.4</v>
      </c>
      <c r="I92" s="230">
        <v>92.4</v>
      </c>
      <c r="J92" s="230">
        <v>88.3</v>
      </c>
      <c r="K92" s="230">
        <v>97.4</v>
      </c>
      <c r="L92" s="230">
        <v>120.7</v>
      </c>
      <c r="M92" s="230">
        <v>109.4</v>
      </c>
      <c r="N92" s="230"/>
      <c r="O92" s="230">
        <v>109.9</v>
      </c>
      <c r="P92" s="26" t="s">
        <v>104</v>
      </c>
    </row>
    <row r="93" spans="1:16" ht="19.2" x14ac:dyDescent="0.3">
      <c r="A93" s="8" t="s">
        <v>6</v>
      </c>
      <c r="B93" s="230"/>
      <c r="C93" s="230"/>
      <c r="D93" s="230"/>
      <c r="E93" s="230"/>
      <c r="F93" s="230"/>
      <c r="G93" s="230"/>
      <c r="H93" s="230"/>
      <c r="I93" s="230"/>
      <c r="J93" s="230"/>
      <c r="K93" s="230"/>
      <c r="L93" s="230"/>
      <c r="M93" s="230"/>
      <c r="N93" s="230"/>
      <c r="O93" s="230"/>
      <c r="P93" s="26" t="s">
        <v>6</v>
      </c>
    </row>
    <row r="94" spans="1:16" ht="19.2" x14ac:dyDescent="0.3">
      <c r="A94" s="10" t="s">
        <v>105</v>
      </c>
      <c r="B94" s="11">
        <v>99.99</v>
      </c>
      <c r="C94" s="11">
        <v>111.2</v>
      </c>
      <c r="D94" s="11">
        <v>108.2</v>
      </c>
      <c r="E94" s="11">
        <v>112.7</v>
      </c>
      <c r="F94" s="11">
        <v>109.4</v>
      </c>
      <c r="G94" s="11">
        <v>129.19999999999999</v>
      </c>
      <c r="H94" s="11">
        <v>109.4</v>
      </c>
      <c r="I94" s="11">
        <v>95.4</v>
      </c>
      <c r="J94" s="11">
        <v>84.5</v>
      </c>
      <c r="K94" s="11">
        <v>98.5</v>
      </c>
      <c r="L94" s="11">
        <v>115.6</v>
      </c>
      <c r="M94" s="11">
        <v>107.1</v>
      </c>
      <c r="N94" s="11">
        <v>108.8</v>
      </c>
      <c r="O94" s="11">
        <v>136.19999999999999</v>
      </c>
      <c r="P94" s="27" t="s">
        <v>105</v>
      </c>
    </row>
    <row r="95" spans="1:16" ht="19.2" x14ac:dyDescent="0.3">
      <c r="A95" s="10" t="s">
        <v>106</v>
      </c>
      <c r="B95" s="11">
        <v>100.1</v>
      </c>
      <c r="C95" s="11">
        <v>110.7</v>
      </c>
      <c r="D95" s="11">
        <v>113.6</v>
      </c>
      <c r="E95" s="11">
        <v>104.2</v>
      </c>
      <c r="F95" s="11">
        <v>108.9</v>
      </c>
      <c r="G95" s="11">
        <v>103.7</v>
      </c>
      <c r="H95" s="11">
        <v>97.4</v>
      </c>
      <c r="I95" s="11">
        <v>96.9</v>
      </c>
      <c r="J95" s="11">
        <v>96</v>
      </c>
      <c r="K95" s="11">
        <v>97.1</v>
      </c>
      <c r="L95" s="11">
        <v>123.7</v>
      </c>
      <c r="M95" s="11">
        <v>118</v>
      </c>
      <c r="N95" s="11">
        <v>102.8</v>
      </c>
      <c r="O95" s="11">
        <v>53.6</v>
      </c>
      <c r="P95" s="27" t="s">
        <v>106</v>
      </c>
    </row>
    <row r="96" spans="1:16" ht="19.2" x14ac:dyDescent="0.3">
      <c r="A96" s="10" t="s">
        <v>107</v>
      </c>
      <c r="B96" s="11">
        <v>99.6</v>
      </c>
      <c r="C96" s="11">
        <v>106.5</v>
      </c>
      <c r="D96" s="11">
        <v>113.7</v>
      </c>
      <c r="E96" s="11">
        <v>108</v>
      </c>
      <c r="F96" s="11">
        <v>97.7</v>
      </c>
      <c r="G96" s="11">
        <v>103</v>
      </c>
      <c r="H96" s="11">
        <v>105.2</v>
      </c>
      <c r="I96" s="11">
        <v>100.6</v>
      </c>
      <c r="J96" s="11">
        <v>113.4</v>
      </c>
      <c r="K96" s="11">
        <v>94</v>
      </c>
      <c r="L96" s="11">
        <v>116.1</v>
      </c>
      <c r="M96" s="11">
        <v>113.5</v>
      </c>
      <c r="N96" s="11">
        <v>96.2</v>
      </c>
      <c r="O96" s="11">
        <v>46.8</v>
      </c>
      <c r="P96" s="27" t="s">
        <v>107</v>
      </c>
    </row>
    <row r="97" spans="1:16" ht="19.2" x14ac:dyDescent="0.3">
      <c r="A97" s="10" t="s">
        <v>108</v>
      </c>
      <c r="B97" s="11">
        <v>99.3</v>
      </c>
      <c r="C97" s="11">
        <v>103.3</v>
      </c>
      <c r="D97" s="11">
        <v>103.5</v>
      </c>
      <c r="E97" s="11">
        <v>110.6</v>
      </c>
      <c r="F97" s="11">
        <v>102.2</v>
      </c>
      <c r="G97" s="11">
        <v>109.6</v>
      </c>
      <c r="H97" s="11">
        <v>107.2</v>
      </c>
      <c r="I97" s="11">
        <v>93.1</v>
      </c>
      <c r="J97" s="11">
        <v>90.6</v>
      </c>
      <c r="K97" s="11">
        <v>98.7</v>
      </c>
      <c r="L97" s="11">
        <v>102.4</v>
      </c>
      <c r="M97" s="11">
        <v>103</v>
      </c>
      <c r="N97" s="11">
        <v>96.7</v>
      </c>
      <c r="O97" s="11">
        <v>112.5</v>
      </c>
      <c r="P97" s="27" t="s">
        <v>108</v>
      </c>
    </row>
    <row r="98" spans="1:16" ht="19.2" x14ac:dyDescent="0.3">
      <c r="A98" s="10" t="s">
        <v>109</v>
      </c>
      <c r="B98" s="11">
        <v>100</v>
      </c>
      <c r="C98" s="11">
        <v>110</v>
      </c>
      <c r="D98" s="11">
        <v>109</v>
      </c>
      <c r="E98" s="11">
        <v>106.7</v>
      </c>
      <c r="F98" s="11">
        <v>102.5</v>
      </c>
      <c r="G98" s="11">
        <v>109.6</v>
      </c>
      <c r="H98" s="11">
        <v>94.2</v>
      </c>
      <c r="I98" s="11">
        <v>96.1</v>
      </c>
      <c r="J98" s="11">
        <v>95.2</v>
      </c>
      <c r="K98" s="11">
        <v>97.3</v>
      </c>
      <c r="L98" s="11">
        <v>116.8</v>
      </c>
      <c r="M98" s="11">
        <v>108.4</v>
      </c>
      <c r="N98" s="11">
        <v>104.9</v>
      </c>
      <c r="O98" s="11">
        <v>151.19999999999999</v>
      </c>
      <c r="P98" s="27" t="s">
        <v>109</v>
      </c>
    </row>
    <row r="99" spans="1:16" ht="19.2" x14ac:dyDescent="0.3">
      <c r="A99" s="10" t="s">
        <v>110</v>
      </c>
      <c r="B99" s="11">
        <v>99.4</v>
      </c>
      <c r="C99" s="11">
        <v>105.3</v>
      </c>
      <c r="D99" s="11">
        <v>111.2</v>
      </c>
      <c r="E99" s="11">
        <v>107.6</v>
      </c>
      <c r="F99" s="11">
        <v>104.3</v>
      </c>
      <c r="G99" s="11">
        <v>97.6</v>
      </c>
      <c r="H99" s="11">
        <v>98</v>
      </c>
      <c r="I99" s="11">
        <v>97.6</v>
      </c>
      <c r="J99" s="11">
        <v>93.2</v>
      </c>
      <c r="K99" s="11">
        <v>100.4</v>
      </c>
      <c r="L99" s="11">
        <v>119.1</v>
      </c>
      <c r="M99" s="11">
        <v>111.2</v>
      </c>
      <c r="N99" s="11">
        <v>101.7</v>
      </c>
      <c r="O99" s="11">
        <v>133.1</v>
      </c>
      <c r="P99" s="27" t="s">
        <v>110</v>
      </c>
    </row>
    <row r="100" spans="1:16" ht="19.2" x14ac:dyDescent="0.3">
      <c r="A100" s="10" t="s">
        <v>111</v>
      </c>
      <c r="B100" s="11">
        <v>99.2</v>
      </c>
      <c r="C100" s="11">
        <v>108.8</v>
      </c>
      <c r="D100" s="11">
        <v>109.9</v>
      </c>
      <c r="E100" s="11">
        <v>110.4</v>
      </c>
      <c r="F100" s="11">
        <v>99.4</v>
      </c>
      <c r="G100" s="11">
        <v>98</v>
      </c>
      <c r="H100" s="11">
        <v>98.7</v>
      </c>
      <c r="I100" s="11">
        <v>86.2</v>
      </c>
      <c r="J100" s="11">
        <v>75.900000000000006</v>
      </c>
      <c r="K100" s="11">
        <v>99.5</v>
      </c>
      <c r="L100" s="11">
        <v>114.4</v>
      </c>
      <c r="M100" s="11">
        <v>110.7</v>
      </c>
      <c r="N100" s="11">
        <v>99.2</v>
      </c>
      <c r="O100" s="11">
        <v>50.3</v>
      </c>
      <c r="P100" s="27" t="s">
        <v>111</v>
      </c>
    </row>
    <row r="101" spans="1:16" ht="19.2" x14ac:dyDescent="0.3">
      <c r="A101" s="10" t="s">
        <v>827</v>
      </c>
      <c r="B101" s="11">
        <v>99.8</v>
      </c>
      <c r="C101" s="11">
        <v>107.1</v>
      </c>
      <c r="D101" s="11">
        <v>111.3</v>
      </c>
      <c r="E101" s="11">
        <v>113.8</v>
      </c>
      <c r="F101" s="11">
        <v>102.9</v>
      </c>
      <c r="G101" s="11">
        <v>101.4</v>
      </c>
      <c r="H101" s="11">
        <v>108.5</v>
      </c>
      <c r="I101" s="11">
        <v>86.9</v>
      </c>
      <c r="J101" s="11">
        <v>80</v>
      </c>
      <c r="K101" s="11">
        <v>93.3</v>
      </c>
      <c r="L101" s="11">
        <v>134.4</v>
      </c>
      <c r="M101" s="11">
        <v>111</v>
      </c>
      <c r="N101" s="11">
        <v>104</v>
      </c>
      <c r="O101" s="11">
        <v>111.2</v>
      </c>
      <c r="P101" s="27" t="s">
        <v>827</v>
      </c>
    </row>
    <row r="102" spans="1:16" ht="19.2" x14ac:dyDescent="0.3">
      <c r="A102" s="10" t="s">
        <v>113</v>
      </c>
      <c r="B102" s="11">
        <v>99.2</v>
      </c>
      <c r="C102" s="11">
        <v>104.5</v>
      </c>
      <c r="D102" s="11">
        <v>108.9</v>
      </c>
      <c r="E102" s="11">
        <v>112.2</v>
      </c>
      <c r="F102" s="11">
        <v>105.9</v>
      </c>
      <c r="G102" s="11">
        <v>98.5</v>
      </c>
      <c r="H102" s="11">
        <v>106.2</v>
      </c>
      <c r="I102" s="11">
        <v>92.5</v>
      </c>
      <c r="J102" s="11">
        <v>88.7</v>
      </c>
      <c r="K102" s="11">
        <v>97.6</v>
      </c>
      <c r="L102" s="11">
        <v>107.2</v>
      </c>
      <c r="M102" s="11">
        <v>109</v>
      </c>
      <c r="N102" s="11">
        <v>107</v>
      </c>
      <c r="O102" s="11">
        <v>147.1</v>
      </c>
      <c r="P102" s="27" t="s">
        <v>113</v>
      </c>
    </row>
    <row r="103" spans="1:16" ht="19.2" x14ac:dyDescent="0.3">
      <c r="A103" s="10" t="s">
        <v>114</v>
      </c>
      <c r="B103" s="11">
        <v>99.2</v>
      </c>
      <c r="C103" s="11">
        <v>102.6</v>
      </c>
      <c r="D103" s="11">
        <v>110.6</v>
      </c>
      <c r="E103" s="11">
        <v>110.6</v>
      </c>
      <c r="F103" s="11">
        <v>100.2</v>
      </c>
      <c r="G103" s="11">
        <v>111</v>
      </c>
      <c r="H103" s="11">
        <v>103.8</v>
      </c>
      <c r="I103" s="11">
        <v>94.6</v>
      </c>
      <c r="J103" s="11">
        <v>86.5</v>
      </c>
      <c r="K103" s="11">
        <v>98.7</v>
      </c>
      <c r="L103" s="11">
        <v>147</v>
      </c>
      <c r="M103" s="11">
        <v>110.5</v>
      </c>
      <c r="N103" s="11">
        <v>98.4</v>
      </c>
      <c r="O103" s="11">
        <v>175.8</v>
      </c>
      <c r="P103" s="27" t="s">
        <v>114</v>
      </c>
    </row>
    <row r="104" spans="1:16" ht="19.2" x14ac:dyDescent="0.3">
      <c r="A104" s="8" t="s">
        <v>115</v>
      </c>
      <c r="B104" s="230">
        <v>99.5</v>
      </c>
      <c r="C104" s="230">
        <v>103.5</v>
      </c>
      <c r="D104" s="230">
        <v>102.6</v>
      </c>
      <c r="E104" s="230">
        <v>107.2</v>
      </c>
      <c r="F104" s="230">
        <v>99.8</v>
      </c>
      <c r="G104" s="230">
        <v>120.4</v>
      </c>
      <c r="H104" s="230">
        <v>106.1</v>
      </c>
      <c r="I104" s="230">
        <v>94.7</v>
      </c>
      <c r="J104" s="230">
        <v>93.6</v>
      </c>
      <c r="K104" s="230">
        <v>96.4</v>
      </c>
      <c r="L104" s="230">
        <v>125.6</v>
      </c>
      <c r="M104" s="230">
        <v>103.8</v>
      </c>
      <c r="N104" s="267"/>
      <c r="O104" s="267" t="s">
        <v>1131</v>
      </c>
      <c r="P104" s="26" t="s">
        <v>115</v>
      </c>
    </row>
    <row r="105" spans="1:16" ht="19.2" x14ac:dyDescent="0.3">
      <c r="A105" s="8" t="s">
        <v>6</v>
      </c>
      <c r="B105" s="230"/>
      <c r="C105" s="230"/>
      <c r="D105" s="230"/>
      <c r="E105" s="230"/>
      <c r="F105" s="230"/>
      <c r="G105" s="230"/>
      <c r="H105" s="230"/>
      <c r="I105" s="230"/>
      <c r="J105" s="230"/>
      <c r="K105" s="230"/>
      <c r="L105" s="230"/>
      <c r="M105" s="230"/>
      <c r="N105" s="267"/>
      <c r="O105" s="267"/>
      <c r="P105" s="26" t="s">
        <v>6</v>
      </c>
    </row>
    <row r="106" spans="1:16" ht="19.2" x14ac:dyDescent="0.3">
      <c r="A106" s="10" t="s">
        <v>116</v>
      </c>
      <c r="B106" s="11">
        <v>99.7</v>
      </c>
      <c r="C106" s="11">
        <v>102.5</v>
      </c>
      <c r="D106" s="11">
        <v>104.2</v>
      </c>
      <c r="E106" s="11">
        <v>108.3</v>
      </c>
      <c r="F106" s="11">
        <v>110.3</v>
      </c>
      <c r="G106" s="11">
        <v>123.5</v>
      </c>
      <c r="H106" s="11">
        <v>97.1</v>
      </c>
      <c r="I106" s="11">
        <v>103.1</v>
      </c>
      <c r="J106" s="11">
        <v>103.1</v>
      </c>
      <c r="K106" s="11">
        <v>103</v>
      </c>
      <c r="L106" s="11">
        <v>160.9</v>
      </c>
      <c r="M106" s="11">
        <v>105.8</v>
      </c>
      <c r="N106" s="11">
        <v>112.2</v>
      </c>
      <c r="O106" s="11">
        <v>61</v>
      </c>
      <c r="P106" s="27" t="s">
        <v>116</v>
      </c>
    </row>
    <row r="107" spans="1:16" ht="28.8" x14ac:dyDescent="0.3">
      <c r="A107" s="10" t="s">
        <v>117</v>
      </c>
      <c r="B107" s="11">
        <v>100.4</v>
      </c>
      <c r="C107" s="11">
        <v>108.5</v>
      </c>
      <c r="D107" s="11">
        <v>102.3</v>
      </c>
      <c r="E107" s="11">
        <v>105.7</v>
      </c>
      <c r="F107" s="11">
        <v>104</v>
      </c>
      <c r="G107" s="11">
        <v>104.4</v>
      </c>
      <c r="H107" s="11">
        <v>101.8</v>
      </c>
      <c r="I107" s="11">
        <v>101.2</v>
      </c>
      <c r="J107" s="11">
        <v>102.1</v>
      </c>
      <c r="K107" s="11">
        <v>100.6</v>
      </c>
      <c r="L107" s="11">
        <v>120.8</v>
      </c>
      <c r="M107" s="11">
        <v>104.6</v>
      </c>
      <c r="N107" s="11">
        <v>101.4</v>
      </c>
      <c r="O107" s="11">
        <v>110.9</v>
      </c>
      <c r="P107" s="27" t="s">
        <v>117</v>
      </c>
    </row>
    <row r="108" spans="1:16" ht="19.2" x14ac:dyDescent="0.3">
      <c r="A108" s="10" t="s">
        <v>118</v>
      </c>
      <c r="B108" s="11">
        <v>99.2</v>
      </c>
      <c r="C108" s="11">
        <v>102.5</v>
      </c>
      <c r="D108" s="11">
        <v>102.3</v>
      </c>
      <c r="E108" s="11">
        <v>109.6</v>
      </c>
      <c r="F108" s="11">
        <v>97</v>
      </c>
      <c r="G108" s="11">
        <v>130.19999999999999</v>
      </c>
      <c r="H108" s="11">
        <v>102.7</v>
      </c>
      <c r="I108" s="11">
        <v>94.5</v>
      </c>
      <c r="J108" s="11">
        <v>93.8</v>
      </c>
      <c r="K108" s="11">
        <v>94.8</v>
      </c>
      <c r="L108" s="11">
        <v>134.19999999999999</v>
      </c>
      <c r="M108" s="11">
        <v>100.5</v>
      </c>
      <c r="N108" s="11">
        <v>99.9</v>
      </c>
      <c r="O108" s="11">
        <v>169.9</v>
      </c>
      <c r="P108" s="27" t="s">
        <v>118</v>
      </c>
    </row>
    <row r="109" spans="1:16" ht="19.2" x14ac:dyDescent="0.3">
      <c r="A109" s="10" t="s">
        <v>119</v>
      </c>
      <c r="B109" s="11">
        <v>100.1</v>
      </c>
      <c r="C109" s="11">
        <v>103.8</v>
      </c>
      <c r="D109" s="11">
        <v>103.5</v>
      </c>
      <c r="E109" s="11">
        <v>107.5</v>
      </c>
      <c r="F109" s="11">
        <v>91.3</v>
      </c>
      <c r="G109" s="11">
        <v>124.1</v>
      </c>
      <c r="H109" s="11">
        <v>130.9</v>
      </c>
      <c r="I109" s="11">
        <v>99.1</v>
      </c>
      <c r="J109" s="11">
        <v>98.5</v>
      </c>
      <c r="K109" s="11">
        <v>99.7</v>
      </c>
      <c r="L109" s="11">
        <v>129.1</v>
      </c>
      <c r="M109" s="11">
        <v>107.8</v>
      </c>
      <c r="N109" s="11">
        <v>95.7</v>
      </c>
      <c r="O109" s="11">
        <v>175.2</v>
      </c>
      <c r="P109" s="27" t="s">
        <v>119</v>
      </c>
    </row>
    <row r="110" spans="1:16" ht="19.2" x14ac:dyDescent="0.3">
      <c r="A110" s="10" t="s">
        <v>120</v>
      </c>
      <c r="B110" s="11">
        <v>99.2</v>
      </c>
      <c r="C110" s="11">
        <v>101.3</v>
      </c>
      <c r="D110" s="11">
        <v>102.7</v>
      </c>
      <c r="E110" s="11">
        <v>109</v>
      </c>
      <c r="F110" s="11">
        <v>102.6</v>
      </c>
      <c r="G110" s="11">
        <v>115</v>
      </c>
      <c r="H110" s="11">
        <v>98.8</v>
      </c>
      <c r="I110" s="11">
        <v>87</v>
      </c>
      <c r="J110" s="11">
        <v>82.7</v>
      </c>
      <c r="K110" s="11">
        <v>93.8</v>
      </c>
      <c r="L110" s="11">
        <v>115.8</v>
      </c>
      <c r="M110" s="11">
        <v>104</v>
      </c>
      <c r="N110" s="11">
        <v>104</v>
      </c>
      <c r="O110" s="11" t="s">
        <v>44</v>
      </c>
      <c r="P110" s="27" t="s">
        <v>120</v>
      </c>
    </row>
    <row r="111" spans="1:16" ht="19.2" x14ac:dyDescent="0.3">
      <c r="A111" s="10" t="s">
        <v>828</v>
      </c>
      <c r="B111" s="11">
        <v>99.5</v>
      </c>
      <c r="C111" s="11">
        <v>105</v>
      </c>
      <c r="D111" s="11">
        <v>104.8</v>
      </c>
      <c r="E111" s="11">
        <v>109.3</v>
      </c>
      <c r="F111" s="11">
        <v>97.1</v>
      </c>
      <c r="G111" s="11">
        <v>138.5</v>
      </c>
      <c r="H111" s="11">
        <v>100</v>
      </c>
      <c r="I111" s="11">
        <v>94.4</v>
      </c>
      <c r="J111" s="11">
        <v>104.3</v>
      </c>
      <c r="K111" s="11">
        <v>80.2</v>
      </c>
      <c r="L111" s="11">
        <v>154.4</v>
      </c>
      <c r="M111" s="11">
        <v>104.7</v>
      </c>
      <c r="N111" s="11">
        <v>97.5</v>
      </c>
      <c r="O111" s="11" t="s">
        <v>1123</v>
      </c>
      <c r="P111" s="27" t="s">
        <v>828</v>
      </c>
    </row>
    <row r="112" spans="1:16" ht="19.2" x14ac:dyDescent="0.3">
      <c r="A112" s="10" t="s">
        <v>122</v>
      </c>
      <c r="B112" s="11">
        <v>99.2</v>
      </c>
      <c r="C112" s="11">
        <v>99.9</v>
      </c>
      <c r="D112" s="11">
        <v>101.7</v>
      </c>
      <c r="E112" s="11">
        <v>102.9</v>
      </c>
      <c r="F112" s="11">
        <v>102.2</v>
      </c>
      <c r="G112" s="11">
        <v>143.4</v>
      </c>
      <c r="H112" s="11">
        <v>97.2</v>
      </c>
      <c r="I112" s="11">
        <v>94.2</v>
      </c>
      <c r="J112" s="11">
        <v>93.5</v>
      </c>
      <c r="K112" s="11">
        <v>96.6</v>
      </c>
      <c r="L112" s="11">
        <v>131.1</v>
      </c>
      <c r="M112" s="11">
        <v>102</v>
      </c>
      <c r="N112" s="11">
        <v>102.6</v>
      </c>
      <c r="O112" s="11" t="s">
        <v>44</v>
      </c>
      <c r="P112" s="27" t="s">
        <v>122</v>
      </c>
    </row>
    <row r="113" spans="1:16" ht="19.2" x14ac:dyDescent="0.3">
      <c r="A113" s="10" t="s">
        <v>123</v>
      </c>
      <c r="B113" s="11">
        <v>99.3</v>
      </c>
      <c r="C113" s="11">
        <v>101.7</v>
      </c>
      <c r="D113" s="11">
        <v>105.1</v>
      </c>
      <c r="E113" s="11">
        <v>104.4</v>
      </c>
      <c r="F113" s="11">
        <v>92.3</v>
      </c>
      <c r="G113" s="11">
        <v>109.2</v>
      </c>
      <c r="H113" s="11">
        <v>92.9</v>
      </c>
      <c r="I113" s="11">
        <v>106</v>
      </c>
      <c r="J113" s="11">
        <v>107.1</v>
      </c>
      <c r="K113" s="11">
        <v>103.4</v>
      </c>
      <c r="L113" s="11">
        <v>103.8</v>
      </c>
      <c r="M113" s="11">
        <v>100</v>
      </c>
      <c r="N113" s="11">
        <v>95.9</v>
      </c>
      <c r="O113" s="11">
        <v>158.80000000000001</v>
      </c>
      <c r="P113" s="27" t="s">
        <v>123</v>
      </c>
    </row>
    <row r="114" spans="1:16" ht="19.2" x14ac:dyDescent="0.3">
      <c r="A114" s="10" t="s">
        <v>124</v>
      </c>
      <c r="B114" s="11">
        <v>99.4</v>
      </c>
      <c r="C114" s="11">
        <v>103.3</v>
      </c>
      <c r="D114" s="11">
        <v>95.3</v>
      </c>
      <c r="E114" s="11">
        <v>104.8</v>
      </c>
      <c r="F114" s="11">
        <v>95.5</v>
      </c>
      <c r="G114" s="11">
        <v>104</v>
      </c>
      <c r="H114" s="11">
        <v>117.5</v>
      </c>
      <c r="I114" s="11">
        <v>96.4</v>
      </c>
      <c r="J114" s="11">
        <v>93</v>
      </c>
      <c r="K114" s="11">
        <v>102.4</v>
      </c>
      <c r="L114" s="11">
        <v>101.7</v>
      </c>
      <c r="M114" s="11">
        <v>100.9</v>
      </c>
      <c r="N114" s="11">
        <v>93.9</v>
      </c>
      <c r="O114" s="11" t="s">
        <v>1123</v>
      </c>
      <c r="P114" s="27" t="s">
        <v>124</v>
      </c>
    </row>
    <row r="115" spans="1:16" ht="28.8" x14ac:dyDescent="0.3">
      <c r="A115" s="10" t="s">
        <v>125</v>
      </c>
      <c r="B115" s="11">
        <v>98.9</v>
      </c>
      <c r="C115" s="11">
        <v>106.6</v>
      </c>
      <c r="D115" s="11">
        <v>109.4</v>
      </c>
      <c r="E115" s="11">
        <v>108.3</v>
      </c>
      <c r="F115" s="11">
        <v>97.7</v>
      </c>
      <c r="G115" s="11">
        <v>128.80000000000001</v>
      </c>
      <c r="H115" s="11">
        <v>94.3</v>
      </c>
      <c r="I115" s="11">
        <v>114.1</v>
      </c>
      <c r="J115" s="11">
        <v>117.7</v>
      </c>
      <c r="K115" s="11">
        <v>99.4</v>
      </c>
      <c r="L115" s="11">
        <v>101.6</v>
      </c>
      <c r="M115" s="11">
        <v>110.4</v>
      </c>
      <c r="N115" s="11">
        <v>98.4</v>
      </c>
      <c r="O115" s="11" t="s">
        <v>44</v>
      </c>
      <c r="P115" s="27" t="s">
        <v>125</v>
      </c>
    </row>
    <row r="116" spans="1:16" ht="28.8" x14ac:dyDescent="0.3">
      <c r="A116" s="10" t="s">
        <v>126</v>
      </c>
      <c r="B116" s="11">
        <v>100.4</v>
      </c>
      <c r="C116" s="11">
        <v>107.5</v>
      </c>
      <c r="D116" s="11">
        <v>107.1</v>
      </c>
      <c r="E116" s="11">
        <v>106.8</v>
      </c>
      <c r="F116" s="11">
        <v>94.5</v>
      </c>
      <c r="G116" s="11">
        <v>100.4</v>
      </c>
      <c r="H116" s="11">
        <v>109.9</v>
      </c>
      <c r="I116" s="11">
        <v>91.5</v>
      </c>
      <c r="J116" s="11">
        <v>101.5</v>
      </c>
      <c r="K116" s="11">
        <v>88.1</v>
      </c>
      <c r="L116" s="11">
        <v>176.4</v>
      </c>
      <c r="M116" s="11">
        <v>101</v>
      </c>
      <c r="N116" s="11">
        <v>95.7</v>
      </c>
      <c r="O116" s="11" t="s">
        <v>1132</v>
      </c>
      <c r="P116" s="27" t="s">
        <v>126</v>
      </c>
    </row>
  </sheetData>
  <mergeCells count="84">
    <mergeCell ref="O92:O93"/>
    <mergeCell ref="I104:I105"/>
    <mergeCell ref="J104:J105"/>
    <mergeCell ref="K104:K105"/>
    <mergeCell ref="L104:L105"/>
    <mergeCell ref="M104:M105"/>
    <mergeCell ref="N104:N105"/>
    <mergeCell ref="O104:O105"/>
    <mergeCell ref="I92:I93"/>
    <mergeCell ref="J92:J93"/>
    <mergeCell ref="K92:K93"/>
    <mergeCell ref="L92:L93"/>
    <mergeCell ref="M92:M93"/>
    <mergeCell ref="N92:N93"/>
    <mergeCell ref="O86:O87"/>
    <mergeCell ref="I89:I90"/>
    <mergeCell ref="J89:J90"/>
    <mergeCell ref="K89:K90"/>
    <mergeCell ref="L89:L90"/>
    <mergeCell ref="M89:M90"/>
    <mergeCell ref="N89:N90"/>
    <mergeCell ref="O89:O90"/>
    <mergeCell ref="I86:I87"/>
    <mergeCell ref="J86:J87"/>
    <mergeCell ref="K86:K87"/>
    <mergeCell ref="L86:L87"/>
    <mergeCell ref="M86:M87"/>
    <mergeCell ref="N86:N87"/>
    <mergeCell ref="O64:O65"/>
    <mergeCell ref="I80:I81"/>
    <mergeCell ref="J80:J81"/>
    <mergeCell ref="K80:K81"/>
    <mergeCell ref="L80:L81"/>
    <mergeCell ref="M80:M81"/>
    <mergeCell ref="N80:N81"/>
    <mergeCell ref="O80:O81"/>
    <mergeCell ref="I64:I65"/>
    <mergeCell ref="J64:J65"/>
    <mergeCell ref="K64:K65"/>
    <mergeCell ref="L64:L65"/>
    <mergeCell ref="M64:M65"/>
    <mergeCell ref="N64:N65"/>
    <mergeCell ref="H92:H93"/>
    <mergeCell ref="B104:B105"/>
    <mergeCell ref="C104:C105"/>
    <mergeCell ref="D104:D105"/>
    <mergeCell ref="E104:E105"/>
    <mergeCell ref="F104:F105"/>
    <mergeCell ref="G104:G105"/>
    <mergeCell ref="H104:H105"/>
    <mergeCell ref="B92:B93"/>
    <mergeCell ref="C92:C93"/>
    <mergeCell ref="D92:D93"/>
    <mergeCell ref="E92:E93"/>
    <mergeCell ref="F92:F93"/>
    <mergeCell ref="G92:G93"/>
    <mergeCell ref="H86:H87"/>
    <mergeCell ref="B89:B90"/>
    <mergeCell ref="C89:C90"/>
    <mergeCell ref="D89:D90"/>
    <mergeCell ref="E89:E90"/>
    <mergeCell ref="F89:F90"/>
    <mergeCell ref="G89:G90"/>
    <mergeCell ref="H89:H90"/>
    <mergeCell ref="B86:B87"/>
    <mergeCell ref="C86:C87"/>
    <mergeCell ref="D86:D87"/>
    <mergeCell ref="E86:E87"/>
    <mergeCell ref="F86:F87"/>
    <mergeCell ref="G86:G87"/>
    <mergeCell ref="H64:H65"/>
    <mergeCell ref="B80:B81"/>
    <mergeCell ref="C80:C81"/>
    <mergeCell ref="D80:D81"/>
    <mergeCell ref="E80:E81"/>
    <mergeCell ref="F80:F81"/>
    <mergeCell ref="G80:G81"/>
    <mergeCell ref="H80:H81"/>
    <mergeCell ref="B64:B65"/>
    <mergeCell ref="C64:C65"/>
    <mergeCell ref="D64:D65"/>
    <mergeCell ref="E64:E65"/>
    <mergeCell ref="F64:F65"/>
    <mergeCell ref="G64:G6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D9B27-3A12-456D-8D75-9CF0633D2273}">
  <dimension ref="A1:V126"/>
  <sheetViews>
    <sheetView workbookViewId="0">
      <selection activeCell="I14" sqref="I14"/>
    </sheetView>
  </sheetViews>
  <sheetFormatPr defaultRowHeight="14.4" x14ac:dyDescent="0.3"/>
  <cols>
    <col min="7" max="7" width="11" bestFit="1" customWidth="1"/>
  </cols>
  <sheetData>
    <row r="1" spans="1:22" ht="67.2" customHeight="1" x14ac:dyDescent="0.3">
      <c r="A1" s="136"/>
      <c r="B1" s="136" t="s">
        <v>1133</v>
      </c>
      <c r="C1" s="132" t="s">
        <v>1073</v>
      </c>
      <c r="D1" s="139" t="s">
        <v>1137</v>
      </c>
      <c r="E1" s="136" t="s">
        <v>1137</v>
      </c>
      <c r="F1" s="139" t="s">
        <v>1142</v>
      </c>
      <c r="G1" s="136" t="s">
        <v>1137</v>
      </c>
      <c r="H1" s="115" t="s">
        <v>1090</v>
      </c>
      <c r="I1" s="115"/>
      <c r="J1" s="115" t="s">
        <v>1094</v>
      </c>
      <c r="K1" s="115" t="s">
        <v>1156</v>
      </c>
      <c r="L1" s="131" t="s">
        <v>1164</v>
      </c>
      <c r="M1" s="139"/>
      <c r="N1" s="139"/>
      <c r="O1" s="132"/>
      <c r="P1" s="115" t="s">
        <v>1098</v>
      </c>
      <c r="Q1" s="131" t="s">
        <v>1102</v>
      </c>
      <c r="R1" s="132"/>
      <c r="S1" s="115" t="s">
        <v>1103</v>
      </c>
      <c r="T1" s="115" t="s">
        <v>1107</v>
      </c>
      <c r="U1" s="115" t="s">
        <v>1173</v>
      </c>
      <c r="V1" s="136"/>
    </row>
    <row r="2" spans="1:22" ht="25.2" x14ac:dyDescent="0.3">
      <c r="A2" s="137"/>
      <c r="B2" s="137" t="s">
        <v>1134</v>
      </c>
      <c r="C2" s="134" t="s">
        <v>1074</v>
      </c>
      <c r="D2" s="140" t="s">
        <v>1138</v>
      </c>
      <c r="E2" s="137" t="s">
        <v>1140</v>
      </c>
      <c r="F2" s="140" t="s">
        <v>1143</v>
      </c>
      <c r="G2" s="137" t="s">
        <v>1146</v>
      </c>
      <c r="H2" s="116" t="s">
        <v>1091</v>
      </c>
      <c r="I2" s="116"/>
      <c r="J2" s="116" t="s">
        <v>1095</v>
      </c>
      <c r="K2" s="116" t="s">
        <v>1157</v>
      </c>
      <c r="L2" s="133" t="s">
        <v>1154</v>
      </c>
      <c r="M2" s="140"/>
      <c r="N2" s="140"/>
      <c r="O2" s="134"/>
      <c r="P2" s="116" t="s">
        <v>1099</v>
      </c>
      <c r="Q2" s="133"/>
      <c r="R2" s="134"/>
      <c r="S2" s="116" t="s">
        <v>1104</v>
      </c>
      <c r="T2" s="116" t="s">
        <v>1108</v>
      </c>
      <c r="U2" s="116" t="s">
        <v>1174</v>
      </c>
      <c r="V2" s="137"/>
    </row>
    <row r="3" spans="1:22" x14ac:dyDescent="0.3">
      <c r="A3" s="137"/>
      <c r="B3" s="114" t="s">
        <v>1135</v>
      </c>
      <c r="C3" s="116" t="s">
        <v>1075</v>
      </c>
      <c r="D3" s="113" t="s">
        <v>1139</v>
      </c>
      <c r="E3" s="114" t="s">
        <v>1141</v>
      </c>
      <c r="F3" s="113" t="s">
        <v>1144</v>
      </c>
      <c r="G3" s="114" t="s">
        <v>1147</v>
      </c>
      <c r="H3" s="116" t="s">
        <v>1151</v>
      </c>
      <c r="I3" s="116"/>
      <c r="J3" s="116" t="s">
        <v>1155</v>
      </c>
      <c r="K3" s="116" t="s">
        <v>1158</v>
      </c>
      <c r="L3" s="123"/>
      <c r="M3" s="103"/>
      <c r="N3" s="103"/>
      <c r="O3" s="105"/>
      <c r="P3" s="116" t="s">
        <v>1165</v>
      </c>
      <c r="Q3" s="133"/>
      <c r="R3" s="134"/>
      <c r="S3" s="116" t="s">
        <v>1167</v>
      </c>
      <c r="T3" s="116" t="s">
        <v>1172</v>
      </c>
      <c r="U3" s="116" t="s">
        <v>1154</v>
      </c>
      <c r="V3" s="137"/>
    </row>
    <row r="4" spans="1:22" ht="25.2" x14ac:dyDescent="0.3">
      <c r="A4" s="137"/>
      <c r="B4" s="109"/>
      <c r="C4" s="116" t="s">
        <v>1136</v>
      </c>
      <c r="D4" s="113" t="s">
        <v>502</v>
      </c>
      <c r="E4" s="109"/>
      <c r="F4" s="113" t="s">
        <v>1145</v>
      </c>
      <c r="G4" s="114" t="s">
        <v>1148</v>
      </c>
      <c r="H4" s="116" t="s">
        <v>1152</v>
      </c>
      <c r="I4" s="116"/>
      <c r="J4" s="116" t="s">
        <v>1154</v>
      </c>
      <c r="K4" s="116" t="s">
        <v>1159</v>
      </c>
      <c r="L4" s="123"/>
      <c r="M4" s="103"/>
      <c r="N4" s="103"/>
      <c r="O4" s="105"/>
      <c r="P4" s="116" t="s">
        <v>1166</v>
      </c>
      <c r="Q4" s="133"/>
      <c r="R4" s="134"/>
      <c r="S4" s="116" t="s">
        <v>1168</v>
      </c>
      <c r="T4" s="116" t="s">
        <v>1154</v>
      </c>
      <c r="U4" s="105"/>
      <c r="V4" s="137"/>
    </row>
    <row r="5" spans="1:22" ht="17.399999999999999" x14ac:dyDescent="0.3">
      <c r="A5" s="137"/>
      <c r="B5" s="109"/>
      <c r="C5" s="116" t="s">
        <v>502</v>
      </c>
      <c r="D5" s="103"/>
      <c r="E5" s="109"/>
      <c r="F5" s="113" t="s">
        <v>1141</v>
      </c>
      <c r="G5" s="114" t="s">
        <v>1149</v>
      </c>
      <c r="H5" s="116" t="s">
        <v>1153</v>
      </c>
      <c r="I5" s="116"/>
      <c r="J5" s="105"/>
      <c r="K5" s="116" t="s">
        <v>1160</v>
      </c>
      <c r="L5" s="123"/>
      <c r="M5" s="103"/>
      <c r="N5" s="103"/>
      <c r="O5" s="105"/>
      <c r="P5" s="116" t="s">
        <v>1154</v>
      </c>
      <c r="Q5" s="133"/>
      <c r="R5" s="134"/>
      <c r="S5" s="116" t="s">
        <v>1169</v>
      </c>
      <c r="T5" s="125"/>
      <c r="U5" s="105"/>
      <c r="V5" s="137"/>
    </row>
    <row r="6" spans="1:22" ht="25.8" thickBot="1" x14ac:dyDescent="0.35">
      <c r="A6" s="138"/>
      <c r="B6" s="110"/>
      <c r="C6" s="104"/>
      <c r="D6" s="117"/>
      <c r="E6" s="110"/>
      <c r="F6" s="118"/>
      <c r="G6" s="119" t="s">
        <v>1150</v>
      </c>
      <c r="H6" s="120" t="s">
        <v>1154</v>
      </c>
      <c r="I6" s="120"/>
      <c r="J6" s="104"/>
      <c r="K6" s="120" t="s">
        <v>1154</v>
      </c>
      <c r="L6" s="123"/>
      <c r="M6" s="103"/>
      <c r="N6" s="103"/>
      <c r="O6" s="105"/>
      <c r="P6" s="105"/>
      <c r="Q6" s="133"/>
      <c r="R6" s="134"/>
      <c r="S6" s="116" t="s">
        <v>1170</v>
      </c>
      <c r="T6" s="125"/>
      <c r="U6" s="105"/>
      <c r="V6" s="137"/>
    </row>
    <row r="7" spans="1:22" ht="15" thickBot="1" x14ac:dyDescent="0.35">
      <c r="L7" s="124"/>
      <c r="M7" s="117"/>
      <c r="N7" s="117"/>
      <c r="O7" s="104"/>
      <c r="P7" s="105"/>
      <c r="Q7" s="89"/>
      <c r="R7" s="135"/>
      <c r="S7" s="116" t="s">
        <v>1105</v>
      </c>
      <c r="T7" s="125"/>
      <c r="U7" s="105"/>
      <c r="V7" s="137"/>
    </row>
    <row r="8" spans="1:22" ht="39" customHeight="1" x14ac:dyDescent="0.3">
      <c r="L8" s="114" t="s">
        <v>1175</v>
      </c>
      <c r="M8" s="116" t="s">
        <v>1178</v>
      </c>
      <c r="N8" s="116" t="s">
        <v>1180</v>
      </c>
      <c r="O8" s="136" t="s">
        <v>1182</v>
      </c>
      <c r="P8" s="105"/>
      <c r="Q8" s="116" t="s">
        <v>1119</v>
      </c>
      <c r="R8" s="116" t="s">
        <v>1121</v>
      </c>
      <c r="S8" s="116" t="s">
        <v>1171</v>
      </c>
      <c r="T8" s="125"/>
      <c r="U8" s="105"/>
      <c r="V8" s="137"/>
    </row>
    <row r="9" spans="1:22" ht="25.2" x14ac:dyDescent="0.3">
      <c r="L9" s="114" t="s">
        <v>1176</v>
      </c>
      <c r="M9" s="116" t="s">
        <v>1179</v>
      </c>
      <c r="N9" s="116" t="s">
        <v>1181</v>
      </c>
      <c r="O9" s="137"/>
      <c r="P9" s="105"/>
      <c r="Q9" s="116" t="s">
        <v>1120</v>
      </c>
      <c r="R9" s="116" t="s">
        <v>1120</v>
      </c>
      <c r="S9" s="105"/>
      <c r="T9" s="125"/>
      <c r="U9" s="105"/>
      <c r="V9" s="137"/>
    </row>
    <row r="10" spans="1:22" ht="15" thickBot="1" x14ac:dyDescent="0.35">
      <c r="L10" s="119" t="s">
        <v>1177</v>
      </c>
      <c r="M10" s="104"/>
      <c r="N10" s="104"/>
      <c r="O10" s="138"/>
      <c r="P10" s="104"/>
      <c r="Q10" s="104"/>
      <c r="R10" s="104"/>
      <c r="S10" s="104"/>
      <c r="T10" s="126"/>
      <c r="U10" s="104"/>
      <c r="V10" s="138"/>
    </row>
    <row r="11" spans="1:22" ht="19.2" x14ac:dyDescent="0.3">
      <c r="A11" s="5" t="s">
        <v>4</v>
      </c>
      <c r="B11" s="121">
        <v>17234</v>
      </c>
      <c r="C11" s="121">
        <v>146150.79999999999</v>
      </c>
      <c r="D11" s="121">
        <v>72911.8</v>
      </c>
      <c r="E11" s="9">
        <v>53579</v>
      </c>
      <c r="F11" s="9">
        <v>41231</v>
      </c>
      <c r="G11" s="9">
        <v>74854</v>
      </c>
      <c r="H11" s="9">
        <v>140669</v>
      </c>
      <c r="I11" s="9">
        <f>H11/C11*1000*1000</f>
        <v>962492.16562618897</v>
      </c>
      <c r="J11" s="6" t="s">
        <v>1161</v>
      </c>
      <c r="K11" s="9">
        <v>460370</v>
      </c>
      <c r="L11" s="121">
        <v>28085.8</v>
      </c>
      <c r="M11" s="121">
        <v>74573.8</v>
      </c>
      <c r="N11" s="121">
        <v>7506.2</v>
      </c>
      <c r="O11" s="121">
        <v>2078.5</v>
      </c>
      <c r="P11" s="121">
        <v>8493.6</v>
      </c>
      <c r="Q11" s="121">
        <v>4709.3999999999996</v>
      </c>
      <c r="R11" s="121">
        <v>3784.2</v>
      </c>
      <c r="S11" s="121">
        <v>110438.5</v>
      </c>
      <c r="T11" s="121">
        <v>48155.7</v>
      </c>
      <c r="U11" s="9">
        <v>35378535</v>
      </c>
      <c r="V11" s="25" t="s">
        <v>4</v>
      </c>
    </row>
    <row r="12" spans="1:22" ht="19.2" x14ac:dyDescent="0.3">
      <c r="A12" s="8" t="s">
        <v>5</v>
      </c>
      <c r="B12" s="92">
        <v>650.20000000000005</v>
      </c>
      <c r="C12" s="128">
        <v>40198.699999999997</v>
      </c>
      <c r="D12" s="128">
        <v>21537.9</v>
      </c>
      <c r="E12" s="92" t="s">
        <v>958</v>
      </c>
      <c r="F12" s="93">
        <v>51422</v>
      </c>
      <c r="G12" s="93">
        <v>94239</v>
      </c>
      <c r="H12" s="93">
        <v>47367</v>
      </c>
      <c r="I12" s="9">
        <f t="shared" ref="I12:I75" si="0">H12/C12*1000*1000</f>
        <v>1178321.6870197295</v>
      </c>
      <c r="J12" s="128">
        <v>10731.3</v>
      </c>
      <c r="K12" s="93">
        <v>161573</v>
      </c>
      <c r="L12" s="92">
        <v>693.6</v>
      </c>
      <c r="M12" s="128">
        <v>26707.1</v>
      </c>
      <c r="N12" s="128">
        <v>2268.8000000000002</v>
      </c>
      <c r="O12" s="92">
        <v>687.9</v>
      </c>
      <c r="P12" s="128">
        <v>2356.1</v>
      </c>
      <c r="Q12" s="128">
        <v>1311</v>
      </c>
      <c r="R12" s="128">
        <v>1045.0999999999999</v>
      </c>
      <c r="S12" s="128">
        <v>32964.1</v>
      </c>
      <c r="T12" s="128">
        <v>15842.3</v>
      </c>
      <c r="U12" s="93">
        <v>14885140</v>
      </c>
      <c r="V12" s="26" t="s">
        <v>5</v>
      </c>
    </row>
    <row r="13" spans="1:22" ht="19.2" x14ac:dyDescent="0.3">
      <c r="A13" s="8" t="s">
        <v>6</v>
      </c>
      <c r="B13" s="92"/>
      <c r="C13" s="128"/>
      <c r="D13" s="128"/>
      <c r="E13" s="92"/>
      <c r="F13" s="93"/>
      <c r="G13" s="93"/>
      <c r="H13" s="93"/>
      <c r="I13" s="9" t="e">
        <f t="shared" si="0"/>
        <v>#DIV/0!</v>
      </c>
      <c r="J13" s="128"/>
      <c r="K13" s="93"/>
      <c r="L13" s="92"/>
      <c r="M13" s="128"/>
      <c r="N13" s="128"/>
      <c r="O13" s="92"/>
      <c r="P13" s="128"/>
      <c r="Q13" s="128"/>
      <c r="R13" s="128"/>
      <c r="S13" s="128"/>
      <c r="T13" s="128"/>
      <c r="U13" s="93"/>
      <c r="V13" s="26" t="s">
        <v>6</v>
      </c>
    </row>
    <row r="14" spans="1:22" ht="19.2" x14ac:dyDescent="0.3">
      <c r="A14" s="10" t="s">
        <v>7</v>
      </c>
      <c r="B14" s="11">
        <v>27.1</v>
      </c>
      <c r="C14" s="122">
        <v>1500.7</v>
      </c>
      <c r="D14" s="11">
        <v>765.3</v>
      </c>
      <c r="E14" s="13">
        <v>47257</v>
      </c>
      <c r="F14" s="13">
        <v>35281</v>
      </c>
      <c r="G14" s="13">
        <v>54495</v>
      </c>
      <c r="H14" s="13">
        <v>1311</v>
      </c>
      <c r="I14" s="9">
        <f>H14/C14*1000*1000</f>
        <v>873592.32358232816</v>
      </c>
      <c r="J14" s="11">
        <v>212.2</v>
      </c>
      <c r="K14" s="13">
        <v>3473</v>
      </c>
      <c r="L14" s="11">
        <v>229.9</v>
      </c>
      <c r="M14" s="122">
        <v>1101.9000000000001</v>
      </c>
      <c r="N14" s="11">
        <v>32.700000000000003</v>
      </c>
      <c r="O14" s="11">
        <v>14.9</v>
      </c>
      <c r="P14" s="11">
        <v>350.3</v>
      </c>
      <c r="Q14" s="11">
        <v>133.4</v>
      </c>
      <c r="R14" s="11">
        <v>216.9</v>
      </c>
      <c r="S14" s="11">
        <v>959.2</v>
      </c>
      <c r="T14" s="11">
        <v>455.8</v>
      </c>
      <c r="U14" s="13">
        <v>343530</v>
      </c>
      <c r="V14" s="27" t="s">
        <v>7</v>
      </c>
    </row>
    <row r="15" spans="1:22" ht="19.2" x14ac:dyDescent="0.3">
      <c r="A15" s="10" t="s">
        <v>8</v>
      </c>
      <c r="B15" s="11">
        <v>34.9</v>
      </c>
      <c r="C15" s="122">
        <v>1142.4000000000001</v>
      </c>
      <c r="D15" s="11">
        <v>504.5</v>
      </c>
      <c r="E15" s="13">
        <v>40927</v>
      </c>
      <c r="F15" s="13">
        <v>32470</v>
      </c>
      <c r="G15" s="13">
        <v>48080</v>
      </c>
      <c r="H15" s="11">
        <v>549</v>
      </c>
      <c r="I15" s="9">
        <f t="shared" si="0"/>
        <v>480567.22689075628</v>
      </c>
      <c r="J15" s="11">
        <v>94.1</v>
      </c>
      <c r="K15" s="13">
        <v>2025</v>
      </c>
      <c r="L15" s="11">
        <v>0.2</v>
      </c>
      <c r="M15" s="11">
        <v>454.1</v>
      </c>
      <c r="N15" s="11">
        <v>22.9</v>
      </c>
      <c r="O15" s="11">
        <v>12.3</v>
      </c>
      <c r="P15" s="11">
        <v>148.1</v>
      </c>
      <c r="Q15" s="11">
        <v>74.7</v>
      </c>
      <c r="R15" s="11">
        <v>73.400000000000006</v>
      </c>
      <c r="S15" s="11">
        <v>568.6</v>
      </c>
      <c r="T15" s="11">
        <v>341.6</v>
      </c>
      <c r="U15" s="13">
        <v>69640</v>
      </c>
      <c r="V15" s="27" t="s">
        <v>8</v>
      </c>
    </row>
    <row r="16" spans="1:22" ht="19.2" x14ac:dyDescent="0.3">
      <c r="A16" s="10" t="s">
        <v>9</v>
      </c>
      <c r="B16" s="11">
        <v>29.1</v>
      </c>
      <c r="C16" s="122">
        <v>1309.9000000000001</v>
      </c>
      <c r="D16" s="11">
        <v>639</v>
      </c>
      <c r="E16" s="13">
        <v>38649</v>
      </c>
      <c r="F16" s="13">
        <v>29346</v>
      </c>
      <c r="G16" s="13">
        <v>53286</v>
      </c>
      <c r="H16" s="11">
        <v>781</v>
      </c>
      <c r="I16" s="9">
        <f t="shared" si="0"/>
        <v>596228.71974959911</v>
      </c>
      <c r="J16" s="11">
        <v>181.7</v>
      </c>
      <c r="K16" s="13">
        <v>2261</v>
      </c>
      <c r="L16" s="11">
        <v>11.1</v>
      </c>
      <c r="M16" s="11">
        <v>859.1</v>
      </c>
      <c r="N16" s="11">
        <v>47.3</v>
      </c>
      <c r="O16" s="11">
        <v>16.5</v>
      </c>
      <c r="P16" s="11">
        <v>46</v>
      </c>
      <c r="Q16" s="11">
        <v>17.399999999999999</v>
      </c>
      <c r="R16" s="11">
        <v>28.6</v>
      </c>
      <c r="S16" s="122">
        <v>1145.4000000000001</v>
      </c>
      <c r="T16" s="11">
        <v>331.1</v>
      </c>
      <c r="U16" s="13">
        <v>115169</v>
      </c>
      <c r="V16" s="27" t="s">
        <v>9</v>
      </c>
    </row>
    <row r="17" spans="1:22" ht="19.2" x14ac:dyDescent="0.3">
      <c r="A17" s="10" t="s">
        <v>12</v>
      </c>
      <c r="B17" s="36">
        <v>52.2</v>
      </c>
      <c r="C17" s="130">
        <v>2273.4</v>
      </c>
      <c r="D17" s="130">
        <v>1151.5999999999999</v>
      </c>
      <c r="E17" s="91">
        <v>45087</v>
      </c>
      <c r="F17" s="91">
        <v>37678</v>
      </c>
      <c r="G17" s="91">
        <v>53332</v>
      </c>
      <c r="H17" s="13">
        <v>1378</v>
      </c>
      <c r="I17" s="9">
        <f t="shared" si="0"/>
        <v>606140.58238761325</v>
      </c>
      <c r="J17" s="11">
        <v>374.1</v>
      </c>
      <c r="K17" s="13">
        <v>5141</v>
      </c>
      <c r="L17" s="11">
        <v>12.7</v>
      </c>
      <c r="M17" s="11">
        <v>870.8</v>
      </c>
      <c r="N17" s="11">
        <v>147.6</v>
      </c>
      <c r="O17" s="11">
        <v>25.7</v>
      </c>
      <c r="P17" s="11">
        <v>356.5</v>
      </c>
      <c r="Q17" s="11">
        <v>224</v>
      </c>
      <c r="R17" s="11">
        <v>132.5</v>
      </c>
      <c r="S17" s="122">
        <v>2014.5</v>
      </c>
      <c r="T17" s="11">
        <v>792.1</v>
      </c>
      <c r="U17" s="13">
        <v>151186</v>
      </c>
      <c r="V17" s="27" t="s">
        <v>12</v>
      </c>
    </row>
    <row r="18" spans="1:22" ht="19.2" x14ac:dyDescent="0.3">
      <c r="A18" s="10" t="s">
        <v>13</v>
      </c>
      <c r="B18" s="36">
        <v>21.4</v>
      </c>
      <c r="C18" s="36">
        <v>905.9</v>
      </c>
      <c r="D18" s="36">
        <v>422.2</v>
      </c>
      <c r="E18" s="91">
        <v>41108</v>
      </c>
      <c r="F18" s="91">
        <v>31683</v>
      </c>
      <c r="G18" s="91">
        <v>41929</v>
      </c>
      <c r="H18" s="11">
        <v>364</v>
      </c>
      <c r="I18" s="9">
        <f t="shared" si="0"/>
        <v>401810.35434374656</v>
      </c>
      <c r="J18" s="11">
        <v>67.5</v>
      </c>
      <c r="K18" s="13">
        <v>1250</v>
      </c>
      <c r="L18" s="11">
        <v>1.8</v>
      </c>
      <c r="M18" s="11">
        <v>324.10000000000002</v>
      </c>
      <c r="N18" s="11">
        <v>28.3</v>
      </c>
      <c r="O18" s="11">
        <v>9.6</v>
      </c>
      <c r="P18" s="11">
        <v>27.2</v>
      </c>
      <c r="Q18" s="11">
        <v>11.2</v>
      </c>
      <c r="R18" s="11">
        <v>16</v>
      </c>
      <c r="S18" s="11">
        <v>511.9</v>
      </c>
      <c r="T18" s="11">
        <v>258.8</v>
      </c>
      <c r="U18" s="13">
        <v>28573</v>
      </c>
      <c r="V18" s="27" t="s">
        <v>13</v>
      </c>
    </row>
    <row r="19" spans="1:22" ht="19.2" x14ac:dyDescent="0.3">
      <c r="A19" s="10" t="s">
        <v>14</v>
      </c>
      <c r="B19" s="11">
        <v>29.8</v>
      </c>
      <c r="C19" s="122">
        <v>1068.4000000000001</v>
      </c>
      <c r="D19" s="11">
        <v>536.9</v>
      </c>
      <c r="E19" s="13">
        <v>44564</v>
      </c>
      <c r="F19" s="13">
        <v>31984</v>
      </c>
      <c r="G19" s="13">
        <v>61588</v>
      </c>
      <c r="H19" s="11">
        <v>694</v>
      </c>
      <c r="I19" s="9">
        <f t="shared" si="0"/>
        <v>649569.44964432798</v>
      </c>
      <c r="J19" s="11">
        <v>125.7</v>
      </c>
      <c r="K19" s="13">
        <v>2812</v>
      </c>
      <c r="L19" s="11">
        <v>5.0999999999999996</v>
      </c>
      <c r="M19" s="11">
        <v>924.2</v>
      </c>
      <c r="N19" s="11">
        <v>31.3</v>
      </c>
      <c r="O19" s="11">
        <v>14.6</v>
      </c>
      <c r="P19" s="11">
        <v>83.4</v>
      </c>
      <c r="Q19" s="11">
        <v>37.700000000000003</v>
      </c>
      <c r="R19" s="11">
        <v>45.7</v>
      </c>
      <c r="S19" s="122">
        <v>1118.7</v>
      </c>
      <c r="T19" s="11">
        <v>280.8</v>
      </c>
      <c r="U19" s="13">
        <v>4990</v>
      </c>
      <c r="V19" s="27" t="s">
        <v>14</v>
      </c>
    </row>
    <row r="20" spans="1:22" ht="19.2" x14ac:dyDescent="0.3">
      <c r="A20" s="10" t="s">
        <v>16</v>
      </c>
      <c r="B20" s="11">
        <v>60.2</v>
      </c>
      <c r="C20" s="11">
        <v>566.29999999999995</v>
      </c>
      <c r="D20" s="11">
        <v>257.3</v>
      </c>
      <c r="E20" s="13">
        <v>43668</v>
      </c>
      <c r="F20" s="13">
        <v>33526</v>
      </c>
      <c r="G20" s="13">
        <v>46730</v>
      </c>
      <c r="H20" s="11">
        <v>276</v>
      </c>
      <c r="I20" s="9">
        <f t="shared" si="0"/>
        <v>487374.18329507328</v>
      </c>
      <c r="J20" s="11">
        <v>47.9</v>
      </c>
      <c r="K20" s="13">
        <v>1061</v>
      </c>
      <c r="L20" s="11">
        <v>1</v>
      </c>
      <c r="M20" s="11">
        <v>237.6</v>
      </c>
      <c r="N20" s="11">
        <v>48.4</v>
      </c>
      <c r="O20" s="11">
        <v>4.7</v>
      </c>
      <c r="P20" s="11">
        <v>24.6</v>
      </c>
      <c r="Q20" s="11">
        <v>8.1</v>
      </c>
      <c r="R20" s="11">
        <v>16.5</v>
      </c>
      <c r="S20" s="11">
        <v>360.4</v>
      </c>
      <c r="T20" s="11">
        <v>167.7</v>
      </c>
      <c r="U20" s="13">
        <v>18604</v>
      </c>
      <c r="V20" s="27" t="s">
        <v>16</v>
      </c>
    </row>
    <row r="21" spans="1:22" ht="19.2" x14ac:dyDescent="0.3">
      <c r="A21" s="10" t="s">
        <v>18</v>
      </c>
      <c r="B21" s="11">
        <v>30</v>
      </c>
      <c r="C21" s="122">
        <v>1060.9000000000001</v>
      </c>
      <c r="D21" s="11">
        <v>502.6</v>
      </c>
      <c r="E21" s="13">
        <v>43719</v>
      </c>
      <c r="F21" s="13">
        <v>31887</v>
      </c>
      <c r="G21" s="13">
        <v>53624</v>
      </c>
      <c r="H21" s="11">
        <v>666</v>
      </c>
      <c r="I21" s="9">
        <f t="shared" si="0"/>
        <v>627768.8754830804</v>
      </c>
      <c r="J21" s="11">
        <v>231.2</v>
      </c>
      <c r="K21" s="13">
        <v>2415</v>
      </c>
      <c r="L21" s="11">
        <v>102.4</v>
      </c>
      <c r="M21" s="11">
        <v>457.1</v>
      </c>
      <c r="N21" s="11">
        <v>67.5</v>
      </c>
      <c r="O21" s="11">
        <v>9.4</v>
      </c>
      <c r="P21" s="11">
        <v>240</v>
      </c>
      <c r="Q21" s="11">
        <v>148.30000000000001</v>
      </c>
      <c r="R21" s="11">
        <v>91.7</v>
      </c>
      <c r="S21" s="11">
        <v>619.5</v>
      </c>
      <c r="T21" s="11">
        <v>304.5</v>
      </c>
      <c r="U21" s="13">
        <v>108944</v>
      </c>
      <c r="V21" s="27" t="s">
        <v>18</v>
      </c>
    </row>
    <row r="22" spans="1:22" ht="19.2" x14ac:dyDescent="0.3">
      <c r="A22" s="10" t="s">
        <v>19</v>
      </c>
      <c r="B22" s="11">
        <v>24</v>
      </c>
      <c r="C22" s="122">
        <v>1116.3</v>
      </c>
      <c r="D22" s="11">
        <v>565.70000000000005</v>
      </c>
      <c r="E22" s="13">
        <v>45458</v>
      </c>
      <c r="F22" s="13">
        <v>35308</v>
      </c>
      <c r="G22" s="13">
        <v>54044</v>
      </c>
      <c r="H22" s="11">
        <v>793</v>
      </c>
      <c r="I22" s="9">
        <f t="shared" si="0"/>
        <v>710382.51366120216</v>
      </c>
      <c r="J22" s="11">
        <v>187.2</v>
      </c>
      <c r="K22" s="13">
        <v>2585</v>
      </c>
      <c r="L22" s="11">
        <v>7.5</v>
      </c>
      <c r="M22" s="122">
        <v>1233.7</v>
      </c>
      <c r="N22" s="11">
        <v>31.8</v>
      </c>
      <c r="O22" s="11">
        <v>21.7</v>
      </c>
      <c r="P22" s="11">
        <v>199.1</v>
      </c>
      <c r="Q22" s="11">
        <v>138.30000000000001</v>
      </c>
      <c r="R22" s="11">
        <v>60.8</v>
      </c>
      <c r="S22" s="11">
        <v>770.9</v>
      </c>
      <c r="T22" s="11">
        <v>350.1</v>
      </c>
      <c r="U22" s="13">
        <v>358586</v>
      </c>
      <c r="V22" s="27" t="s">
        <v>19</v>
      </c>
    </row>
    <row r="23" spans="1:22" ht="19.2" x14ac:dyDescent="0.3">
      <c r="A23" s="10" t="s">
        <v>20</v>
      </c>
      <c r="B23" s="36">
        <v>44.3</v>
      </c>
      <c r="C23" s="130">
        <v>8651.2999999999993</v>
      </c>
      <c r="D23" s="130">
        <v>3991.8</v>
      </c>
      <c r="E23" s="91">
        <v>64870</v>
      </c>
      <c r="F23" s="91">
        <v>50139</v>
      </c>
      <c r="G23" s="91">
        <v>83195</v>
      </c>
      <c r="H23" s="13">
        <v>7721</v>
      </c>
      <c r="I23" s="9">
        <f t="shared" si="0"/>
        <v>892467.02807670529</v>
      </c>
      <c r="J23" s="122">
        <v>1593.5</v>
      </c>
      <c r="K23" s="13">
        <v>34218</v>
      </c>
      <c r="L23" s="11">
        <v>23.3</v>
      </c>
      <c r="M23" s="122">
        <v>5275.2</v>
      </c>
      <c r="N23" s="11">
        <v>402.6</v>
      </c>
      <c r="O23" s="11">
        <v>194.5</v>
      </c>
      <c r="P23" s="11">
        <v>158</v>
      </c>
      <c r="Q23" s="11">
        <v>92</v>
      </c>
      <c r="R23" s="11">
        <v>66</v>
      </c>
      <c r="S23" s="122">
        <v>12485.7</v>
      </c>
      <c r="T23" s="122">
        <v>3824</v>
      </c>
      <c r="U23" s="13">
        <v>1707059</v>
      </c>
      <c r="V23" s="27" t="s">
        <v>20</v>
      </c>
    </row>
    <row r="24" spans="1:22" ht="19.2" x14ac:dyDescent="0.3">
      <c r="A24" s="10" t="s">
        <v>21</v>
      </c>
      <c r="B24" s="36">
        <v>24.7</v>
      </c>
      <c r="C24" s="36">
        <v>692.5</v>
      </c>
      <c r="D24" s="36">
        <v>301.5</v>
      </c>
      <c r="E24" s="91">
        <v>43730</v>
      </c>
      <c r="F24" s="91">
        <v>30887</v>
      </c>
      <c r="G24" s="91">
        <v>47382</v>
      </c>
      <c r="H24" s="11">
        <v>370</v>
      </c>
      <c r="I24" s="9">
        <f t="shared" si="0"/>
        <v>534296.02888086648</v>
      </c>
      <c r="J24" s="11">
        <v>58.4</v>
      </c>
      <c r="K24" s="13">
        <v>1229</v>
      </c>
      <c r="L24" s="11">
        <v>0.4</v>
      </c>
      <c r="M24" s="11">
        <v>227.2</v>
      </c>
      <c r="N24" s="11">
        <v>17.5</v>
      </c>
      <c r="O24" s="11">
        <v>7.4</v>
      </c>
      <c r="P24" s="11">
        <v>138.69999999999999</v>
      </c>
      <c r="Q24" s="11">
        <v>96.2</v>
      </c>
      <c r="R24" s="11">
        <v>42.5</v>
      </c>
      <c r="S24" s="11">
        <v>374.4</v>
      </c>
      <c r="T24" s="11">
        <v>190.4</v>
      </c>
      <c r="U24" s="13">
        <v>58286</v>
      </c>
      <c r="V24" s="27" t="s">
        <v>21</v>
      </c>
    </row>
    <row r="25" spans="1:22" ht="19.2" x14ac:dyDescent="0.3">
      <c r="A25" s="10" t="s">
        <v>22</v>
      </c>
      <c r="B25" s="11">
        <v>39.6</v>
      </c>
      <c r="C25" s="122">
        <v>1082.2</v>
      </c>
      <c r="D25" s="11">
        <v>499.7</v>
      </c>
      <c r="E25" s="13">
        <v>39905</v>
      </c>
      <c r="F25" s="13">
        <v>30904</v>
      </c>
      <c r="G25" s="13">
        <v>53270</v>
      </c>
      <c r="H25" s="11">
        <v>619</v>
      </c>
      <c r="I25" s="9">
        <f t="shared" si="0"/>
        <v>571982.9975974866</v>
      </c>
      <c r="J25" s="11">
        <v>101.3</v>
      </c>
      <c r="K25" s="13">
        <v>2725</v>
      </c>
      <c r="L25" s="11">
        <v>2.2000000000000002</v>
      </c>
      <c r="M25" s="11">
        <v>564.5</v>
      </c>
      <c r="N25" s="11">
        <v>58.7</v>
      </c>
      <c r="O25" s="11">
        <v>14.3</v>
      </c>
      <c r="P25" s="11">
        <v>110.6</v>
      </c>
      <c r="Q25" s="11">
        <v>62.4</v>
      </c>
      <c r="R25" s="11">
        <v>48.2</v>
      </c>
      <c r="S25" s="11">
        <v>787.6</v>
      </c>
      <c r="T25" s="11">
        <v>294.39999999999998</v>
      </c>
      <c r="U25" s="13">
        <v>78787</v>
      </c>
      <c r="V25" s="27" t="s">
        <v>22</v>
      </c>
    </row>
    <row r="26" spans="1:22" ht="19.2" x14ac:dyDescent="0.3">
      <c r="A26" s="10" t="s">
        <v>23</v>
      </c>
      <c r="B26" s="36">
        <v>49.8</v>
      </c>
      <c r="C26" s="36">
        <v>864</v>
      </c>
      <c r="D26" s="36">
        <v>409.6</v>
      </c>
      <c r="E26" s="91">
        <v>42734</v>
      </c>
      <c r="F26" s="91">
        <v>30932</v>
      </c>
      <c r="G26" s="91">
        <v>49185</v>
      </c>
      <c r="H26" s="11">
        <v>483</v>
      </c>
      <c r="I26" s="9">
        <f t="shared" si="0"/>
        <v>559027.77777777787</v>
      </c>
      <c r="J26" s="11">
        <v>94.6</v>
      </c>
      <c r="K26" s="13">
        <v>1706</v>
      </c>
      <c r="L26" s="11">
        <v>2.2000000000000002</v>
      </c>
      <c r="M26" s="11">
        <v>412.8</v>
      </c>
      <c r="N26" s="11">
        <v>70.7</v>
      </c>
      <c r="O26" s="11">
        <v>10.8</v>
      </c>
      <c r="P26" s="11">
        <v>34.1</v>
      </c>
      <c r="Q26" s="11">
        <v>14.9</v>
      </c>
      <c r="R26" s="11">
        <v>19.2</v>
      </c>
      <c r="S26" s="11">
        <v>531.6</v>
      </c>
      <c r="T26" s="11">
        <v>233.4</v>
      </c>
      <c r="U26" s="13">
        <v>64850</v>
      </c>
      <c r="V26" s="27" t="s">
        <v>23</v>
      </c>
    </row>
    <row r="27" spans="1:22" ht="19.2" x14ac:dyDescent="0.3">
      <c r="A27" s="10" t="s">
        <v>24</v>
      </c>
      <c r="B27" s="36">
        <v>34.5</v>
      </c>
      <c r="C27" s="36">
        <v>956.3</v>
      </c>
      <c r="D27" s="36">
        <v>459.9</v>
      </c>
      <c r="E27" s="91">
        <v>39229</v>
      </c>
      <c r="F27" s="91">
        <v>29757</v>
      </c>
      <c r="G27" s="91">
        <v>45742</v>
      </c>
      <c r="H27" s="11">
        <v>474</v>
      </c>
      <c r="I27" s="9">
        <f t="shared" si="0"/>
        <v>495660.35762835928</v>
      </c>
      <c r="J27" s="11">
        <v>92.4</v>
      </c>
      <c r="K27" s="13">
        <v>1877</v>
      </c>
      <c r="L27" s="11">
        <v>0.4</v>
      </c>
      <c r="M27" s="11">
        <v>331</v>
      </c>
      <c r="N27" s="11">
        <v>18.8</v>
      </c>
      <c r="O27" s="11">
        <v>5.8</v>
      </c>
      <c r="P27" s="11">
        <v>204.1</v>
      </c>
      <c r="Q27" s="11">
        <v>141.19999999999999</v>
      </c>
      <c r="R27" s="11">
        <v>62.9</v>
      </c>
      <c r="S27" s="11">
        <v>480.6</v>
      </c>
      <c r="T27" s="11">
        <v>252.9</v>
      </c>
      <c r="U27" s="13">
        <v>83107</v>
      </c>
      <c r="V27" s="27" t="s">
        <v>24</v>
      </c>
    </row>
    <row r="28" spans="1:22" ht="19.2" x14ac:dyDescent="0.3">
      <c r="A28" s="10" t="s">
        <v>25</v>
      </c>
      <c r="B28" s="36">
        <v>84.2</v>
      </c>
      <c r="C28" s="130">
        <v>1199.7</v>
      </c>
      <c r="D28" s="36">
        <v>578.20000000000005</v>
      </c>
      <c r="E28" s="91">
        <v>41274</v>
      </c>
      <c r="F28" s="91">
        <v>32507</v>
      </c>
      <c r="G28" s="91">
        <v>53778</v>
      </c>
      <c r="H28" s="36">
        <v>629</v>
      </c>
      <c r="I28" s="9">
        <f t="shared" si="0"/>
        <v>524297.74110194214</v>
      </c>
      <c r="J28" s="36">
        <v>141.19999999999999</v>
      </c>
      <c r="K28" s="91">
        <v>3108</v>
      </c>
      <c r="L28" s="11">
        <v>3.4</v>
      </c>
      <c r="M28" s="11">
        <v>532.1</v>
      </c>
      <c r="N28" s="11">
        <v>121</v>
      </c>
      <c r="O28" s="11">
        <v>12.2</v>
      </c>
      <c r="P28" s="11">
        <v>60.8</v>
      </c>
      <c r="Q28" s="11">
        <v>15</v>
      </c>
      <c r="R28" s="11">
        <v>45.8</v>
      </c>
      <c r="S28" s="11">
        <v>834</v>
      </c>
      <c r="T28" s="11">
        <v>352.3</v>
      </c>
      <c r="U28" s="13">
        <v>48948</v>
      </c>
      <c r="V28" s="27" t="s">
        <v>25</v>
      </c>
    </row>
    <row r="29" spans="1:22" ht="19.2" x14ac:dyDescent="0.3">
      <c r="A29" s="10" t="s">
        <v>26</v>
      </c>
      <c r="B29" s="36">
        <v>25.7</v>
      </c>
      <c r="C29" s="130">
        <v>1471.1</v>
      </c>
      <c r="D29" s="36">
        <v>736.3</v>
      </c>
      <c r="E29" s="91">
        <v>42375</v>
      </c>
      <c r="F29" s="91">
        <v>34064</v>
      </c>
      <c r="G29" s="91">
        <v>60464</v>
      </c>
      <c r="H29" s="91">
        <v>1004</v>
      </c>
      <c r="I29" s="9">
        <f t="shared" si="0"/>
        <v>682482.49609136023</v>
      </c>
      <c r="J29" s="36">
        <v>235.1</v>
      </c>
      <c r="K29" s="91">
        <v>3168</v>
      </c>
      <c r="L29" s="11">
        <v>15.9</v>
      </c>
      <c r="M29" s="122">
        <v>1449.1</v>
      </c>
      <c r="N29" s="11">
        <v>64.599999999999994</v>
      </c>
      <c r="O29" s="11">
        <v>23</v>
      </c>
      <c r="P29" s="11">
        <v>110</v>
      </c>
      <c r="Q29" s="11">
        <v>71.7</v>
      </c>
      <c r="R29" s="11">
        <v>38.299999999999997</v>
      </c>
      <c r="S29" s="122">
        <v>1104.7</v>
      </c>
      <c r="T29" s="11">
        <v>435.5</v>
      </c>
      <c r="U29" s="13">
        <v>215477</v>
      </c>
      <c r="V29" s="27" t="s">
        <v>26</v>
      </c>
    </row>
    <row r="30" spans="1:22" ht="19.2" x14ac:dyDescent="0.3">
      <c r="A30" s="10" t="s">
        <v>28</v>
      </c>
      <c r="B30" s="36">
        <v>36.200000000000003</v>
      </c>
      <c r="C30" s="130">
        <v>1187.5999999999999</v>
      </c>
      <c r="D30" s="36">
        <v>598.70000000000005</v>
      </c>
      <c r="E30" s="91">
        <v>46684</v>
      </c>
      <c r="F30" s="91">
        <v>34156</v>
      </c>
      <c r="G30" s="91">
        <v>55536</v>
      </c>
      <c r="H30" s="11">
        <v>748</v>
      </c>
      <c r="I30" s="9">
        <f t="shared" si="0"/>
        <v>629841.69754125969</v>
      </c>
      <c r="J30" s="11">
        <v>135.80000000000001</v>
      </c>
      <c r="K30" s="13">
        <v>3108</v>
      </c>
      <c r="L30" s="11">
        <v>2.6</v>
      </c>
      <c r="M30" s="11">
        <v>642.29999999999995</v>
      </c>
      <c r="N30" s="11">
        <v>56.4</v>
      </c>
      <c r="O30" s="11">
        <v>14.6</v>
      </c>
      <c r="P30" s="11">
        <v>60.4</v>
      </c>
      <c r="Q30" s="11">
        <v>20.399999999999999</v>
      </c>
      <c r="R30" s="11">
        <v>40</v>
      </c>
      <c r="S30" s="11">
        <v>953.8</v>
      </c>
      <c r="T30" s="11">
        <v>359.4</v>
      </c>
      <c r="U30" s="13">
        <v>81359</v>
      </c>
      <c r="V30" s="27" t="s">
        <v>28</v>
      </c>
    </row>
    <row r="31" spans="1:22" x14ac:dyDescent="0.3">
      <c r="A31" s="10" t="s">
        <v>31</v>
      </c>
      <c r="B31" s="11">
        <v>2.6</v>
      </c>
      <c r="C31" s="122">
        <v>13149.8</v>
      </c>
      <c r="D31" s="122">
        <v>8617.1</v>
      </c>
      <c r="E31" s="13">
        <v>117103</v>
      </c>
      <c r="F31" s="13">
        <v>78051</v>
      </c>
      <c r="G31" s="13">
        <v>138882</v>
      </c>
      <c r="H31" s="13">
        <v>28507</v>
      </c>
      <c r="I31" s="9">
        <f t="shared" si="0"/>
        <v>2167865.6709607751</v>
      </c>
      <c r="J31" s="122">
        <v>6757.2</v>
      </c>
      <c r="K31" s="13">
        <v>87411</v>
      </c>
      <c r="L31" s="11">
        <v>271.3</v>
      </c>
      <c r="M31" s="122">
        <v>10810.2</v>
      </c>
      <c r="N31" s="122">
        <v>1000.6</v>
      </c>
      <c r="O31" s="11">
        <v>275.8</v>
      </c>
      <c r="P31" s="11">
        <v>4.3</v>
      </c>
      <c r="Q31" s="11">
        <v>4.0999999999999996</v>
      </c>
      <c r="R31" s="11">
        <v>0.2</v>
      </c>
      <c r="S31" s="122">
        <v>7342.5</v>
      </c>
      <c r="T31" s="122">
        <v>6617.4</v>
      </c>
      <c r="U31" s="13">
        <v>11348045</v>
      </c>
      <c r="V31" s="27" t="s">
        <v>31</v>
      </c>
    </row>
    <row r="32" spans="1:22" ht="19.2" x14ac:dyDescent="0.3">
      <c r="A32" s="8" t="s">
        <v>33</v>
      </c>
      <c r="B32" s="121">
        <v>1687</v>
      </c>
      <c r="C32" s="121">
        <v>13840.4</v>
      </c>
      <c r="D32" s="121">
        <v>7221.2</v>
      </c>
      <c r="E32" s="6" t="s">
        <v>979</v>
      </c>
      <c r="F32" s="9">
        <v>47100</v>
      </c>
      <c r="G32" s="9">
        <v>81442</v>
      </c>
      <c r="H32" s="9">
        <v>18929</v>
      </c>
      <c r="I32" s="9">
        <f t="shared" si="0"/>
        <v>1367662.7843125921</v>
      </c>
      <c r="J32" s="121">
        <v>3074.2</v>
      </c>
      <c r="K32" s="9">
        <v>58713</v>
      </c>
      <c r="L32" s="128">
        <v>2078.4</v>
      </c>
      <c r="M32" s="128">
        <v>10925.8</v>
      </c>
      <c r="N32" s="92">
        <v>886.1</v>
      </c>
      <c r="O32" s="92">
        <v>228.9</v>
      </c>
      <c r="P32" s="92">
        <v>371.9</v>
      </c>
      <c r="Q32" s="92">
        <v>119.5</v>
      </c>
      <c r="R32" s="92">
        <v>252.4</v>
      </c>
      <c r="S32" s="128">
        <v>11440.3</v>
      </c>
      <c r="T32" s="128">
        <v>5155.1000000000004</v>
      </c>
      <c r="U32" s="93">
        <v>5455390</v>
      </c>
      <c r="V32" s="26" t="s">
        <v>33</v>
      </c>
    </row>
    <row r="33" spans="1:22" ht="19.2" x14ac:dyDescent="0.3">
      <c r="A33" s="8" t="s">
        <v>6</v>
      </c>
      <c r="B33" s="121"/>
      <c r="C33" s="121"/>
      <c r="D33" s="121"/>
      <c r="E33" s="6"/>
      <c r="F33" s="9"/>
      <c r="G33" s="9"/>
      <c r="H33" s="9"/>
      <c r="I33" s="9" t="e">
        <f t="shared" si="0"/>
        <v>#DIV/0!</v>
      </c>
      <c r="J33" s="121"/>
      <c r="K33" s="9"/>
      <c r="L33" s="128"/>
      <c r="M33" s="128"/>
      <c r="N33" s="92"/>
      <c r="O33" s="92"/>
      <c r="P33" s="92"/>
      <c r="Q33" s="92"/>
      <c r="R33" s="92"/>
      <c r="S33" s="128"/>
      <c r="T33" s="128"/>
      <c r="U33" s="93"/>
      <c r="V33" s="26" t="s">
        <v>6</v>
      </c>
    </row>
    <row r="34" spans="1:22" ht="19.2" x14ac:dyDescent="0.3">
      <c r="A34" s="10" t="s">
        <v>36</v>
      </c>
      <c r="B34" s="36">
        <v>180.5</v>
      </c>
      <c r="C34" s="36">
        <v>523.9</v>
      </c>
      <c r="D34" s="36">
        <v>235.1</v>
      </c>
      <c r="E34" s="91">
        <v>53068</v>
      </c>
      <c r="F34" s="91">
        <v>43443</v>
      </c>
      <c r="G34" s="91">
        <v>64779</v>
      </c>
      <c r="H34" s="36">
        <v>391</v>
      </c>
      <c r="I34" s="9">
        <f t="shared" si="0"/>
        <v>746325.63466310361</v>
      </c>
      <c r="J34" s="36">
        <v>103.6</v>
      </c>
      <c r="K34" s="91">
        <v>1400</v>
      </c>
      <c r="L34" s="11">
        <v>103.9</v>
      </c>
      <c r="M34" s="11">
        <v>149.30000000000001</v>
      </c>
      <c r="N34" s="11">
        <v>35.4</v>
      </c>
      <c r="O34" s="11">
        <v>5.9</v>
      </c>
      <c r="P34" s="11">
        <v>6.5</v>
      </c>
      <c r="Q34" s="11">
        <v>3.2</v>
      </c>
      <c r="R34" s="11">
        <v>3.3</v>
      </c>
      <c r="S34" s="11">
        <v>312.39999999999998</v>
      </c>
      <c r="T34" s="11">
        <v>185.3</v>
      </c>
      <c r="U34" s="13">
        <v>35405</v>
      </c>
      <c r="V34" s="27" t="s">
        <v>36</v>
      </c>
    </row>
    <row r="35" spans="1:22" ht="19.2" x14ac:dyDescent="0.3">
      <c r="A35" s="10" t="s">
        <v>38</v>
      </c>
      <c r="B35" s="36">
        <v>416.8</v>
      </c>
      <c r="C35" s="36">
        <v>720.6</v>
      </c>
      <c r="D35" s="36">
        <v>335.6</v>
      </c>
      <c r="E35" s="91">
        <v>56152</v>
      </c>
      <c r="F35" s="91">
        <v>39531</v>
      </c>
      <c r="G35" s="91">
        <v>77601</v>
      </c>
      <c r="H35" s="36">
        <v>976</v>
      </c>
      <c r="I35" s="9">
        <f t="shared" si="0"/>
        <v>1354426.8665001388</v>
      </c>
      <c r="J35" s="36">
        <v>128.6</v>
      </c>
      <c r="K35" s="91">
        <v>4726</v>
      </c>
      <c r="L35" s="11">
        <v>639.1</v>
      </c>
      <c r="M35" s="11">
        <v>202.5</v>
      </c>
      <c r="N35" s="11">
        <v>51.1</v>
      </c>
      <c r="O35" s="11">
        <v>11.4</v>
      </c>
      <c r="P35" s="11">
        <v>12.9</v>
      </c>
      <c r="Q35" s="11">
        <v>4.7</v>
      </c>
      <c r="R35" s="11">
        <v>8.1999999999999993</v>
      </c>
      <c r="S35" s="11">
        <v>217.1</v>
      </c>
      <c r="T35" s="11">
        <v>208.3</v>
      </c>
      <c r="U35" s="13">
        <v>51572</v>
      </c>
      <c r="V35" s="27" t="s">
        <v>38</v>
      </c>
    </row>
    <row r="36" spans="1:22" ht="19.2" x14ac:dyDescent="0.3">
      <c r="A36" s="10" t="s">
        <v>40</v>
      </c>
      <c r="B36" s="36">
        <v>589.9</v>
      </c>
      <c r="C36" s="36">
        <v>998.1</v>
      </c>
      <c r="D36" s="36">
        <v>460.5</v>
      </c>
      <c r="E36" s="91">
        <v>58967</v>
      </c>
      <c r="F36" s="91">
        <v>43146</v>
      </c>
      <c r="G36" s="91">
        <v>76368</v>
      </c>
      <c r="H36" s="91">
        <v>1188</v>
      </c>
      <c r="I36" s="9">
        <f t="shared" si="0"/>
        <v>1190261.4968440034</v>
      </c>
      <c r="J36" s="36">
        <v>206</v>
      </c>
      <c r="K36" s="91">
        <v>4133</v>
      </c>
      <c r="L36" s="11">
        <v>603.9</v>
      </c>
      <c r="M36" s="11">
        <v>405.8</v>
      </c>
      <c r="N36" s="11">
        <v>50.9</v>
      </c>
      <c r="O36" s="11">
        <v>10.1</v>
      </c>
      <c r="P36" s="11">
        <v>14.4</v>
      </c>
      <c r="Q36" s="11">
        <v>6.2</v>
      </c>
      <c r="R36" s="11">
        <v>8.1999999999999993</v>
      </c>
      <c r="S36" s="11">
        <v>462.3</v>
      </c>
      <c r="T36" s="11">
        <v>361.7</v>
      </c>
      <c r="U36" s="13">
        <v>60634</v>
      </c>
      <c r="V36" s="27" t="s">
        <v>40</v>
      </c>
    </row>
    <row r="37" spans="1:22" ht="19.2" x14ac:dyDescent="0.3">
      <c r="A37" s="14" t="s">
        <v>863</v>
      </c>
      <c r="B37" s="36"/>
      <c r="C37" s="36"/>
      <c r="D37" s="36"/>
      <c r="E37" s="36"/>
      <c r="F37" s="36"/>
      <c r="G37" s="36"/>
      <c r="H37" s="36"/>
      <c r="I37" s="9" t="e">
        <f t="shared" si="0"/>
        <v>#DIV/0!</v>
      </c>
      <c r="J37" s="36"/>
      <c r="K37" s="36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28" t="s">
        <v>863</v>
      </c>
    </row>
    <row r="38" spans="1:22" ht="28.8" x14ac:dyDescent="0.3">
      <c r="A38" t="s">
        <v>43</v>
      </c>
      <c r="B38" s="11">
        <v>176.8</v>
      </c>
      <c r="C38" s="11">
        <v>42.2</v>
      </c>
      <c r="D38" s="11">
        <v>30.7</v>
      </c>
      <c r="E38" s="13">
        <v>128204</v>
      </c>
      <c r="F38" s="13">
        <v>42804</v>
      </c>
      <c r="G38" s="13">
        <v>119386</v>
      </c>
      <c r="H38" s="11">
        <v>488</v>
      </c>
      <c r="I38" s="9">
        <f t="shared" si="0"/>
        <v>11563981.042654028</v>
      </c>
      <c r="J38" s="11">
        <v>86.3</v>
      </c>
      <c r="K38" s="13">
        <v>1235</v>
      </c>
      <c r="L38" s="36">
        <v>556.1</v>
      </c>
      <c r="M38" s="36">
        <v>2.7</v>
      </c>
      <c r="N38" s="36">
        <v>5.8</v>
      </c>
      <c r="O38" s="36">
        <v>0.8</v>
      </c>
      <c r="P38" s="36">
        <v>1.3</v>
      </c>
      <c r="Q38" s="36">
        <v>0.1</v>
      </c>
      <c r="R38" s="36">
        <v>1.2</v>
      </c>
      <c r="S38" s="36">
        <v>21.7</v>
      </c>
      <c r="T38" s="36">
        <v>12.8</v>
      </c>
      <c r="U38" s="91">
        <v>9514</v>
      </c>
      <c r="V38" s="29" t="s">
        <v>1162</v>
      </c>
    </row>
    <row r="39" spans="1:22" x14ac:dyDescent="0.3">
      <c r="A39" s="15" t="s">
        <v>1163</v>
      </c>
      <c r="B39" s="11"/>
      <c r="C39" s="11"/>
      <c r="D39" s="11"/>
      <c r="E39" s="13"/>
      <c r="F39" s="13"/>
      <c r="G39" s="13"/>
      <c r="H39" s="11"/>
      <c r="I39" s="9" t="e">
        <f t="shared" si="0"/>
        <v>#DIV/0!</v>
      </c>
      <c r="J39" s="11"/>
      <c r="K39" s="13"/>
      <c r="L39" s="36"/>
      <c r="M39" s="36"/>
      <c r="N39" s="36"/>
      <c r="O39" s="36"/>
      <c r="P39" s="36"/>
      <c r="Q39" s="36"/>
      <c r="R39" s="36"/>
      <c r="S39" s="36"/>
      <c r="T39" s="36"/>
      <c r="U39" s="91"/>
      <c r="V39" s="29" t="s">
        <v>1163</v>
      </c>
    </row>
    <row r="40" spans="1:22" ht="48" x14ac:dyDescent="0.3">
      <c r="A40" s="10" t="s">
        <v>45</v>
      </c>
      <c r="B40" s="11">
        <v>413.1</v>
      </c>
      <c r="C40" s="11">
        <v>955.9</v>
      </c>
      <c r="D40" s="11">
        <v>429.8</v>
      </c>
      <c r="E40" s="11" t="s">
        <v>985</v>
      </c>
      <c r="F40" s="13">
        <v>43161</v>
      </c>
      <c r="G40" s="13">
        <v>72540</v>
      </c>
      <c r="H40" s="11">
        <v>700</v>
      </c>
      <c r="I40" s="9">
        <f t="shared" si="0"/>
        <v>732294.17303065176</v>
      </c>
      <c r="J40" s="11">
        <v>119.7</v>
      </c>
      <c r="K40" s="13">
        <v>2898</v>
      </c>
      <c r="L40" s="36">
        <v>47.7</v>
      </c>
      <c r="M40" s="36">
        <v>403.1</v>
      </c>
      <c r="N40" s="36">
        <v>45.1</v>
      </c>
      <c r="O40" s="36">
        <v>9.4</v>
      </c>
      <c r="P40" s="36">
        <v>13.1</v>
      </c>
      <c r="Q40" s="36">
        <v>6.1</v>
      </c>
      <c r="R40" s="36">
        <v>7</v>
      </c>
      <c r="S40" s="36">
        <v>440.6</v>
      </c>
      <c r="T40" s="36">
        <v>348.9</v>
      </c>
      <c r="U40" s="91">
        <v>51120</v>
      </c>
      <c r="V40" s="29" t="s">
        <v>40</v>
      </c>
    </row>
    <row r="41" spans="1:22" ht="28.8" x14ac:dyDescent="0.3">
      <c r="A41" s="10" t="s">
        <v>212</v>
      </c>
      <c r="B41" s="36"/>
      <c r="C41" s="36"/>
      <c r="D41" s="36"/>
      <c r="E41" s="36"/>
      <c r="F41" s="91"/>
      <c r="G41" s="91"/>
      <c r="H41" s="11"/>
      <c r="I41" s="9" t="e">
        <f t="shared" si="0"/>
        <v>#DIV/0!</v>
      </c>
      <c r="J41" s="11"/>
      <c r="K41" s="13"/>
      <c r="L41" s="36"/>
      <c r="M41" s="36"/>
      <c r="N41" s="36"/>
      <c r="O41" s="36"/>
      <c r="P41" s="36"/>
      <c r="Q41" s="36"/>
      <c r="R41" s="36"/>
      <c r="S41" s="36"/>
      <c r="T41" s="36"/>
      <c r="U41" s="91"/>
      <c r="V41" s="29" t="s">
        <v>212</v>
      </c>
    </row>
    <row r="42" spans="1:22" ht="19.2" x14ac:dyDescent="0.3">
      <c r="A42" s="10" t="s">
        <v>47</v>
      </c>
      <c r="B42" s="36">
        <v>144.5</v>
      </c>
      <c r="C42" s="130">
        <v>1121.4000000000001</v>
      </c>
      <c r="D42" s="36">
        <v>503.2</v>
      </c>
      <c r="E42" s="91">
        <v>42708</v>
      </c>
      <c r="F42" s="91">
        <v>31167</v>
      </c>
      <c r="G42" s="91">
        <v>58939</v>
      </c>
      <c r="H42" s="13">
        <v>1024</v>
      </c>
      <c r="I42" s="9">
        <f t="shared" si="0"/>
        <v>913144.28393080074</v>
      </c>
      <c r="J42" s="11">
        <v>168.8</v>
      </c>
      <c r="K42" s="13">
        <v>3592</v>
      </c>
      <c r="L42" s="11">
        <v>0.8</v>
      </c>
      <c r="M42" s="122">
        <v>1195</v>
      </c>
      <c r="N42" s="11">
        <v>45.1</v>
      </c>
      <c r="O42" s="11">
        <v>14.7</v>
      </c>
      <c r="P42" s="11">
        <v>47.8</v>
      </c>
      <c r="Q42" s="11">
        <v>13.2</v>
      </c>
      <c r="R42" s="11">
        <v>34.6</v>
      </c>
      <c r="S42" s="11">
        <v>746</v>
      </c>
      <c r="T42" s="11">
        <v>274.5</v>
      </c>
      <c r="U42" s="13">
        <v>622017</v>
      </c>
      <c r="V42" s="27" t="s">
        <v>47</v>
      </c>
    </row>
    <row r="43" spans="1:22" ht="28.8" x14ac:dyDescent="0.3">
      <c r="A43" s="10" t="s">
        <v>49</v>
      </c>
      <c r="B43" s="11">
        <v>15.1</v>
      </c>
      <c r="C43" s="122">
        <v>1033.9000000000001</v>
      </c>
      <c r="D43" s="11">
        <v>519.29999999999995</v>
      </c>
      <c r="E43" s="13">
        <v>43543</v>
      </c>
      <c r="F43" s="13">
        <v>36496</v>
      </c>
      <c r="G43" s="13">
        <v>54739</v>
      </c>
      <c r="H43" s="11">
        <v>738</v>
      </c>
      <c r="I43" s="9">
        <f t="shared" si="0"/>
        <v>713802.10852113354</v>
      </c>
      <c r="J43" s="11">
        <v>196</v>
      </c>
      <c r="K43" s="13">
        <v>2740</v>
      </c>
      <c r="L43" s="11">
        <v>19.8</v>
      </c>
      <c r="M43" s="11">
        <v>502.5</v>
      </c>
      <c r="N43" s="11">
        <v>64.2</v>
      </c>
      <c r="O43" s="11">
        <v>8.6999999999999993</v>
      </c>
      <c r="P43" s="11">
        <v>63.1</v>
      </c>
      <c r="Q43" s="11">
        <v>35.299999999999997</v>
      </c>
      <c r="R43" s="11">
        <v>27.8</v>
      </c>
      <c r="S43" s="122">
        <v>1216.7</v>
      </c>
      <c r="T43" s="11">
        <v>283.8</v>
      </c>
      <c r="U43" s="13">
        <v>944071</v>
      </c>
      <c r="V43" s="27" t="s">
        <v>49</v>
      </c>
    </row>
    <row r="44" spans="1:22" ht="19.2" x14ac:dyDescent="0.3">
      <c r="A44" s="10" t="s">
        <v>51</v>
      </c>
      <c r="B44" s="11">
        <v>83.9</v>
      </c>
      <c r="C44" s="122">
        <v>2035.8</v>
      </c>
      <c r="D44" s="11">
        <v>901.5</v>
      </c>
      <c r="E44" s="13">
        <v>45989</v>
      </c>
      <c r="F44" s="13">
        <v>38583</v>
      </c>
      <c r="G44" s="13">
        <v>68105</v>
      </c>
      <c r="H44" s="13">
        <v>1658</v>
      </c>
      <c r="I44" s="9">
        <f t="shared" si="0"/>
        <v>814421.84890460758</v>
      </c>
      <c r="J44" s="11">
        <v>685.6</v>
      </c>
      <c r="K44" s="13">
        <v>10121</v>
      </c>
      <c r="L44" s="11">
        <v>43.7</v>
      </c>
      <c r="M44" s="122">
        <v>1767</v>
      </c>
      <c r="N44" s="11">
        <v>196.5</v>
      </c>
      <c r="O44" s="11">
        <v>31.9</v>
      </c>
      <c r="P44" s="11">
        <v>130.5</v>
      </c>
      <c r="Q44" s="11">
        <v>35.299999999999997</v>
      </c>
      <c r="R44" s="11">
        <v>95.2</v>
      </c>
      <c r="S44" s="122">
        <v>4186.3999999999996</v>
      </c>
      <c r="T44" s="11">
        <v>738.2</v>
      </c>
      <c r="U44" s="13">
        <v>460864</v>
      </c>
      <c r="V44" s="27" t="s">
        <v>51</v>
      </c>
    </row>
    <row r="45" spans="1:22" ht="19.2" x14ac:dyDescent="0.3">
      <c r="A45" s="10" t="s">
        <v>52</v>
      </c>
      <c r="B45" s="36">
        <v>144.9</v>
      </c>
      <c r="C45" s="36">
        <v>656.4</v>
      </c>
      <c r="D45" s="36">
        <v>313.2</v>
      </c>
      <c r="E45" s="91">
        <v>75786</v>
      </c>
      <c r="F45" s="91">
        <v>51217</v>
      </c>
      <c r="G45" s="91">
        <v>98818</v>
      </c>
      <c r="H45" s="91">
        <v>1149</v>
      </c>
      <c r="I45" s="9">
        <f t="shared" si="0"/>
        <v>1750457.038391225</v>
      </c>
      <c r="J45" s="36">
        <v>266.89999999999998</v>
      </c>
      <c r="K45" s="91">
        <v>3570</v>
      </c>
      <c r="L45" s="11">
        <v>213.6</v>
      </c>
      <c r="M45" s="11">
        <v>845.4</v>
      </c>
      <c r="N45" s="11">
        <v>74.900000000000006</v>
      </c>
      <c r="O45" s="11">
        <v>11.2</v>
      </c>
      <c r="P45" s="11">
        <v>2.7</v>
      </c>
      <c r="Q45" s="11">
        <v>0.4</v>
      </c>
      <c r="R45" s="11">
        <v>2.2999999999999998</v>
      </c>
      <c r="S45" s="11">
        <v>60.7</v>
      </c>
      <c r="T45" s="11">
        <v>235.3</v>
      </c>
      <c r="U45" s="13">
        <v>297051</v>
      </c>
      <c r="V45" s="27" t="s">
        <v>52</v>
      </c>
    </row>
    <row r="46" spans="1:22" ht="19.2" x14ac:dyDescent="0.3">
      <c r="A46" s="10" t="s">
        <v>53</v>
      </c>
      <c r="B46" s="36">
        <v>54.5</v>
      </c>
      <c r="C46" s="36">
        <v>571.4</v>
      </c>
      <c r="D46" s="36">
        <v>273.8</v>
      </c>
      <c r="E46" s="91">
        <v>38903</v>
      </c>
      <c r="F46" s="91">
        <v>32064</v>
      </c>
      <c r="G46" s="91">
        <v>53188</v>
      </c>
      <c r="H46" s="36">
        <v>381</v>
      </c>
      <c r="I46" s="9">
        <f t="shared" si="0"/>
        <v>666783.33916695835</v>
      </c>
      <c r="J46" s="36">
        <v>75.5</v>
      </c>
      <c r="K46" s="91">
        <v>1545</v>
      </c>
      <c r="L46" s="11">
        <v>1.8</v>
      </c>
      <c r="M46" s="11">
        <v>331.7</v>
      </c>
      <c r="N46" s="11">
        <v>23.2</v>
      </c>
      <c r="O46" s="11">
        <v>5.0999999999999996</v>
      </c>
      <c r="P46" s="11">
        <v>35.700000000000003</v>
      </c>
      <c r="Q46" s="11">
        <v>12.3</v>
      </c>
      <c r="R46" s="11">
        <v>23.4</v>
      </c>
      <c r="S46" s="11">
        <v>377</v>
      </c>
      <c r="T46" s="11">
        <v>164.5</v>
      </c>
      <c r="U46" s="13">
        <v>65900</v>
      </c>
      <c r="V46" s="27" t="s">
        <v>53</v>
      </c>
    </row>
    <row r="47" spans="1:22" ht="19.2" x14ac:dyDescent="0.3">
      <c r="A47" s="10" t="s">
        <v>55</v>
      </c>
      <c r="B47" s="11">
        <v>55.4</v>
      </c>
      <c r="C47" s="11">
        <v>581.1</v>
      </c>
      <c r="D47" s="11">
        <v>285.2</v>
      </c>
      <c r="E47" s="13">
        <v>39898</v>
      </c>
      <c r="F47" s="13">
        <v>32386</v>
      </c>
      <c r="G47" s="13">
        <v>44853</v>
      </c>
      <c r="H47" s="11">
        <v>258</v>
      </c>
      <c r="I47" s="9">
        <f t="shared" si="0"/>
        <v>443985.54465668561</v>
      </c>
      <c r="J47" s="11">
        <v>47.6</v>
      </c>
      <c r="K47" s="11">
        <v>952</v>
      </c>
      <c r="L47" s="11">
        <v>2.2000000000000002</v>
      </c>
      <c r="M47" s="11">
        <v>186.1</v>
      </c>
      <c r="N47" s="11">
        <v>14.7</v>
      </c>
      <c r="O47" s="11">
        <v>9.1</v>
      </c>
      <c r="P47" s="11">
        <v>58.4</v>
      </c>
      <c r="Q47" s="11">
        <v>8.9</v>
      </c>
      <c r="R47" s="11">
        <v>49.5</v>
      </c>
      <c r="S47" s="11">
        <v>379</v>
      </c>
      <c r="T47" s="11">
        <v>173.7</v>
      </c>
      <c r="U47" s="13">
        <v>29718</v>
      </c>
      <c r="V47" s="27" t="s">
        <v>55</v>
      </c>
    </row>
    <row r="48" spans="1:22" ht="19.2" x14ac:dyDescent="0.3">
      <c r="A48" s="10" t="s">
        <v>57</v>
      </c>
      <c r="B48" s="11">
        <v>1.4</v>
      </c>
      <c r="C48" s="122">
        <v>5597.8</v>
      </c>
      <c r="D48" s="122">
        <v>3393.9</v>
      </c>
      <c r="E48" s="13">
        <v>72037</v>
      </c>
      <c r="F48" s="13">
        <v>59969</v>
      </c>
      <c r="G48" s="13">
        <v>96232</v>
      </c>
      <c r="H48" s="13">
        <v>11166</v>
      </c>
      <c r="I48" s="9">
        <f t="shared" si="0"/>
        <v>1994712.2083675731</v>
      </c>
      <c r="J48" s="122">
        <v>1195.5999999999999</v>
      </c>
      <c r="K48" s="13">
        <v>25934</v>
      </c>
      <c r="L48" s="11">
        <v>449.6</v>
      </c>
      <c r="M48" s="122">
        <v>5340.6</v>
      </c>
      <c r="N48" s="11">
        <v>330.1</v>
      </c>
      <c r="O48" s="11">
        <v>120.8</v>
      </c>
      <c r="P48" s="11" t="s">
        <v>44</v>
      </c>
      <c r="Q48" s="11" t="s">
        <v>44</v>
      </c>
      <c r="R48" s="11" t="s">
        <v>44</v>
      </c>
      <c r="S48" s="122">
        <v>3482.7</v>
      </c>
      <c r="T48" s="122">
        <v>2529.8000000000002</v>
      </c>
      <c r="U48" s="13">
        <v>2888158</v>
      </c>
      <c r="V48" s="27" t="s">
        <v>57</v>
      </c>
    </row>
    <row r="49" spans="1:22" x14ac:dyDescent="0.3">
      <c r="A49" s="8" t="s">
        <v>60</v>
      </c>
      <c r="B49" s="6">
        <v>447.8</v>
      </c>
      <c r="C49" s="121">
        <v>16624.099999999999</v>
      </c>
      <c r="D49" s="121">
        <v>8057.6</v>
      </c>
      <c r="E49" s="6" t="s">
        <v>995</v>
      </c>
      <c r="F49" s="9">
        <v>41457</v>
      </c>
      <c r="G49" s="9">
        <v>53432</v>
      </c>
      <c r="H49" s="9">
        <v>9815</v>
      </c>
      <c r="I49" s="9">
        <f t="shared" si="0"/>
        <v>590407.90178114909</v>
      </c>
      <c r="J49" s="121">
        <v>2284</v>
      </c>
      <c r="K49" s="9">
        <v>37708</v>
      </c>
      <c r="L49" s="92">
        <v>574.70000000000005</v>
      </c>
      <c r="M49" s="128">
        <v>4297.2</v>
      </c>
      <c r="N49" s="92">
        <v>580.6</v>
      </c>
      <c r="O49" s="92">
        <v>143.6</v>
      </c>
      <c r="P49" s="128">
        <v>1498.2</v>
      </c>
      <c r="Q49" s="128">
        <v>1063</v>
      </c>
      <c r="R49" s="92">
        <v>435.2</v>
      </c>
      <c r="S49" s="128">
        <v>14592.9</v>
      </c>
      <c r="T49" s="128">
        <v>5621.7</v>
      </c>
      <c r="U49" s="93">
        <v>1579603</v>
      </c>
      <c r="V49" s="26" t="s">
        <v>60</v>
      </c>
    </row>
    <row r="50" spans="1:22" ht="19.2" x14ac:dyDescent="0.3">
      <c r="A50" s="8" t="s">
        <v>6</v>
      </c>
      <c r="B50" s="6"/>
      <c r="C50" s="121"/>
      <c r="D50" s="121"/>
      <c r="E50" s="6"/>
      <c r="F50" s="9"/>
      <c r="G50" s="9"/>
      <c r="H50" s="9"/>
      <c r="I50" s="9" t="e">
        <f t="shared" si="0"/>
        <v>#DIV/0!</v>
      </c>
      <c r="J50" s="121"/>
      <c r="K50" s="9"/>
      <c r="L50" s="92"/>
      <c r="M50" s="128"/>
      <c r="N50" s="92"/>
      <c r="O50" s="92"/>
      <c r="P50" s="128"/>
      <c r="Q50" s="128"/>
      <c r="R50" s="92"/>
      <c r="S50" s="128"/>
      <c r="T50" s="128"/>
      <c r="U50" s="93"/>
      <c r="V50" s="26" t="s">
        <v>6</v>
      </c>
    </row>
    <row r="51" spans="1:22" ht="19.2" x14ac:dyDescent="0.3">
      <c r="A51" s="10" t="s">
        <v>61</v>
      </c>
      <c r="B51" s="11">
        <v>7.8</v>
      </c>
      <c r="C51" s="11">
        <v>500.6</v>
      </c>
      <c r="D51" s="11">
        <v>156.69999999999999</v>
      </c>
      <c r="E51" s="13">
        <v>42684</v>
      </c>
      <c r="F51" s="13">
        <v>36734</v>
      </c>
      <c r="G51" s="13">
        <v>46431</v>
      </c>
      <c r="H51" s="11">
        <v>197</v>
      </c>
      <c r="I51" s="9">
        <f t="shared" si="0"/>
        <v>393527.76667998405</v>
      </c>
      <c r="J51" s="11">
        <v>61.6</v>
      </c>
      <c r="K51" s="11">
        <v>610</v>
      </c>
      <c r="L51" s="11">
        <v>2.7</v>
      </c>
      <c r="M51" s="11">
        <v>88.1</v>
      </c>
      <c r="N51" s="11">
        <v>12.2</v>
      </c>
      <c r="O51" s="11">
        <v>2.9</v>
      </c>
      <c r="P51" s="11">
        <v>35.5</v>
      </c>
      <c r="Q51" s="11">
        <v>20.5</v>
      </c>
      <c r="R51" s="11">
        <v>15</v>
      </c>
      <c r="S51" s="11">
        <v>564</v>
      </c>
      <c r="T51" s="11">
        <v>165.4</v>
      </c>
      <c r="U51" s="13">
        <v>7640</v>
      </c>
      <c r="V51" s="27" t="s">
        <v>61</v>
      </c>
    </row>
    <row r="52" spans="1:22" ht="19.2" x14ac:dyDescent="0.3">
      <c r="A52" s="10" t="s">
        <v>62</v>
      </c>
      <c r="B52" s="11">
        <v>74.7</v>
      </c>
      <c r="C52" s="11">
        <v>266.8</v>
      </c>
      <c r="D52" s="11">
        <v>111.9</v>
      </c>
      <c r="E52" s="13">
        <v>28635</v>
      </c>
      <c r="F52" s="13">
        <v>26174</v>
      </c>
      <c r="G52" s="13">
        <v>42151</v>
      </c>
      <c r="H52" s="11">
        <v>119</v>
      </c>
      <c r="I52" s="9">
        <f t="shared" si="0"/>
        <v>446026.98650674662</v>
      </c>
      <c r="J52" s="11">
        <v>13.8</v>
      </c>
      <c r="K52" s="11">
        <v>355</v>
      </c>
      <c r="L52" s="11" t="s">
        <v>1183</v>
      </c>
      <c r="M52" s="11">
        <v>1.2</v>
      </c>
      <c r="N52" s="11">
        <v>15.9</v>
      </c>
      <c r="O52" s="11" t="s">
        <v>1183</v>
      </c>
      <c r="P52" s="11">
        <v>29.1</v>
      </c>
      <c r="Q52" s="11">
        <v>11.2</v>
      </c>
      <c r="R52" s="11">
        <v>17.899999999999999</v>
      </c>
      <c r="S52" s="11">
        <v>142</v>
      </c>
      <c r="T52" s="11">
        <v>59.8</v>
      </c>
      <c r="U52" s="13">
        <v>2073</v>
      </c>
      <c r="V52" s="27" t="s">
        <v>62</v>
      </c>
    </row>
    <row r="53" spans="1:22" ht="19.2" x14ac:dyDescent="0.3">
      <c r="A53" s="10" t="s">
        <v>63</v>
      </c>
      <c r="B53" s="11">
        <v>26.1</v>
      </c>
      <c r="C53" s="122">
        <v>1909.5</v>
      </c>
      <c r="D53" s="11">
        <v>890.6</v>
      </c>
      <c r="E53" s="13">
        <v>32875</v>
      </c>
      <c r="F53" s="13">
        <v>27509</v>
      </c>
      <c r="G53" s="13">
        <v>47325</v>
      </c>
      <c r="H53" s="11">
        <v>656</v>
      </c>
      <c r="I53" s="9">
        <f t="shared" si="0"/>
        <v>343545.43074103165</v>
      </c>
      <c r="J53" s="11">
        <v>271.3</v>
      </c>
      <c r="K53" s="13">
        <v>4360</v>
      </c>
      <c r="L53" s="11">
        <v>6</v>
      </c>
      <c r="M53" s="11">
        <v>145.69999999999999</v>
      </c>
      <c r="N53" s="11">
        <v>49.9</v>
      </c>
      <c r="O53" s="11">
        <v>9.9</v>
      </c>
      <c r="P53" s="11">
        <v>81.7</v>
      </c>
      <c r="Q53" s="11">
        <v>53.9</v>
      </c>
      <c r="R53" s="11">
        <v>27.8</v>
      </c>
      <c r="S53" s="122">
        <v>1219.5999999999999</v>
      </c>
      <c r="T53" s="11">
        <v>408.9</v>
      </c>
      <c r="U53" s="13">
        <v>2784</v>
      </c>
      <c r="V53" s="27" t="s">
        <v>63</v>
      </c>
    </row>
    <row r="54" spans="1:22" ht="19.2" x14ac:dyDescent="0.3">
      <c r="A54" s="10" t="s">
        <v>65</v>
      </c>
      <c r="B54" s="11">
        <v>75.5</v>
      </c>
      <c r="C54" s="122">
        <v>5833</v>
      </c>
      <c r="D54" s="122">
        <v>2908</v>
      </c>
      <c r="E54" s="13">
        <v>54627</v>
      </c>
      <c r="F54" s="13">
        <v>54117</v>
      </c>
      <c r="G54" s="13">
        <v>58256</v>
      </c>
      <c r="H54" s="13">
        <v>4304</v>
      </c>
      <c r="I54" s="9">
        <f t="shared" si="0"/>
        <v>737870.73547059833</v>
      </c>
      <c r="J54" s="11">
        <v>860.6</v>
      </c>
      <c r="K54" s="13">
        <v>16105</v>
      </c>
      <c r="L54" s="11">
        <v>48.3</v>
      </c>
      <c r="M54" s="122">
        <v>1607.4</v>
      </c>
      <c r="N54" s="11">
        <v>145.9</v>
      </c>
      <c r="O54" s="11">
        <v>50.8</v>
      </c>
      <c r="P54" s="11">
        <v>584.79999999999995</v>
      </c>
      <c r="Q54" s="11">
        <v>431.6</v>
      </c>
      <c r="R54" s="11">
        <v>153.19999999999999</v>
      </c>
      <c r="S54" s="122">
        <v>7640.4</v>
      </c>
      <c r="T54" s="122">
        <v>2537.5</v>
      </c>
      <c r="U54" s="13">
        <v>936138</v>
      </c>
      <c r="V54" s="27" t="s">
        <v>65</v>
      </c>
    </row>
    <row r="55" spans="1:22" ht="19.2" x14ac:dyDescent="0.3">
      <c r="A55" s="10" t="s">
        <v>66</v>
      </c>
      <c r="B55" s="11">
        <v>49</v>
      </c>
      <c r="C55" s="11">
        <v>946.4</v>
      </c>
      <c r="D55" s="11">
        <v>466.8</v>
      </c>
      <c r="E55" s="13">
        <v>36593</v>
      </c>
      <c r="F55" s="13">
        <v>29728</v>
      </c>
      <c r="G55" s="13">
        <v>53964</v>
      </c>
      <c r="H55" s="11">
        <v>765</v>
      </c>
      <c r="I55" s="9">
        <f t="shared" si="0"/>
        <v>808326.28909551993</v>
      </c>
      <c r="J55" s="11">
        <v>87.5</v>
      </c>
      <c r="K55" s="13">
        <v>2434</v>
      </c>
      <c r="L55" s="11">
        <v>423.2</v>
      </c>
      <c r="M55" s="11">
        <v>117</v>
      </c>
      <c r="N55" s="11">
        <v>48.4</v>
      </c>
      <c r="O55" s="11">
        <v>7.9</v>
      </c>
      <c r="P55" s="11">
        <v>71.5</v>
      </c>
      <c r="Q55" s="11">
        <v>44.2</v>
      </c>
      <c r="R55" s="11">
        <v>27.3</v>
      </c>
      <c r="S55" s="11">
        <v>632.1</v>
      </c>
      <c r="T55" s="11">
        <v>221.1</v>
      </c>
      <c r="U55" s="13">
        <v>189243</v>
      </c>
      <c r="V55" s="27" t="s">
        <v>66</v>
      </c>
    </row>
    <row r="56" spans="1:22" ht="19.2" x14ac:dyDescent="0.3">
      <c r="A56" s="10" t="s">
        <v>67</v>
      </c>
      <c r="B56" s="11">
        <v>112.9</v>
      </c>
      <c r="C56" s="122">
        <v>2453.9</v>
      </c>
      <c r="D56" s="122">
        <v>1180.0999999999999</v>
      </c>
      <c r="E56" s="13">
        <v>35575</v>
      </c>
      <c r="F56" s="13">
        <v>31067</v>
      </c>
      <c r="G56" s="13">
        <v>51833</v>
      </c>
      <c r="H56" s="13">
        <v>1218</v>
      </c>
      <c r="I56" s="9">
        <f t="shared" si="0"/>
        <v>496352.74461061979</v>
      </c>
      <c r="J56" s="11">
        <v>291.39999999999998</v>
      </c>
      <c r="K56" s="13">
        <v>4619</v>
      </c>
      <c r="L56" s="11">
        <v>39.9</v>
      </c>
      <c r="M56" s="11">
        <v>815.8</v>
      </c>
      <c r="N56" s="11">
        <v>87.2</v>
      </c>
      <c r="O56" s="11">
        <v>23.4</v>
      </c>
      <c r="P56" s="11">
        <v>237.5</v>
      </c>
      <c r="Q56" s="11">
        <v>177.6</v>
      </c>
      <c r="R56" s="11">
        <v>59.9</v>
      </c>
      <c r="S56" s="11">
        <v>951.1</v>
      </c>
      <c r="T56" s="11">
        <v>619.6</v>
      </c>
      <c r="U56" s="13">
        <v>129372</v>
      </c>
      <c r="V56" s="27" t="s">
        <v>67</v>
      </c>
    </row>
    <row r="57" spans="1:22" ht="19.2" x14ac:dyDescent="0.3">
      <c r="A57" s="10" t="s">
        <v>70</v>
      </c>
      <c r="B57" s="11">
        <v>101</v>
      </c>
      <c r="C57" s="122">
        <v>4152.5</v>
      </c>
      <c r="D57" s="122">
        <v>2092.1</v>
      </c>
      <c r="E57" s="13">
        <v>46840</v>
      </c>
      <c r="F57" s="13">
        <v>41526</v>
      </c>
      <c r="G57" s="13">
        <v>52100</v>
      </c>
      <c r="H57" s="13">
        <v>2326</v>
      </c>
      <c r="I57" s="9">
        <f t="shared" si="0"/>
        <v>560144.49127031909</v>
      </c>
      <c r="J57" s="11">
        <v>643.70000000000005</v>
      </c>
      <c r="K57" s="13">
        <v>8281</v>
      </c>
      <c r="L57" s="11">
        <v>50.2</v>
      </c>
      <c r="M57" s="122">
        <v>1494.6</v>
      </c>
      <c r="N57" s="11">
        <v>207.4</v>
      </c>
      <c r="O57" s="11">
        <v>43.3</v>
      </c>
      <c r="P57" s="11">
        <v>453.9</v>
      </c>
      <c r="Q57" s="11">
        <v>320</v>
      </c>
      <c r="R57" s="11">
        <v>133.9</v>
      </c>
      <c r="S57" s="122">
        <v>2963.4</v>
      </c>
      <c r="T57" s="122">
        <v>1506</v>
      </c>
      <c r="U57" s="13">
        <v>311222</v>
      </c>
      <c r="V57" s="27" t="s">
        <v>70</v>
      </c>
    </row>
    <row r="58" spans="1:22" ht="29.4" thickBot="1" x14ac:dyDescent="0.35">
      <c r="A58" s="16" t="s">
        <v>71</v>
      </c>
      <c r="B58" s="17">
        <v>0.9</v>
      </c>
      <c r="C58" s="17">
        <v>561.4</v>
      </c>
      <c r="D58" s="17">
        <v>251.4</v>
      </c>
      <c r="E58" s="23">
        <v>39968</v>
      </c>
      <c r="F58" s="23">
        <v>33896</v>
      </c>
      <c r="G58" s="23">
        <v>47638</v>
      </c>
      <c r="H58" s="17">
        <v>230</v>
      </c>
      <c r="I58" s="9">
        <f t="shared" si="0"/>
        <v>409690.06056287856</v>
      </c>
      <c r="J58" s="17">
        <v>54</v>
      </c>
      <c r="K58" s="17">
        <v>944</v>
      </c>
      <c r="L58" s="17" t="s">
        <v>1183</v>
      </c>
      <c r="M58" s="17">
        <v>27.5</v>
      </c>
      <c r="N58" s="17">
        <v>13.8</v>
      </c>
      <c r="O58" s="17" t="s">
        <v>1183</v>
      </c>
      <c r="P58" s="17">
        <v>4.2</v>
      </c>
      <c r="Q58" s="17">
        <v>3.9</v>
      </c>
      <c r="R58" s="17">
        <v>0.3</v>
      </c>
      <c r="S58" s="17">
        <v>480.3</v>
      </c>
      <c r="T58" s="17">
        <v>103.3</v>
      </c>
      <c r="U58" s="23">
        <v>1131</v>
      </c>
      <c r="V58" s="30" t="s">
        <v>71</v>
      </c>
    </row>
    <row r="59" spans="1:22" ht="19.2" x14ac:dyDescent="0.3">
      <c r="A59" s="8" t="s">
        <v>73</v>
      </c>
      <c r="B59" s="94">
        <v>170.4</v>
      </c>
      <c r="C59" s="129">
        <v>10251.1</v>
      </c>
      <c r="D59" s="129">
        <v>4190.5</v>
      </c>
      <c r="E59" s="94" t="s">
        <v>1004</v>
      </c>
      <c r="F59" s="95">
        <v>28816</v>
      </c>
      <c r="G59" s="95">
        <v>42091</v>
      </c>
      <c r="H59" s="95">
        <v>3111</v>
      </c>
      <c r="I59" s="9">
        <f t="shared" si="0"/>
        <v>303479.62657666003</v>
      </c>
      <c r="J59" s="129">
        <v>1012.7</v>
      </c>
      <c r="K59" s="95">
        <v>8744</v>
      </c>
      <c r="L59" s="94">
        <v>47.5</v>
      </c>
      <c r="M59" s="94">
        <v>726.8</v>
      </c>
      <c r="N59" s="94">
        <v>208.2</v>
      </c>
      <c r="O59" s="94">
        <v>35</v>
      </c>
      <c r="P59" s="94">
        <v>786</v>
      </c>
      <c r="Q59" s="94">
        <v>451.6</v>
      </c>
      <c r="R59" s="94">
        <v>334.4</v>
      </c>
      <c r="S59" s="129">
        <v>7364.1</v>
      </c>
      <c r="T59" s="129">
        <v>2405.9</v>
      </c>
      <c r="U59" s="95">
        <v>116293</v>
      </c>
      <c r="V59" s="26" t="s">
        <v>73</v>
      </c>
    </row>
    <row r="60" spans="1:22" ht="19.2" x14ac:dyDescent="0.3">
      <c r="A60" s="8" t="s">
        <v>6</v>
      </c>
      <c r="B60" s="92"/>
      <c r="C60" s="128"/>
      <c r="D60" s="128"/>
      <c r="E60" s="92"/>
      <c r="F60" s="93"/>
      <c r="G60" s="93"/>
      <c r="H60" s="93"/>
      <c r="I60" s="9" t="e">
        <f t="shared" si="0"/>
        <v>#DIV/0!</v>
      </c>
      <c r="J60" s="128"/>
      <c r="K60" s="93"/>
      <c r="L60" s="92"/>
      <c r="M60" s="92"/>
      <c r="N60" s="92"/>
      <c r="O60" s="92"/>
      <c r="P60" s="92"/>
      <c r="Q60" s="92"/>
      <c r="R60" s="92"/>
      <c r="S60" s="128"/>
      <c r="T60" s="128"/>
      <c r="U60" s="93"/>
      <c r="V60" s="26" t="s">
        <v>6</v>
      </c>
    </row>
    <row r="61" spans="1:22" ht="19.2" x14ac:dyDescent="0.3">
      <c r="A61" s="10" t="s">
        <v>74</v>
      </c>
      <c r="B61" s="11">
        <v>50.3</v>
      </c>
      <c r="C61" s="122">
        <v>3232.2</v>
      </c>
      <c r="D61" s="122">
        <v>1230.2</v>
      </c>
      <c r="E61" s="13">
        <v>39686</v>
      </c>
      <c r="F61" s="13">
        <v>32046</v>
      </c>
      <c r="G61" s="13">
        <v>39054</v>
      </c>
      <c r="H61" s="11">
        <v>913</v>
      </c>
      <c r="I61" s="9">
        <f t="shared" si="0"/>
        <v>282470.14417424664</v>
      </c>
      <c r="J61" s="11">
        <v>350.6</v>
      </c>
      <c r="K61" s="13">
        <v>1853</v>
      </c>
      <c r="L61" s="11">
        <v>4.8</v>
      </c>
      <c r="M61" s="11">
        <v>56.9</v>
      </c>
      <c r="N61" s="11">
        <v>20.399999999999999</v>
      </c>
      <c r="O61" s="11">
        <v>2.8</v>
      </c>
      <c r="P61" s="11">
        <v>222.9</v>
      </c>
      <c r="Q61" s="11">
        <v>106.4</v>
      </c>
      <c r="R61" s="11">
        <v>116.5</v>
      </c>
      <c r="S61" s="122">
        <v>1617.4</v>
      </c>
      <c r="T61" s="11">
        <v>827.2</v>
      </c>
      <c r="U61" s="13">
        <v>-11989</v>
      </c>
      <c r="V61" s="27" t="s">
        <v>74</v>
      </c>
    </row>
    <row r="62" spans="1:22" ht="19.2" x14ac:dyDescent="0.3">
      <c r="A62" s="10" t="s">
        <v>250</v>
      </c>
      <c r="B62" s="11">
        <v>3.1</v>
      </c>
      <c r="C62" s="11">
        <v>527.20000000000005</v>
      </c>
      <c r="D62" s="11">
        <v>198.6</v>
      </c>
      <c r="E62" s="13">
        <v>24414</v>
      </c>
      <c r="F62" s="13">
        <v>14491</v>
      </c>
      <c r="G62" s="13">
        <v>35825</v>
      </c>
      <c r="H62" s="11">
        <v>82</v>
      </c>
      <c r="I62" s="9">
        <f t="shared" si="0"/>
        <v>155538.69499241273</v>
      </c>
      <c r="J62" s="11">
        <v>23.2</v>
      </c>
      <c r="K62" s="11">
        <v>281</v>
      </c>
      <c r="L62" s="11">
        <v>1.7</v>
      </c>
      <c r="M62" s="11">
        <v>6.3</v>
      </c>
      <c r="N62" s="11">
        <v>0.6</v>
      </c>
      <c r="O62" s="11">
        <v>0.7</v>
      </c>
      <c r="P62" s="11">
        <v>22.1</v>
      </c>
      <c r="Q62" s="11">
        <v>8.1</v>
      </c>
      <c r="R62" s="11">
        <v>14</v>
      </c>
      <c r="S62" s="11">
        <v>162.6</v>
      </c>
      <c r="T62" s="11">
        <v>48.6</v>
      </c>
      <c r="U62" s="13">
        <v>-1889</v>
      </c>
      <c r="V62" s="27" t="s">
        <v>250</v>
      </c>
    </row>
    <row r="63" spans="1:22" ht="28.8" x14ac:dyDescent="0.3">
      <c r="A63" s="8" t="s">
        <v>76</v>
      </c>
      <c r="B63" s="36">
        <v>12.5</v>
      </c>
      <c r="C63" s="36">
        <v>905.5</v>
      </c>
      <c r="D63" s="36">
        <v>386</v>
      </c>
      <c r="E63" s="91">
        <v>38948</v>
      </c>
      <c r="F63" s="91">
        <v>33021</v>
      </c>
      <c r="G63" s="91">
        <v>39988</v>
      </c>
      <c r="H63" s="36">
        <v>259</v>
      </c>
      <c r="I63" s="9">
        <f t="shared" si="0"/>
        <v>286029.81778023188</v>
      </c>
      <c r="J63" s="36">
        <v>68.3</v>
      </c>
      <c r="K63" s="36">
        <v>666</v>
      </c>
      <c r="L63" s="36">
        <v>0.5</v>
      </c>
      <c r="M63" s="36">
        <v>43.9</v>
      </c>
      <c r="N63" s="36">
        <v>14</v>
      </c>
      <c r="O63" s="36">
        <v>2.6</v>
      </c>
      <c r="P63" s="36">
        <v>96</v>
      </c>
      <c r="Q63" s="36">
        <v>55.5</v>
      </c>
      <c r="R63" s="36">
        <v>40.5</v>
      </c>
      <c r="S63" s="36">
        <v>559.29999999999995</v>
      </c>
      <c r="T63" s="36">
        <v>283.3</v>
      </c>
      <c r="U63" s="91">
        <v>-2044</v>
      </c>
      <c r="V63" s="27" t="s">
        <v>251</v>
      </c>
    </row>
    <row r="64" spans="1:22" x14ac:dyDescent="0.3">
      <c r="A64" s="10" t="s">
        <v>252</v>
      </c>
      <c r="B64" s="36"/>
      <c r="C64" s="36"/>
      <c r="D64" s="36"/>
      <c r="E64" s="91"/>
      <c r="F64" s="91"/>
      <c r="G64" s="91"/>
      <c r="H64" s="36"/>
      <c r="I64" s="9" t="e">
        <f t="shared" si="0"/>
        <v>#DIV/0!</v>
      </c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91"/>
      <c r="V64" s="27" t="s">
        <v>252</v>
      </c>
    </row>
    <row r="65" spans="1:22" ht="28.8" x14ac:dyDescent="0.3">
      <c r="A65" s="10" t="s">
        <v>77</v>
      </c>
      <c r="B65" s="36">
        <v>14.3</v>
      </c>
      <c r="C65" s="36">
        <v>468.3</v>
      </c>
      <c r="D65" s="36">
        <v>188</v>
      </c>
      <c r="E65" s="91">
        <v>25619</v>
      </c>
      <c r="F65" s="91">
        <v>17547</v>
      </c>
      <c r="G65" s="91">
        <v>40388</v>
      </c>
      <c r="H65" s="36">
        <v>126</v>
      </c>
      <c r="I65" s="9">
        <f t="shared" si="0"/>
        <v>269058.29596412554</v>
      </c>
      <c r="J65" s="36">
        <v>28.9</v>
      </c>
      <c r="K65" s="36">
        <v>550</v>
      </c>
      <c r="L65" s="36">
        <v>4.5999999999999996</v>
      </c>
      <c r="M65" s="36">
        <v>48.5</v>
      </c>
      <c r="N65" s="36">
        <v>14.1</v>
      </c>
      <c r="O65" s="36">
        <v>2.5</v>
      </c>
      <c r="P65" s="36">
        <v>43.6</v>
      </c>
      <c r="Q65" s="36">
        <v>18.2</v>
      </c>
      <c r="R65" s="36">
        <v>25.4</v>
      </c>
      <c r="S65" s="36">
        <v>419.9</v>
      </c>
      <c r="T65" s="36">
        <v>53.1</v>
      </c>
      <c r="U65" s="91">
        <v>-6383</v>
      </c>
      <c r="V65" s="27" t="s">
        <v>253</v>
      </c>
    </row>
    <row r="66" spans="1:22" x14ac:dyDescent="0.3">
      <c r="A66" s="10" t="s">
        <v>252</v>
      </c>
      <c r="B66" s="36"/>
      <c r="C66" s="36"/>
      <c r="D66" s="36"/>
      <c r="E66" s="91"/>
      <c r="F66" s="91"/>
      <c r="G66" s="91"/>
      <c r="H66" s="36"/>
      <c r="I66" s="9" t="e">
        <f t="shared" si="0"/>
        <v>#DIV/0!</v>
      </c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91"/>
      <c r="V66" s="27" t="s">
        <v>252</v>
      </c>
    </row>
    <row r="67" spans="1:22" ht="28.8" x14ac:dyDescent="0.3">
      <c r="A67" s="10" t="s">
        <v>1066</v>
      </c>
      <c r="B67" s="36">
        <v>8</v>
      </c>
      <c r="C67" s="36">
        <v>678.9</v>
      </c>
      <c r="D67" s="36">
        <v>274.2</v>
      </c>
      <c r="E67" s="91">
        <v>35276</v>
      </c>
      <c r="F67" s="91">
        <v>26999</v>
      </c>
      <c r="G67" s="91">
        <v>41059</v>
      </c>
      <c r="H67" s="36">
        <v>216</v>
      </c>
      <c r="I67" s="9">
        <f t="shared" si="0"/>
        <v>318161.7322138754</v>
      </c>
      <c r="J67" s="36">
        <v>43.5</v>
      </c>
      <c r="K67" s="36">
        <v>462</v>
      </c>
      <c r="L67" s="36">
        <v>2.2000000000000002</v>
      </c>
      <c r="M67" s="36">
        <v>41.5</v>
      </c>
      <c r="N67" s="36">
        <v>18.100000000000001</v>
      </c>
      <c r="O67" s="36">
        <v>3.5</v>
      </c>
      <c r="P67" s="36">
        <v>56.7</v>
      </c>
      <c r="Q67" s="36">
        <v>32</v>
      </c>
      <c r="R67" s="36">
        <v>24.7</v>
      </c>
      <c r="S67" s="36">
        <v>481.5</v>
      </c>
      <c r="T67" s="36">
        <v>167.3</v>
      </c>
      <c r="U67" s="36">
        <v>-94</v>
      </c>
      <c r="V67" s="27" t="s">
        <v>254</v>
      </c>
    </row>
    <row r="68" spans="1:22" ht="19.2" x14ac:dyDescent="0.3">
      <c r="A68" s="10" t="s">
        <v>1184</v>
      </c>
      <c r="B68" s="36"/>
      <c r="C68" s="36"/>
      <c r="D68" s="36"/>
      <c r="E68" s="91"/>
      <c r="F68" s="91"/>
      <c r="G68" s="91"/>
      <c r="H68" s="36"/>
      <c r="I68" s="9" t="e">
        <f t="shared" si="0"/>
        <v>#DIV/0!</v>
      </c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27" t="s">
        <v>1184</v>
      </c>
    </row>
    <row r="69" spans="1:22" ht="19.2" x14ac:dyDescent="0.3">
      <c r="A69" s="10" t="s">
        <v>78</v>
      </c>
      <c r="B69" s="11">
        <v>16.2</v>
      </c>
      <c r="C69" s="122">
        <v>1552.9</v>
      </c>
      <c r="D69" s="11">
        <v>569.20000000000005</v>
      </c>
      <c r="E69" s="13">
        <v>35920</v>
      </c>
      <c r="F69" s="13">
        <v>25262</v>
      </c>
      <c r="G69" s="13">
        <v>37589</v>
      </c>
      <c r="H69" s="11">
        <v>315</v>
      </c>
      <c r="I69" s="9">
        <f t="shared" si="0"/>
        <v>202846.28759095885</v>
      </c>
      <c r="J69" s="11">
        <v>163.4</v>
      </c>
      <c r="K69" s="13">
        <v>1074</v>
      </c>
      <c r="L69" s="11">
        <v>5</v>
      </c>
      <c r="M69" s="11">
        <v>23.7</v>
      </c>
      <c r="N69" s="11">
        <v>37.6</v>
      </c>
      <c r="O69" s="11">
        <v>2.8</v>
      </c>
      <c r="P69" s="11">
        <v>56.7</v>
      </c>
      <c r="Q69" s="11">
        <v>23.9</v>
      </c>
      <c r="R69" s="11">
        <v>32.799999999999997</v>
      </c>
      <c r="S69" s="122">
        <v>2331.5</v>
      </c>
      <c r="T69" s="11">
        <v>283.89999999999998</v>
      </c>
      <c r="U69" s="13">
        <v>-28848</v>
      </c>
      <c r="V69" s="27" t="s">
        <v>256</v>
      </c>
    </row>
    <row r="70" spans="1:22" ht="19.2" x14ac:dyDescent="0.3">
      <c r="A70" s="10" t="s">
        <v>79</v>
      </c>
      <c r="B70" s="11">
        <v>66.2</v>
      </c>
      <c r="C70" s="122">
        <v>2886.1</v>
      </c>
      <c r="D70" s="122">
        <v>1344.4</v>
      </c>
      <c r="E70" s="13">
        <v>32930</v>
      </c>
      <c r="F70" s="13">
        <v>30648</v>
      </c>
      <c r="G70" s="13">
        <v>47054</v>
      </c>
      <c r="H70" s="13">
        <v>1200</v>
      </c>
      <c r="I70" s="9">
        <f t="shared" si="0"/>
        <v>415786.00880080386</v>
      </c>
      <c r="J70" s="11">
        <v>334.7</v>
      </c>
      <c r="K70" s="13">
        <v>3858</v>
      </c>
      <c r="L70" s="11">
        <v>28.8</v>
      </c>
      <c r="M70" s="11">
        <v>505.9</v>
      </c>
      <c r="N70" s="11">
        <v>103.2</v>
      </c>
      <c r="O70" s="11">
        <v>20</v>
      </c>
      <c r="P70" s="11">
        <v>287.89999999999998</v>
      </c>
      <c r="Q70" s="11">
        <v>207.4</v>
      </c>
      <c r="R70" s="11">
        <v>80.5</v>
      </c>
      <c r="S70" s="122">
        <v>1791.9</v>
      </c>
      <c r="T70" s="11">
        <v>742.6</v>
      </c>
      <c r="U70" s="13">
        <v>167540</v>
      </c>
      <c r="V70" s="27" t="s">
        <v>79</v>
      </c>
    </row>
    <row r="71" spans="1:22" ht="19.2" x14ac:dyDescent="0.3">
      <c r="A71" s="8" t="s">
        <v>80</v>
      </c>
      <c r="B71" s="128">
        <v>1037</v>
      </c>
      <c r="C71" s="128">
        <v>28540.799999999999</v>
      </c>
      <c r="D71" s="128">
        <v>13695.9</v>
      </c>
      <c r="E71" s="92" t="s">
        <v>1013</v>
      </c>
      <c r="F71" s="93">
        <v>33869</v>
      </c>
      <c r="G71" s="93">
        <v>55724</v>
      </c>
      <c r="H71" s="93">
        <v>19665</v>
      </c>
      <c r="I71" s="9">
        <f t="shared" si="0"/>
        <v>689013.62260343088</v>
      </c>
      <c r="J71" s="128">
        <v>4830.2</v>
      </c>
      <c r="K71" s="93">
        <v>63014</v>
      </c>
      <c r="L71" s="128">
        <v>4134.3</v>
      </c>
      <c r="M71" s="128">
        <v>14288.6</v>
      </c>
      <c r="N71" s="128">
        <v>1232.4000000000001</v>
      </c>
      <c r="O71" s="92">
        <v>379.2</v>
      </c>
      <c r="P71" s="128">
        <v>1937.2</v>
      </c>
      <c r="Q71" s="128">
        <v>1003</v>
      </c>
      <c r="R71" s="92">
        <v>934.2</v>
      </c>
      <c r="S71" s="128">
        <v>20158.3</v>
      </c>
      <c r="T71" s="128">
        <v>8287.9</v>
      </c>
      <c r="U71" s="93">
        <v>3763171</v>
      </c>
      <c r="V71" s="26" t="s">
        <v>80</v>
      </c>
    </row>
    <row r="72" spans="1:22" ht="19.2" x14ac:dyDescent="0.3">
      <c r="A72" s="8" t="s">
        <v>6</v>
      </c>
      <c r="B72" s="128"/>
      <c r="C72" s="128"/>
      <c r="D72" s="128"/>
      <c r="E72" s="92"/>
      <c r="F72" s="93"/>
      <c r="G72" s="93"/>
      <c r="H72" s="93"/>
      <c r="I72" s="9" t="e">
        <f t="shared" si="0"/>
        <v>#DIV/0!</v>
      </c>
      <c r="J72" s="128"/>
      <c r="K72" s="93"/>
      <c r="L72" s="128"/>
      <c r="M72" s="128"/>
      <c r="N72" s="128"/>
      <c r="O72" s="92"/>
      <c r="P72" s="128"/>
      <c r="Q72" s="128"/>
      <c r="R72" s="92"/>
      <c r="S72" s="128"/>
      <c r="T72" s="128"/>
      <c r="U72" s="93"/>
      <c r="V72" s="26" t="s">
        <v>6</v>
      </c>
    </row>
    <row r="73" spans="1:22" ht="28.8" x14ac:dyDescent="0.3">
      <c r="A73" s="10" t="s">
        <v>81</v>
      </c>
      <c r="B73" s="11">
        <v>142.9</v>
      </c>
      <c r="C73" s="122">
        <v>4064.3</v>
      </c>
      <c r="D73" s="122">
        <v>1730</v>
      </c>
      <c r="E73" s="13">
        <v>40022</v>
      </c>
      <c r="F73" s="13">
        <v>35226</v>
      </c>
      <c r="G73" s="13">
        <v>56974</v>
      </c>
      <c r="H73" s="13">
        <v>2243</v>
      </c>
      <c r="I73" s="9">
        <f t="shared" si="0"/>
        <v>551878.55227222398</v>
      </c>
      <c r="J73" s="11">
        <v>620</v>
      </c>
      <c r="K73" s="13">
        <v>8198</v>
      </c>
      <c r="L73" s="11">
        <v>442.4</v>
      </c>
      <c r="M73" s="122">
        <v>1748.9</v>
      </c>
      <c r="N73" s="11">
        <v>181.5</v>
      </c>
      <c r="O73" s="11">
        <v>31.2</v>
      </c>
      <c r="P73" s="11">
        <v>227.5</v>
      </c>
      <c r="Q73" s="11">
        <v>99.1</v>
      </c>
      <c r="R73" s="11">
        <v>128.4</v>
      </c>
      <c r="S73" s="122">
        <v>3315.5</v>
      </c>
      <c r="T73" s="122">
        <v>1278.4000000000001</v>
      </c>
      <c r="U73" s="13">
        <v>425856</v>
      </c>
      <c r="V73" s="27" t="s">
        <v>81</v>
      </c>
    </row>
    <row r="74" spans="1:22" ht="19.2" x14ac:dyDescent="0.3">
      <c r="A74" s="10" t="s">
        <v>82</v>
      </c>
      <c r="B74" s="11">
        <v>23.4</v>
      </c>
      <c r="C74" s="11">
        <v>669.8</v>
      </c>
      <c r="D74" s="11">
        <v>280.7</v>
      </c>
      <c r="E74" s="13">
        <v>31013</v>
      </c>
      <c r="F74" s="13">
        <v>23518</v>
      </c>
      <c r="G74" s="13">
        <v>48997</v>
      </c>
      <c r="H74" s="11">
        <v>262</v>
      </c>
      <c r="I74" s="9">
        <f t="shared" si="0"/>
        <v>391161.54075843544</v>
      </c>
      <c r="J74" s="11">
        <v>52.2</v>
      </c>
      <c r="K74" s="13">
        <v>1038</v>
      </c>
      <c r="L74" s="11">
        <v>0.7</v>
      </c>
      <c r="M74" s="11">
        <v>248.3</v>
      </c>
      <c r="N74" s="11">
        <v>14.6</v>
      </c>
      <c r="O74" s="11">
        <v>6</v>
      </c>
      <c r="P74" s="11">
        <v>57.9</v>
      </c>
      <c r="Q74" s="11">
        <v>17</v>
      </c>
      <c r="R74" s="11">
        <v>40.9</v>
      </c>
      <c r="S74" s="11">
        <v>536.5</v>
      </c>
      <c r="T74" s="11">
        <v>134.6</v>
      </c>
      <c r="U74" s="13">
        <v>38808</v>
      </c>
      <c r="V74" s="27" t="s">
        <v>82</v>
      </c>
    </row>
    <row r="75" spans="1:22" ht="19.2" x14ac:dyDescent="0.3">
      <c r="A75" s="10" t="s">
        <v>83</v>
      </c>
      <c r="B75" s="11">
        <v>26.1</v>
      </c>
      <c r="C75" s="11">
        <v>765.9</v>
      </c>
      <c r="D75" s="11">
        <v>369.3</v>
      </c>
      <c r="E75" s="13">
        <v>30647</v>
      </c>
      <c r="F75" s="13">
        <v>26730</v>
      </c>
      <c r="G75" s="13">
        <v>46406</v>
      </c>
      <c r="H75" s="11">
        <v>343</v>
      </c>
      <c r="I75" s="9">
        <f t="shared" si="0"/>
        <v>447839.1434913174</v>
      </c>
      <c r="J75" s="11">
        <v>74.099999999999994</v>
      </c>
      <c r="K75" s="13">
        <v>1267</v>
      </c>
      <c r="L75" s="11">
        <v>0.3</v>
      </c>
      <c r="M75" s="11">
        <v>371.3</v>
      </c>
      <c r="N75" s="11">
        <v>14.1</v>
      </c>
      <c r="O75" s="11">
        <v>4.4000000000000004</v>
      </c>
      <c r="P75" s="11">
        <v>117.8</v>
      </c>
      <c r="Q75" s="11">
        <v>47.4</v>
      </c>
      <c r="R75" s="11">
        <v>70.400000000000006</v>
      </c>
      <c r="S75" s="11">
        <v>360.3</v>
      </c>
      <c r="T75" s="11">
        <v>185.4</v>
      </c>
      <c r="U75" s="13">
        <v>58994</v>
      </c>
      <c r="V75" s="27" t="s">
        <v>83</v>
      </c>
    </row>
    <row r="76" spans="1:22" ht="19.2" x14ac:dyDescent="0.3">
      <c r="A76" s="10" t="s">
        <v>84</v>
      </c>
      <c r="B76" s="11">
        <v>67.8</v>
      </c>
      <c r="C76" s="122">
        <v>4003</v>
      </c>
      <c r="D76" s="122">
        <v>2036.5</v>
      </c>
      <c r="E76" s="13">
        <v>52524</v>
      </c>
      <c r="F76" s="13">
        <v>42009</v>
      </c>
      <c r="G76" s="13">
        <v>61894</v>
      </c>
      <c r="H76" s="13">
        <v>4179</v>
      </c>
      <c r="I76" s="9">
        <f t="shared" ref="I76:I126" si="1">H76/C76*1000*1000</f>
        <v>1043967.0247314514</v>
      </c>
      <c r="J76" s="122">
        <v>1180.4000000000001</v>
      </c>
      <c r="K76" s="13">
        <v>11075</v>
      </c>
      <c r="L76" s="122">
        <v>1159.7</v>
      </c>
      <c r="M76" s="122">
        <v>3509.7</v>
      </c>
      <c r="N76" s="11">
        <v>175.6</v>
      </c>
      <c r="O76" s="11">
        <v>62.3</v>
      </c>
      <c r="P76" s="11">
        <v>289.7</v>
      </c>
      <c r="Q76" s="11">
        <v>127.2</v>
      </c>
      <c r="R76" s="11">
        <v>162.5</v>
      </c>
      <c r="S76" s="122">
        <v>3436.5</v>
      </c>
      <c r="T76" s="122">
        <v>1400.3</v>
      </c>
      <c r="U76" s="13">
        <v>1320174</v>
      </c>
      <c r="V76" s="27" t="s">
        <v>84</v>
      </c>
    </row>
    <row r="77" spans="1:22" ht="19.2" x14ac:dyDescent="0.3">
      <c r="A77" s="10" t="s">
        <v>85</v>
      </c>
      <c r="B77" s="11">
        <v>42.1</v>
      </c>
      <c r="C77" s="122">
        <v>1434.6</v>
      </c>
      <c r="D77" s="11">
        <v>681.5</v>
      </c>
      <c r="E77" s="13">
        <v>38939</v>
      </c>
      <c r="F77" s="13">
        <v>29170</v>
      </c>
      <c r="G77" s="13">
        <v>53721</v>
      </c>
      <c r="H77" s="11">
        <v>966</v>
      </c>
      <c r="I77" s="9">
        <f t="shared" si="1"/>
        <v>673358.4274362193</v>
      </c>
      <c r="J77" s="11">
        <v>166.3</v>
      </c>
      <c r="K77" s="13">
        <v>2893</v>
      </c>
      <c r="L77" s="11">
        <v>353.5</v>
      </c>
      <c r="M77" s="11">
        <v>592.20000000000005</v>
      </c>
      <c r="N77" s="11">
        <v>49.6</v>
      </c>
      <c r="O77" s="11">
        <v>15.3</v>
      </c>
      <c r="P77" s="11">
        <v>88.7</v>
      </c>
      <c r="Q77" s="11">
        <v>24.4</v>
      </c>
      <c r="R77" s="11">
        <v>64.3</v>
      </c>
      <c r="S77" s="122">
        <v>1389.6</v>
      </c>
      <c r="T77" s="11">
        <v>338.6</v>
      </c>
      <c r="U77" s="13">
        <v>89894</v>
      </c>
      <c r="V77" s="27" t="s">
        <v>85</v>
      </c>
    </row>
    <row r="78" spans="1:22" ht="19.2" x14ac:dyDescent="0.3">
      <c r="A78" s="10" t="s">
        <v>86</v>
      </c>
      <c r="B78" s="11">
        <v>18.3</v>
      </c>
      <c r="C78" s="122">
        <v>1167.0999999999999</v>
      </c>
      <c r="D78" s="11">
        <v>508.7</v>
      </c>
      <c r="E78" s="13">
        <v>34129</v>
      </c>
      <c r="F78" s="13">
        <v>25976</v>
      </c>
      <c r="G78" s="13">
        <v>50263</v>
      </c>
      <c r="H78" s="11">
        <v>501</v>
      </c>
      <c r="I78" s="9">
        <f t="shared" si="1"/>
        <v>429269.1286093737</v>
      </c>
      <c r="J78" s="11">
        <v>123.4</v>
      </c>
      <c r="K78" s="13">
        <v>1741</v>
      </c>
      <c r="L78" s="11">
        <v>1</v>
      </c>
      <c r="M78" s="11">
        <v>402.9</v>
      </c>
      <c r="N78" s="11">
        <v>30.6</v>
      </c>
      <c r="O78" s="11">
        <v>8.3000000000000007</v>
      </c>
      <c r="P78" s="11">
        <v>63.4</v>
      </c>
      <c r="Q78" s="11">
        <v>36.200000000000003</v>
      </c>
      <c r="R78" s="11">
        <v>27.2</v>
      </c>
      <c r="S78" s="11">
        <v>780.7</v>
      </c>
      <c r="T78" s="11">
        <v>258.3</v>
      </c>
      <c r="U78" s="13">
        <v>68639</v>
      </c>
      <c r="V78" s="27" t="s">
        <v>86</v>
      </c>
    </row>
    <row r="79" spans="1:22" ht="19.2" x14ac:dyDescent="0.3">
      <c r="A79" s="10" t="s">
        <v>87</v>
      </c>
      <c r="B79" s="11">
        <v>160.19999999999999</v>
      </c>
      <c r="C79" s="122">
        <v>2495.3000000000002</v>
      </c>
      <c r="D79" s="122">
        <v>1145.5999999999999</v>
      </c>
      <c r="E79" s="13">
        <v>45639</v>
      </c>
      <c r="F79" s="13">
        <v>35068</v>
      </c>
      <c r="G79" s="13">
        <v>62393</v>
      </c>
      <c r="H79" s="13">
        <v>2003</v>
      </c>
      <c r="I79" s="9">
        <f t="shared" si="1"/>
        <v>802709.09309501864</v>
      </c>
      <c r="J79" s="11">
        <v>481.4</v>
      </c>
      <c r="K79" s="13">
        <v>7527</v>
      </c>
      <c r="L79" s="11">
        <v>633.29999999999995</v>
      </c>
      <c r="M79" s="122">
        <v>1385.9</v>
      </c>
      <c r="N79" s="11">
        <v>145.4</v>
      </c>
      <c r="O79" s="11">
        <v>39.799999999999997</v>
      </c>
      <c r="P79" s="11">
        <v>62.7</v>
      </c>
      <c r="Q79" s="11">
        <v>20.3</v>
      </c>
      <c r="R79" s="11">
        <v>42.4</v>
      </c>
      <c r="S79" s="122">
        <v>1927.7</v>
      </c>
      <c r="T79" s="11">
        <v>702.7</v>
      </c>
      <c r="U79" s="13">
        <v>320610</v>
      </c>
      <c r="V79" s="27" t="s">
        <v>87</v>
      </c>
    </row>
    <row r="80" spans="1:22" ht="19.2" x14ac:dyDescent="0.3">
      <c r="A80" s="10" t="s">
        <v>88</v>
      </c>
      <c r="B80" s="11">
        <v>120.4</v>
      </c>
      <c r="C80" s="122">
        <v>1129.9000000000001</v>
      </c>
      <c r="D80" s="11">
        <v>530</v>
      </c>
      <c r="E80" s="13">
        <v>38277</v>
      </c>
      <c r="F80" s="13">
        <v>30119</v>
      </c>
      <c r="G80" s="13">
        <v>48258</v>
      </c>
      <c r="H80" s="11">
        <v>555</v>
      </c>
      <c r="I80" s="9">
        <f t="shared" si="1"/>
        <v>491193.91096557211</v>
      </c>
      <c r="J80" s="11">
        <v>106.2</v>
      </c>
      <c r="K80" s="13">
        <v>1790</v>
      </c>
      <c r="L80" s="11">
        <v>1.6</v>
      </c>
      <c r="M80" s="11">
        <v>410</v>
      </c>
      <c r="N80" s="11">
        <v>47.2</v>
      </c>
      <c r="O80" s="11">
        <v>10.9</v>
      </c>
      <c r="P80" s="11">
        <v>62.4</v>
      </c>
      <c r="Q80" s="11">
        <v>17.3</v>
      </c>
      <c r="R80" s="11">
        <v>45.1</v>
      </c>
      <c r="S80" s="11">
        <v>595.70000000000005</v>
      </c>
      <c r="T80" s="11">
        <v>282.89999999999998</v>
      </c>
      <c r="U80" s="13">
        <v>37338</v>
      </c>
      <c r="V80" s="27" t="s">
        <v>88</v>
      </c>
    </row>
    <row r="81" spans="1:22" ht="19.2" x14ac:dyDescent="0.3">
      <c r="A81" s="10" t="s">
        <v>89</v>
      </c>
      <c r="B81" s="11">
        <v>76.599999999999994</v>
      </c>
      <c r="C81" s="122">
        <v>3060.3</v>
      </c>
      <c r="D81" s="122">
        <v>1660.5</v>
      </c>
      <c r="E81" s="13">
        <v>50601</v>
      </c>
      <c r="F81" s="13">
        <v>40630</v>
      </c>
      <c r="G81" s="13">
        <v>56526</v>
      </c>
      <c r="H81" s="13">
        <v>2288</v>
      </c>
      <c r="I81" s="9">
        <f t="shared" si="1"/>
        <v>747639.12034767831</v>
      </c>
      <c r="J81" s="11">
        <v>686.9</v>
      </c>
      <c r="K81" s="13">
        <v>7783</v>
      </c>
      <c r="L81" s="11">
        <v>6</v>
      </c>
      <c r="M81" s="122">
        <v>1935.5</v>
      </c>
      <c r="N81" s="11">
        <v>133.9</v>
      </c>
      <c r="O81" s="11">
        <v>57.7</v>
      </c>
      <c r="P81" s="11">
        <v>126.1</v>
      </c>
      <c r="Q81" s="11">
        <v>61.9</v>
      </c>
      <c r="R81" s="11">
        <v>64.2</v>
      </c>
      <c r="S81" s="122">
        <v>1859.4</v>
      </c>
      <c r="T81" s="122">
        <v>1093.8</v>
      </c>
      <c r="U81" s="13">
        <v>557444</v>
      </c>
      <c r="V81" s="27" t="s">
        <v>825</v>
      </c>
    </row>
    <row r="82" spans="1:22" ht="19.2" x14ac:dyDescent="0.3">
      <c r="A82" s="10" t="s">
        <v>90</v>
      </c>
      <c r="B82" s="11">
        <v>123.7</v>
      </c>
      <c r="C82" s="122">
        <v>1828.7</v>
      </c>
      <c r="D82" s="11">
        <v>848.3</v>
      </c>
      <c r="E82" s="13">
        <v>36756</v>
      </c>
      <c r="F82" s="13">
        <v>28738</v>
      </c>
      <c r="G82" s="13">
        <v>53119</v>
      </c>
      <c r="H82" s="13">
        <v>1571</v>
      </c>
      <c r="I82" s="9">
        <f t="shared" si="1"/>
        <v>859080.22092196648</v>
      </c>
      <c r="J82" s="11">
        <v>293.39999999999998</v>
      </c>
      <c r="K82" s="13">
        <v>4052</v>
      </c>
      <c r="L82" s="11">
        <v>859.1</v>
      </c>
      <c r="M82" s="11">
        <v>546.9</v>
      </c>
      <c r="N82" s="11">
        <v>93.6</v>
      </c>
      <c r="O82" s="11">
        <v>28.1</v>
      </c>
      <c r="P82" s="11">
        <v>178.3</v>
      </c>
      <c r="Q82" s="11">
        <v>107.4</v>
      </c>
      <c r="R82" s="11">
        <v>70.900000000000006</v>
      </c>
      <c r="S82" s="122">
        <v>1129.8</v>
      </c>
      <c r="T82" s="11">
        <v>464.9</v>
      </c>
      <c r="U82" s="13">
        <v>156714</v>
      </c>
      <c r="V82" s="27" t="s">
        <v>90</v>
      </c>
    </row>
    <row r="83" spans="1:22" ht="19.2" x14ac:dyDescent="0.3">
      <c r="A83" s="10" t="s">
        <v>91</v>
      </c>
      <c r="B83" s="11">
        <v>43.4</v>
      </c>
      <c r="C83" s="122">
        <v>1236.0999999999999</v>
      </c>
      <c r="D83" s="11">
        <v>580.5</v>
      </c>
      <c r="E83" s="13">
        <v>36429</v>
      </c>
      <c r="F83" s="13">
        <v>29428</v>
      </c>
      <c r="G83" s="13">
        <v>48167</v>
      </c>
      <c r="H83" s="11">
        <v>593</v>
      </c>
      <c r="I83" s="9">
        <f t="shared" si="1"/>
        <v>479734.64930021844</v>
      </c>
      <c r="J83" s="11">
        <v>121.8</v>
      </c>
      <c r="K83" s="13">
        <v>2318</v>
      </c>
      <c r="L83" s="11">
        <v>3.5</v>
      </c>
      <c r="M83" s="11">
        <v>398.1</v>
      </c>
      <c r="N83" s="11">
        <v>26.3</v>
      </c>
      <c r="O83" s="11">
        <v>8.9</v>
      </c>
      <c r="P83" s="11">
        <v>162.4</v>
      </c>
      <c r="Q83" s="11">
        <v>86.1</v>
      </c>
      <c r="R83" s="11">
        <v>76.3</v>
      </c>
      <c r="S83" s="11">
        <v>938.7</v>
      </c>
      <c r="T83" s="11">
        <v>314.10000000000002</v>
      </c>
      <c r="U83" s="13">
        <v>59520</v>
      </c>
      <c r="V83" s="27" t="s">
        <v>91</v>
      </c>
    </row>
    <row r="84" spans="1:22" ht="19.2" x14ac:dyDescent="0.3">
      <c r="A84" s="10" t="s">
        <v>92</v>
      </c>
      <c r="B84" s="11">
        <v>53.6</v>
      </c>
      <c r="C84" s="122">
        <v>3127.8</v>
      </c>
      <c r="D84" s="122">
        <v>1646.3</v>
      </c>
      <c r="E84" s="13">
        <v>42701</v>
      </c>
      <c r="F84" s="13">
        <v>36303</v>
      </c>
      <c r="G84" s="13">
        <v>58063</v>
      </c>
      <c r="H84" s="13">
        <v>2378</v>
      </c>
      <c r="I84" s="9">
        <f t="shared" si="1"/>
        <v>760278.79020397714</v>
      </c>
      <c r="J84" s="11">
        <v>516.6</v>
      </c>
      <c r="K84" s="13">
        <v>7869</v>
      </c>
      <c r="L84" s="11">
        <v>588.29999999999995</v>
      </c>
      <c r="M84" s="122">
        <v>1572.4</v>
      </c>
      <c r="N84" s="11">
        <v>142</v>
      </c>
      <c r="O84" s="11">
        <v>75.400000000000006</v>
      </c>
      <c r="P84" s="11">
        <v>159.19999999999999</v>
      </c>
      <c r="Q84" s="11">
        <v>107.7</v>
      </c>
      <c r="R84" s="11">
        <v>51.5</v>
      </c>
      <c r="S84" s="122">
        <v>1938.2</v>
      </c>
      <c r="T84" s="11">
        <v>990.6</v>
      </c>
      <c r="U84" s="13">
        <v>505525</v>
      </c>
      <c r="V84" s="27" t="s">
        <v>92</v>
      </c>
    </row>
    <row r="85" spans="1:22" ht="19.2" x14ac:dyDescent="0.3">
      <c r="A85" s="10" t="s">
        <v>93</v>
      </c>
      <c r="B85" s="11">
        <v>101.2</v>
      </c>
      <c r="C85" s="122">
        <v>2385.1999999999998</v>
      </c>
      <c r="D85" s="122">
        <v>1120.4000000000001</v>
      </c>
      <c r="E85" s="13">
        <v>33348</v>
      </c>
      <c r="F85" s="13">
        <v>27613</v>
      </c>
      <c r="G85" s="13">
        <v>49995</v>
      </c>
      <c r="H85" s="13">
        <v>1194</v>
      </c>
      <c r="I85" s="9">
        <f t="shared" si="1"/>
        <v>500586.95287606912</v>
      </c>
      <c r="J85" s="11">
        <v>286.5</v>
      </c>
      <c r="K85" s="13">
        <v>3985</v>
      </c>
      <c r="L85" s="11">
        <v>59.6</v>
      </c>
      <c r="M85" s="11">
        <v>704.2</v>
      </c>
      <c r="N85" s="11">
        <v>143.4</v>
      </c>
      <c r="O85" s="11">
        <v>17.8</v>
      </c>
      <c r="P85" s="11">
        <v>271.89999999999998</v>
      </c>
      <c r="Q85" s="11">
        <v>201.1</v>
      </c>
      <c r="R85" s="11">
        <v>70.8</v>
      </c>
      <c r="S85" s="122">
        <v>1152.4000000000001</v>
      </c>
      <c r="T85" s="11">
        <v>568.4</v>
      </c>
      <c r="U85" s="13">
        <v>95466</v>
      </c>
      <c r="V85" s="27" t="s">
        <v>93</v>
      </c>
    </row>
    <row r="86" spans="1:22" ht="19.2" x14ac:dyDescent="0.3">
      <c r="A86" s="10" t="s">
        <v>94</v>
      </c>
      <c r="B86" s="11">
        <v>37.200000000000003</v>
      </c>
      <c r="C86" s="122">
        <v>1172.8</v>
      </c>
      <c r="D86" s="11">
        <v>557.70000000000005</v>
      </c>
      <c r="E86" s="13">
        <v>35783</v>
      </c>
      <c r="F86" s="13">
        <v>28003</v>
      </c>
      <c r="G86" s="13">
        <v>48890</v>
      </c>
      <c r="H86" s="11">
        <v>589</v>
      </c>
      <c r="I86" s="9">
        <f t="shared" si="1"/>
        <v>502216.91678035475</v>
      </c>
      <c r="J86" s="11">
        <v>120.8</v>
      </c>
      <c r="K86" s="13">
        <v>1478</v>
      </c>
      <c r="L86" s="11">
        <v>25.4</v>
      </c>
      <c r="M86" s="11">
        <v>462.3</v>
      </c>
      <c r="N86" s="11">
        <v>34.5</v>
      </c>
      <c r="O86" s="11">
        <v>13.1</v>
      </c>
      <c r="P86" s="11">
        <v>69</v>
      </c>
      <c r="Q86" s="11">
        <v>49.8</v>
      </c>
      <c r="R86" s="11">
        <v>19.2</v>
      </c>
      <c r="S86" s="11">
        <v>797.3</v>
      </c>
      <c r="T86" s="11">
        <v>274.8</v>
      </c>
      <c r="U86" s="13">
        <v>28189</v>
      </c>
      <c r="V86" s="27" t="s">
        <v>94</v>
      </c>
    </row>
    <row r="87" spans="1:22" x14ac:dyDescent="0.3">
      <c r="A87" s="8" t="s">
        <v>95</v>
      </c>
      <c r="B87" s="128">
        <v>1818.5</v>
      </c>
      <c r="C87" s="128">
        <v>12262.3</v>
      </c>
      <c r="D87" s="128">
        <v>6448.6</v>
      </c>
      <c r="E87" s="93">
        <v>53489</v>
      </c>
      <c r="F87" s="93">
        <v>39323</v>
      </c>
      <c r="G87" s="93">
        <v>77889</v>
      </c>
      <c r="H87" s="93">
        <v>20073</v>
      </c>
      <c r="I87" s="9">
        <f t="shared" si="1"/>
        <v>1636968.594798692</v>
      </c>
      <c r="J87" s="128">
        <v>4594.2</v>
      </c>
      <c r="K87" s="93">
        <v>66104</v>
      </c>
      <c r="L87" s="128">
        <v>12746.2</v>
      </c>
      <c r="M87" s="128">
        <v>9433.7999999999993</v>
      </c>
      <c r="N87" s="92">
        <v>896.3</v>
      </c>
      <c r="O87" s="92">
        <v>279.8</v>
      </c>
      <c r="P87" s="92">
        <v>410.1</v>
      </c>
      <c r="Q87" s="92">
        <v>179.5</v>
      </c>
      <c r="R87" s="92">
        <v>230.6</v>
      </c>
      <c r="S87" s="128">
        <v>9435.7000000000007</v>
      </c>
      <c r="T87" s="128">
        <v>3814.3</v>
      </c>
      <c r="U87" s="93">
        <v>4850097</v>
      </c>
      <c r="V87" s="26" t="s">
        <v>95</v>
      </c>
    </row>
    <row r="88" spans="1:22" ht="19.2" x14ac:dyDescent="0.3">
      <c r="A88" s="8" t="s">
        <v>6</v>
      </c>
      <c r="B88" s="128"/>
      <c r="C88" s="128"/>
      <c r="D88" s="128"/>
      <c r="E88" s="93"/>
      <c r="F88" s="93"/>
      <c r="G88" s="93"/>
      <c r="H88" s="93"/>
      <c r="I88" s="9" t="e">
        <f t="shared" si="1"/>
        <v>#DIV/0!</v>
      </c>
      <c r="J88" s="128"/>
      <c r="K88" s="93"/>
      <c r="L88" s="128"/>
      <c r="M88" s="128"/>
      <c r="N88" s="92"/>
      <c r="O88" s="92"/>
      <c r="P88" s="92"/>
      <c r="Q88" s="92"/>
      <c r="R88" s="92"/>
      <c r="S88" s="128"/>
      <c r="T88" s="128"/>
      <c r="U88" s="93"/>
      <c r="V88" s="26" t="s">
        <v>6</v>
      </c>
    </row>
    <row r="89" spans="1:22" ht="19.2" x14ac:dyDescent="0.3">
      <c r="A89" s="10" t="s">
        <v>96</v>
      </c>
      <c r="B89" s="11">
        <v>71.5</v>
      </c>
      <c r="C89" s="11">
        <v>753</v>
      </c>
      <c r="D89" s="11">
        <v>308.60000000000002</v>
      </c>
      <c r="E89" s="13">
        <v>34812</v>
      </c>
      <c r="F89" s="13">
        <v>26094</v>
      </c>
      <c r="G89" s="13">
        <v>50938</v>
      </c>
      <c r="H89" s="11">
        <v>340</v>
      </c>
      <c r="I89" s="9">
        <f t="shared" si="1"/>
        <v>451527.22443559096</v>
      </c>
      <c r="J89" s="11">
        <v>71.2</v>
      </c>
      <c r="K89" s="13">
        <v>1353</v>
      </c>
      <c r="L89" s="11">
        <v>4.5999999999999996</v>
      </c>
      <c r="M89" s="11">
        <v>254.9</v>
      </c>
      <c r="N89" s="11">
        <v>24.4</v>
      </c>
      <c r="O89" s="11">
        <v>7.3</v>
      </c>
      <c r="P89" s="11">
        <v>50.4</v>
      </c>
      <c r="Q89" s="11">
        <v>32.1</v>
      </c>
      <c r="R89" s="11">
        <v>18.3</v>
      </c>
      <c r="S89" s="11">
        <v>351.6</v>
      </c>
      <c r="T89" s="11">
        <v>165.4</v>
      </c>
      <c r="U89" s="13">
        <v>31728</v>
      </c>
      <c r="V89" s="27" t="s">
        <v>96</v>
      </c>
    </row>
    <row r="90" spans="1:22" ht="28.8" x14ac:dyDescent="0.3">
      <c r="A90" s="15" t="s">
        <v>97</v>
      </c>
      <c r="B90" s="11">
        <v>194.2</v>
      </c>
      <c r="C90" s="122">
        <v>4222.7</v>
      </c>
      <c r="D90" s="122">
        <v>2095.1999999999998</v>
      </c>
      <c r="E90" s="13">
        <v>53413</v>
      </c>
      <c r="F90" s="13">
        <v>42728</v>
      </c>
      <c r="G90" s="13">
        <v>64997</v>
      </c>
      <c r="H90" s="13">
        <v>3469</v>
      </c>
      <c r="I90" s="9">
        <f t="shared" si="1"/>
        <v>821512.3025552372</v>
      </c>
      <c r="J90" s="11">
        <v>720.4</v>
      </c>
      <c r="K90" s="13">
        <v>12468</v>
      </c>
      <c r="L90" s="11">
        <v>137.4</v>
      </c>
      <c r="M90" s="122">
        <v>3392</v>
      </c>
      <c r="N90" s="11">
        <v>306.5</v>
      </c>
      <c r="O90" s="11">
        <v>135</v>
      </c>
      <c r="P90" s="11">
        <v>114.3</v>
      </c>
      <c r="Q90" s="11">
        <v>40.700000000000003</v>
      </c>
      <c r="R90" s="11">
        <v>73.599999999999994</v>
      </c>
      <c r="S90" s="122">
        <v>3262.1</v>
      </c>
      <c r="T90" s="122">
        <v>1426.1</v>
      </c>
      <c r="U90" s="13">
        <v>686831</v>
      </c>
      <c r="V90" s="27" t="s">
        <v>826</v>
      </c>
    </row>
    <row r="91" spans="1:22" ht="19.2" x14ac:dyDescent="0.3">
      <c r="A91" s="10" t="s">
        <v>98</v>
      </c>
      <c r="B91" s="122">
        <v>1464.2</v>
      </c>
      <c r="C91" s="122">
        <v>3890.8</v>
      </c>
      <c r="D91" s="122">
        <v>2258.6</v>
      </c>
      <c r="E91" s="13">
        <v>69341</v>
      </c>
      <c r="F91" s="13">
        <v>44894</v>
      </c>
      <c r="G91" s="13">
        <v>105981</v>
      </c>
      <c r="H91" s="13">
        <v>13964</v>
      </c>
      <c r="I91" s="9">
        <f t="shared" si="1"/>
        <v>3588979.1302559883</v>
      </c>
      <c r="J91" s="122">
        <v>3356.6</v>
      </c>
      <c r="K91" s="13">
        <v>45296</v>
      </c>
      <c r="L91" s="122">
        <v>12358.1</v>
      </c>
      <c r="M91" s="122">
        <v>3318.6</v>
      </c>
      <c r="N91" s="11">
        <v>404.2</v>
      </c>
      <c r="O91" s="11">
        <v>79.7</v>
      </c>
      <c r="P91" s="11">
        <v>115.6</v>
      </c>
      <c r="Q91" s="11">
        <v>49.8</v>
      </c>
      <c r="R91" s="11">
        <v>65.8</v>
      </c>
      <c r="S91" s="122">
        <v>3730.8</v>
      </c>
      <c r="T91" s="122">
        <v>1329.1</v>
      </c>
      <c r="U91" s="13">
        <v>3682667</v>
      </c>
      <c r="V91" s="27" t="s">
        <v>98</v>
      </c>
    </row>
    <row r="92" spans="1:22" ht="19.2" x14ac:dyDescent="0.3">
      <c r="A92" s="14" t="s">
        <v>42</v>
      </c>
      <c r="B92" s="11"/>
      <c r="C92" s="11"/>
      <c r="D92" s="11"/>
      <c r="E92" s="11"/>
      <c r="F92" s="11"/>
      <c r="G92" s="11"/>
      <c r="H92" s="11"/>
      <c r="I92" s="9" t="e">
        <f t="shared" si="1"/>
        <v>#DIV/0!</v>
      </c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28" t="s">
        <v>42</v>
      </c>
    </row>
    <row r="93" spans="1:22" ht="48" x14ac:dyDescent="0.3">
      <c r="A93" s="15" t="s">
        <v>1069</v>
      </c>
      <c r="B93" s="36">
        <v>534.79999999999995</v>
      </c>
      <c r="C93" s="130">
        <v>1759.4</v>
      </c>
      <c r="D93" s="130">
        <v>1101.9000000000001</v>
      </c>
      <c r="E93" s="36" t="s">
        <v>1034</v>
      </c>
      <c r="F93" s="91">
        <v>43555</v>
      </c>
      <c r="G93" s="91">
        <v>108148</v>
      </c>
      <c r="H93" s="91">
        <v>6895</v>
      </c>
      <c r="I93" s="9">
        <f t="shared" si="1"/>
        <v>3918949.6419233829</v>
      </c>
      <c r="J93" s="130">
        <v>1552.8</v>
      </c>
      <c r="K93" s="91">
        <v>20175</v>
      </c>
      <c r="L93" s="130">
        <v>7641.2</v>
      </c>
      <c r="M93" s="130">
        <v>1016.5</v>
      </c>
      <c r="N93" s="36">
        <v>262.5</v>
      </c>
      <c r="O93" s="36">
        <v>35.5</v>
      </c>
      <c r="P93" s="36">
        <v>9.9</v>
      </c>
      <c r="Q93" s="36">
        <v>5.8</v>
      </c>
      <c r="R93" s="36">
        <v>4.0999999999999996</v>
      </c>
      <c r="S93" s="36">
        <v>955.3</v>
      </c>
      <c r="T93" s="36">
        <v>557.6</v>
      </c>
      <c r="U93" s="91">
        <v>2269961</v>
      </c>
      <c r="V93" s="29" t="s">
        <v>99</v>
      </c>
    </row>
    <row r="94" spans="1:22" ht="28.8" x14ac:dyDescent="0.3">
      <c r="A94" s="15" t="s">
        <v>383</v>
      </c>
      <c r="B94" s="36"/>
      <c r="C94" s="130"/>
      <c r="D94" s="130"/>
      <c r="E94" s="36"/>
      <c r="F94" s="91"/>
      <c r="G94" s="91"/>
      <c r="H94" s="91"/>
      <c r="I94" s="9" t="e">
        <f t="shared" si="1"/>
        <v>#DIV/0!</v>
      </c>
      <c r="J94" s="130"/>
      <c r="K94" s="91"/>
      <c r="L94" s="130"/>
      <c r="M94" s="130"/>
      <c r="N94" s="36"/>
      <c r="O94" s="36"/>
      <c r="P94" s="36"/>
      <c r="Q94" s="36"/>
      <c r="R94" s="36"/>
      <c r="S94" s="36"/>
      <c r="T94" s="36"/>
      <c r="U94" s="91"/>
      <c r="V94" s="29" t="s">
        <v>383</v>
      </c>
    </row>
    <row r="95" spans="1:22" ht="19.2" x14ac:dyDescent="0.3">
      <c r="A95" t="s">
        <v>101</v>
      </c>
      <c r="B95" s="36">
        <v>769.3</v>
      </c>
      <c r="C95" s="36">
        <v>516</v>
      </c>
      <c r="D95" s="36">
        <v>409.2</v>
      </c>
      <c r="E95" s="91">
        <v>139651</v>
      </c>
      <c r="F95" s="91">
        <v>56231</v>
      </c>
      <c r="G95" s="91">
        <v>145050</v>
      </c>
      <c r="H95" s="91">
        <v>5350</v>
      </c>
      <c r="I95" s="9">
        <f t="shared" si="1"/>
        <v>10368217.054263566</v>
      </c>
      <c r="J95" s="130">
        <v>1474.2</v>
      </c>
      <c r="K95" s="91">
        <v>20021</v>
      </c>
      <c r="L95" s="130">
        <v>4430.6000000000004</v>
      </c>
      <c r="M95" s="36">
        <v>949.1</v>
      </c>
      <c r="N95" s="36">
        <v>66.2</v>
      </c>
      <c r="O95" s="36">
        <v>13.7</v>
      </c>
      <c r="P95" s="36">
        <v>3.1</v>
      </c>
      <c r="Q95" s="36">
        <v>0.1</v>
      </c>
      <c r="R95" s="36">
        <v>3</v>
      </c>
      <c r="S95" s="36">
        <v>290</v>
      </c>
      <c r="T95" s="36">
        <v>205.3</v>
      </c>
      <c r="U95" s="91">
        <v>1077517</v>
      </c>
      <c r="V95" s="29" t="s">
        <v>710</v>
      </c>
    </row>
    <row r="96" spans="1:22" ht="19.2" x14ac:dyDescent="0.3">
      <c r="A96" s="15" t="s">
        <v>711</v>
      </c>
      <c r="B96" s="36"/>
      <c r="C96" s="36"/>
      <c r="D96" s="36"/>
      <c r="E96" s="91"/>
      <c r="F96" s="91"/>
      <c r="G96" s="91"/>
      <c r="H96" s="91"/>
      <c r="I96" s="9" t="e">
        <f t="shared" si="1"/>
        <v>#DIV/0!</v>
      </c>
      <c r="J96" s="130"/>
      <c r="K96" s="91"/>
      <c r="L96" s="130"/>
      <c r="M96" s="36"/>
      <c r="N96" s="36"/>
      <c r="O96" s="36"/>
      <c r="P96" s="36"/>
      <c r="Q96" s="36"/>
      <c r="R96" s="36"/>
      <c r="S96" s="36"/>
      <c r="T96" s="36"/>
      <c r="U96" s="91"/>
      <c r="V96" s="29" t="s">
        <v>711</v>
      </c>
    </row>
    <row r="97" spans="1:22" ht="38.4" x14ac:dyDescent="0.3">
      <c r="A97" s="10" t="s">
        <v>922</v>
      </c>
      <c r="B97" s="36">
        <v>160.1</v>
      </c>
      <c r="C97" s="130">
        <v>1615.4</v>
      </c>
      <c r="D97" s="36">
        <v>747.4</v>
      </c>
      <c r="E97" s="91">
        <v>43350</v>
      </c>
      <c r="F97" s="91">
        <v>42728</v>
      </c>
      <c r="G97" s="91">
        <v>71184</v>
      </c>
      <c r="H97" s="91">
        <v>1720</v>
      </c>
      <c r="I97" s="9">
        <f t="shared" si="1"/>
        <v>1064751.7642689117</v>
      </c>
      <c r="J97" s="36">
        <v>329.5</v>
      </c>
      <c r="K97" s="91">
        <v>5100</v>
      </c>
      <c r="L97" s="36">
        <v>286.3</v>
      </c>
      <c r="M97" s="130">
        <v>1353</v>
      </c>
      <c r="N97" s="36">
        <v>75.5</v>
      </c>
      <c r="O97" s="36">
        <v>30.6</v>
      </c>
      <c r="Q97" s="36">
        <v>43.9</v>
      </c>
      <c r="R97" s="36">
        <v>58.7</v>
      </c>
      <c r="S97" s="130">
        <v>2485.5</v>
      </c>
      <c r="T97" s="36">
        <v>566.1</v>
      </c>
      <c r="U97" s="91">
        <v>335189</v>
      </c>
      <c r="V97" s="29" t="s">
        <v>98</v>
      </c>
    </row>
    <row r="98" spans="1:22" ht="28.8" x14ac:dyDescent="0.3">
      <c r="A98" s="15" t="s">
        <v>102</v>
      </c>
      <c r="B98" s="36"/>
      <c r="C98" s="130"/>
      <c r="D98" s="36"/>
      <c r="E98" s="91"/>
      <c r="F98" s="91"/>
      <c r="G98" s="91"/>
      <c r="H98" s="91"/>
      <c r="I98" s="9" t="e">
        <f t="shared" si="1"/>
        <v>#DIV/0!</v>
      </c>
      <c r="J98" s="36"/>
      <c r="K98" s="91"/>
      <c r="L98" s="36"/>
      <c r="M98" s="130"/>
      <c r="N98" s="36"/>
      <c r="O98" s="36"/>
      <c r="Q98" s="36"/>
      <c r="R98" s="36"/>
      <c r="S98" s="130"/>
      <c r="T98" s="36"/>
      <c r="U98" s="91"/>
      <c r="V98" s="29" t="s">
        <v>102</v>
      </c>
    </row>
    <row r="99" spans="1:22" ht="19.8" thickBot="1" x14ac:dyDescent="0.35">
      <c r="A99" s="16" t="s">
        <v>103</v>
      </c>
      <c r="B99" s="17">
        <v>88.6</v>
      </c>
      <c r="C99" s="127">
        <v>3395.8</v>
      </c>
      <c r="D99" s="127">
        <v>1786.3</v>
      </c>
      <c r="E99" s="23">
        <v>39703</v>
      </c>
      <c r="F99" s="23">
        <v>31694</v>
      </c>
      <c r="G99" s="23">
        <v>58424</v>
      </c>
      <c r="H99" s="23">
        <v>2300</v>
      </c>
      <c r="I99" s="9">
        <f t="shared" si="1"/>
        <v>677307.26191177336</v>
      </c>
      <c r="J99" s="17">
        <v>446.1</v>
      </c>
      <c r="K99" s="23">
        <v>6987</v>
      </c>
      <c r="L99" s="17">
        <v>246.1</v>
      </c>
      <c r="M99" s="127">
        <v>2468.3000000000002</v>
      </c>
      <c r="N99" s="17">
        <v>161.19999999999999</v>
      </c>
      <c r="O99" s="17">
        <v>57.8</v>
      </c>
      <c r="P99" s="17">
        <v>129.80000000000001</v>
      </c>
      <c r="Q99" s="17">
        <v>56.9</v>
      </c>
      <c r="R99" s="17">
        <v>72.900000000000006</v>
      </c>
      <c r="S99" s="127">
        <v>2091.1999999999998</v>
      </c>
      <c r="T99" s="17">
        <v>893.9</v>
      </c>
      <c r="U99" s="23">
        <v>448871</v>
      </c>
      <c r="V99" s="30" t="s">
        <v>103</v>
      </c>
    </row>
    <row r="100" spans="1:22" x14ac:dyDescent="0.3">
      <c r="A100" s="8" t="s">
        <v>104</v>
      </c>
      <c r="B100" s="129">
        <v>4361.7</v>
      </c>
      <c r="C100" s="129">
        <v>16567.099999999999</v>
      </c>
      <c r="D100" s="129">
        <v>7795.2</v>
      </c>
      <c r="E100" s="95">
        <v>42991</v>
      </c>
      <c r="F100" s="95">
        <v>32798</v>
      </c>
      <c r="G100" s="95">
        <v>66423</v>
      </c>
      <c r="H100" s="95">
        <v>13054</v>
      </c>
      <c r="I100" s="9">
        <f t="shared" si="1"/>
        <v>787947.19655220292</v>
      </c>
      <c r="J100" s="129">
        <v>3302.6</v>
      </c>
      <c r="K100" s="95">
        <v>34778</v>
      </c>
      <c r="L100" s="129">
        <v>4115.1000000000004</v>
      </c>
      <c r="M100" s="129">
        <v>6271.2</v>
      </c>
      <c r="N100" s="94">
        <v>899.6</v>
      </c>
      <c r="O100" s="94">
        <v>247.9</v>
      </c>
      <c r="P100" s="94">
        <v>831.4</v>
      </c>
      <c r="Q100" s="94">
        <v>413</v>
      </c>
      <c r="R100" s="94">
        <v>418.4</v>
      </c>
      <c r="S100" s="129">
        <v>10001.4</v>
      </c>
      <c r="T100" s="129">
        <v>4370.2</v>
      </c>
      <c r="U100" s="95">
        <v>2641156</v>
      </c>
      <c r="V100" s="26" t="s">
        <v>104</v>
      </c>
    </row>
    <row r="101" spans="1:22" ht="19.2" x14ac:dyDescent="0.3">
      <c r="A101" s="8" t="s">
        <v>6</v>
      </c>
      <c r="B101" s="128"/>
      <c r="C101" s="128"/>
      <c r="D101" s="128"/>
      <c r="E101" s="93"/>
      <c r="F101" s="93"/>
      <c r="G101" s="93"/>
      <c r="H101" s="93"/>
      <c r="I101" s="9" t="e">
        <f t="shared" si="1"/>
        <v>#DIV/0!</v>
      </c>
      <c r="J101" s="128"/>
      <c r="K101" s="93"/>
      <c r="L101" s="128"/>
      <c r="M101" s="128"/>
      <c r="N101" s="92"/>
      <c r="O101" s="92"/>
      <c r="P101" s="92"/>
      <c r="Q101" s="92"/>
      <c r="R101" s="92"/>
      <c r="S101" s="128"/>
      <c r="T101" s="128"/>
      <c r="U101" s="93"/>
      <c r="V101" s="26" t="s">
        <v>6</v>
      </c>
    </row>
    <row r="102" spans="1:22" ht="19.2" x14ac:dyDescent="0.3">
      <c r="A102" s="10" t="s">
        <v>105</v>
      </c>
      <c r="B102" s="11">
        <v>92.9</v>
      </c>
      <c r="C102" s="11">
        <v>210.8</v>
      </c>
      <c r="D102" s="11">
        <v>80.5</v>
      </c>
      <c r="E102" s="13">
        <v>34817</v>
      </c>
      <c r="F102" s="13">
        <v>26868</v>
      </c>
      <c r="G102" s="13">
        <v>52450</v>
      </c>
      <c r="H102" s="11">
        <v>92</v>
      </c>
      <c r="I102" s="9">
        <f t="shared" si="1"/>
        <v>436432.63757115742</v>
      </c>
      <c r="J102" s="11">
        <v>48.7</v>
      </c>
      <c r="K102" s="11">
        <v>272</v>
      </c>
      <c r="L102" s="11">
        <v>1.7</v>
      </c>
      <c r="M102" s="11">
        <v>6.7</v>
      </c>
      <c r="N102" s="11">
        <v>7.5</v>
      </c>
      <c r="O102" s="11">
        <v>0.7</v>
      </c>
      <c r="P102" s="11">
        <v>13.5</v>
      </c>
      <c r="Q102" s="11">
        <v>3</v>
      </c>
      <c r="R102" s="11">
        <v>10.5</v>
      </c>
      <c r="S102" s="11">
        <v>190.4</v>
      </c>
      <c r="T102" s="11">
        <v>47.8</v>
      </c>
      <c r="U102" s="13">
        <v>64928</v>
      </c>
      <c r="V102" s="27" t="s">
        <v>105</v>
      </c>
    </row>
    <row r="103" spans="1:22" ht="19.2" x14ac:dyDescent="0.3">
      <c r="A103" s="10" t="s">
        <v>106</v>
      </c>
      <c r="B103" s="11">
        <v>168.6</v>
      </c>
      <c r="C103" s="11">
        <v>337.5</v>
      </c>
      <c r="D103" s="11">
        <v>112.3</v>
      </c>
      <c r="E103" s="13">
        <v>28934</v>
      </c>
      <c r="F103" s="13">
        <v>22219</v>
      </c>
      <c r="G103" s="13">
        <v>57793</v>
      </c>
      <c r="H103" s="11">
        <v>108</v>
      </c>
      <c r="I103" s="9">
        <f t="shared" si="1"/>
        <v>320000</v>
      </c>
      <c r="J103" s="11">
        <v>25.4</v>
      </c>
      <c r="K103" s="11">
        <v>263</v>
      </c>
      <c r="L103" s="11">
        <v>27.3</v>
      </c>
      <c r="M103" s="11">
        <v>2.2999999999999998</v>
      </c>
      <c r="N103" s="11">
        <v>4.8</v>
      </c>
      <c r="O103" s="11">
        <v>0.5</v>
      </c>
      <c r="P103" s="11">
        <v>9.6999999999999993</v>
      </c>
      <c r="Q103" s="11">
        <v>1.3</v>
      </c>
      <c r="R103" s="11">
        <v>8.4</v>
      </c>
      <c r="S103" s="11">
        <v>172.7</v>
      </c>
      <c r="T103" s="11">
        <v>43</v>
      </c>
      <c r="U103" s="13">
        <v>6091</v>
      </c>
      <c r="V103" s="27" t="s">
        <v>106</v>
      </c>
    </row>
    <row r="104" spans="1:22" ht="19.2" x14ac:dyDescent="0.3">
      <c r="A104" s="10" t="s">
        <v>107</v>
      </c>
      <c r="B104" s="11">
        <v>61.6</v>
      </c>
      <c r="C104" s="11">
        <v>528.20000000000005</v>
      </c>
      <c r="D104" s="11">
        <v>248.2</v>
      </c>
      <c r="E104" s="13">
        <v>34999</v>
      </c>
      <c r="F104" s="13">
        <v>30215</v>
      </c>
      <c r="G104" s="13">
        <v>62015</v>
      </c>
      <c r="H104" s="11">
        <v>349</v>
      </c>
      <c r="I104" s="9">
        <f t="shared" si="1"/>
        <v>660734.570238546</v>
      </c>
      <c r="J104" s="11">
        <v>59.9</v>
      </c>
      <c r="K104" s="13">
        <v>1012</v>
      </c>
      <c r="L104" s="11">
        <v>139.30000000000001</v>
      </c>
      <c r="M104" s="11">
        <v>168.3</v>
      </c>
      <c r="N104" s="11">
        <v>66.599999999999994</v>
      </c>
      <c r="O104" s="11">
        <v>3</v>
      </c>
      <c r="P104" s="11">
        <v>20.399999999999999</v>
      </c>
      <c r="Q104" s="11">
        <v>7.7</v>
      </c>
      <c r="R104" s="11">
        <v>12.7</v>
      </c>
      <c r="S104" s="11">
        <v>372.8</v>
      </c>
      <c r="T104" s="11">
        <v>129.30000000000001</v>
      </c>
      <c r="U104" s="13">
        <v>28730</v>
      </c>
      <c r="V104" s="27" t="s">
        <v>107</v>
      </c>
    </row>
    <row r="105" spans="1:22" ht="19.2" x14ac:dyDescent="0.3">
      <c r="A105" s="10" t="s">
        <v>108</v>
      </c>
      <c r="B105" s="11">
        <v>168</v>
      </c>
      <c r="C105" s="122">
        <v>2115.3000000000002</v>
      </c>
      <c r="D105" s="122">
        <v>1057.8</v>
      </c>
      <c r="E105" s="13">
        <v>36431</v>
      </c>
      <c r="F105" s="13">
        <v>28083</v>
      </c>
      <c r="G105" s="13">
        <v>46137</v>
      </c>
      <c r="H105" s="11">
        <v>945</v>
      </c>
      <c r="I105" s="9">
        <f t="shared" si="1"/>
        <v>446745.14253297402</v>
      </c>
      <c r="J105" s="11">
        <v>179.9</v>
      </c>
      <c r="K105" s="13">
        <v>2739</v>
      </c>
      <c r="L105" s="11">
        <v>12</v>
      </c>
      <c r="M105" s="11">
        <v>597.70000000000005</v>
      </c>
      <c r="N105" s="11">
        <v>49.3</v>
      </c>
      <c r="O105" s="11">
        <v>17.2</v>
      </c>
      <c r="P105" s="11">
        <v>221.1</v>
      </c>
      <c r="Q105" s="11">
        <v>140.19999999999999</v>
      </c>
      <c r="R105" s="11">
        <v>80.900000000000006</v>
      </c>
      <c r="S105" s="11">
        <v>945.8</v>
      </c>
      <c r="T105" s="11">
        <v>505.9</v>
      </c>
      <c r="U105" s="13">
        <v>103906</v>
      </c>
      <c r="V105" s="27" t="s">
        <v>108</v>
      </c>
    </row>
    <row r="106" spans="1:22" ht="19.2" x14ac:dyDescent="0.3">
      <c r="A106" s="10" t="s">
        <v>109</v>
      </c>
      <c r="B106" s="122">
        <v>2366.8000000000002</v>
      </c>
      <c r="C106" s="122">
        <v>2846.1</v>
      </c>
      <c r="D106" s="122">
        <v>1409.4</v>
      </c>
      <c r="E106" s="13">
        <v>50380</v>
      </c>
      <c r="F106" s="13">
        <v>36883</v>
      </c>
      <c r="G106" s="13">
        <v>81056</v>
      </c>
      <c r="H106" s="13">
        <v>3319</v>
      </c>
      <c r="I106" s="9">
        <f t="shared" si="1"/>
        <v>1166157.1975686026</v>
      </c>
      <c r="J106" s="11">
        <v>926.4</v>
      </c>
      <c r="K106" s="13">
        <v>8085</v>
      </c>
      <c r="L106" s="122">
        <v>1166.0999999999999</v>
      </c>
      <c r="M106" s="122">
        <v>1896.1</v>
      </c>
      <c r="N106" s="11">
        <v>249.2</v>
      </c>
      <c r="O106" s="11">
        <v>48.4</v>
      </c>
      <c r="P106" s="11">
        <v>118.4</v>
      </c>
      <c r="Q106" s="11">
        <v>61.7</v>
      </c>
      <c r="R106" s="11">
        <v>56.7</v>
      </c>
      <c r="S106" s="122">
        <v>1630.7</v>
      </c>
      <c r="T106" s="11">
        <v>782.7</v>
      </c>
      <c r="U106" s="13">
        <v>1147040</v>
      </c>
      <c r="V106" s="27" t="s">
        <v>109</v>
      </c>
    </row>
    <row r="107" spans="1:22" ht="19.2" x14ac:dyDescent="0.3">
      <c r="A107" s="10" t="s">
        <v>110</v>
      </c>
      <c r="B107" s="11">
        <v>774.8</v>
      </c>
      <c r="C107" s="122">
        <v>2330.5</v>
      </c>
      <c r="D107" s="122">
        <v>1093.7</v>
      </c>
      <c r="E107" s="13">
        <v>42483</v>
      </c>
      <c r="F107" s="13">
        <v>32201</v>
      </c>
      <c r="G107" s="13">
        <v>74257</v>
      </c>
      <c r="H107" s="13">
        <v>2357</v>
      </c>
      <c r="I107" s="9">
        <f t="shared" si="1"/>
        <v>1011370.9504398198</v>
      </c>
      <c r="J107" s="11">
        <v>910.2</v>
      </c>
      <c r="K107" s="13">
        <v>5702</v>
      </c>
      <c r="L107" s="11">
        <v>992.6</v>
      </c>
      <c r="M107" s="11">
        <v>793.8</v>
      </c>
      <c r="N107" s="11">
        <v>191.2</v>
      </c>
      <c r="O107" s="11">
        <v>29.5</v>
      </c>
      <c r="P107" s="11">
        <v>80.7</v>
      </c>
      <c r="Q107" s="11">
        <v>29</v>
      </c>
      <c r="R107" s="11">
        <v>51.7</v>
      </c>
      <c r="S107" s="122">
        <v>1490.7</v>
      </c>
      <c r="T107" s="11">
        <v>616.79999999999995</v>
      </c>
      <c r="U107" s="13">
        <v>431697</v>
      </c>
      <c r="V107" s="27" t="s">
        <v>110</v>
      </c>
    </row>
    <row r="108" spans="1:22" ht="19.2" x14ac:dyDescent="0.3">
      <c r="A108" s="10" t="s">
        <v>111</v>
      </c>
      <c r="B108" s="11">
        <v>95.7</v>
      </c>
      <c r="C108" s="122">
        <v>2547.6999999999998</v>
      </c>
      <c r="D108" s="122">
        <v>1148.0999999999999</v>
      </c>
      <c r="E108" s="13">
        <v>39408</v>
      </c>
      <c r="F108" s="13">
        <v>29138</v>
      </c>
      <c r="G108" s="13">
        <v>67239</v>
      </c>
      <c r="H108" s="13">
        <v>2189</v>
      </c>
      <c r="I108" s="9">
        <f t="shared" si="1"/>
        <v>859206.34297601762</v>
      </c>
      <c r="J108" s="11">
        <v>414.7</v>
      </c>
      <c r="K108" s="13">
        <v>5058</v>
      </c>
      <c r="L108" s="122">
        <v>1407.1</v>
      </c>
      <c r="M108" s="11">
        <v>894.8</v>
      </c>
      <c r="N108" s="11">
        <v>131.4</v>
      </c>
      <c r="O108" s="11">
        <v>87.1</v>
      </c>
      <c r="P108" s="11">
        <v>78.2</v>
      </c>
      <c r="Q108" s="11">
        <v>37.1</v>
      </c>
      <c r="R108" s="11">
        <v>41.1</v>
      </c>
      <c r="S108" s="11">
        <v>903.7</v>
      </c>
      <c r="T108" s="11">
        <v>596.6</v>
      </c>
      <c r="U108" s="13">
        <v>360293</v>
      </c>
      <c r="V108" s="27" t="s">
        <v>111</v>
      </c>
    </row>
    <row r="109" spans="1:22" ht="19.2" x14ac:dyDescent="0.3">
      <c r="A109" s="10" t="s">
        <v>827</v>
      </c>
      <c r="B109" s="11">
        <v>177.8</v>
      </c>
      <c r="C109" s="122">
        <v>2789.5</v>
      </c>
      <c r="D109" s="122">
        <v>1314.9</v>
      </c>
      <c r="E109" s="13">
        <v>49936</v>
      </c>
      <c r="F109" s="13">
        <v>38573</v>
      </c>
      <c r="G109" s="13">
        <v>64189</v>
      </c>
      <c r="H109" s="13">
        <v>1939</v>
      </c>
      <c r="I109" s="9">
        <f t="shared" si="1"/>
        <v>695106.64993726485</v>
      </c>
      <c r="J109" s="11">
        <v>381</v>
      </c>
      <c r="K109" s="13">
        <v>5851</v>
      </c>
      <c r="L109" s="11">
        <v>131.30000000000001</v>
      </c>
      <c r="M109" s="11">
        <v>995.2</v>
      </c>
      <c r="N109" s="11">
        <v>87</v>
      </c>
      <c r="O109" s="11">
        <v>29.7</v>
      </c>
      <c r="P109" s="11">
        <v>131.4</v>
      </c>
      <c r="Q109" s="11">
        <v>60.9</v>
      </c>
      <c r="R109" s="11">
        <v>70.5</v>
      </c>
      <c r="S109" s="122">
        <v>3016.3</v>
      </c>
      <c r="T109" s="11">
        <v>897.6</v>
      </c>
      <c r="U109" s="13">
        <v>291160</v>
      </c>
      <c r="V109" s="27" t="s">
        <v>827</v>
      </c>
    </row>
    <row r="110" spans="1:22" ht="19.2" x14ac:dyDescent="0.3">
      <c r="A110" s="10" t="s">
        <v>113</v>
      </c>
      <c r="B110" s="11">
        <v>141.1</v>
      </c>
      <c r="C110" s="122">
        <v>1818.1</v>
      </c>
      <c r="D110" s="11">
        <v>835.8</v>
      </c>
      <c r="E110" s="13">
        <v>40804</v>
      </c>
      <c r="F110" s="13">
        <v>32541</v>
      </c>
      <c r="G110" s="13">
        <v>55227</v>
      </c>
      <c r="H110" s="11">
        <v>947</v>
      </c>
      <c r="I110" s="9">
        <f t="shared" si="1"/>
        <v>520873.43930476869</v>
      </c>
      <c r="J110" s="11">
        <v>208</v>
      </c>
      <c r="K110" s="13">
        <v>3256</v>
      </c>
      <c r="L110" s="11">
        <v>3.1</v>
      </c>
      <c r="M110" s="11">
        <v>587.9</v>
      </c>
      <c r="N110" s="11">
        <v>68.8</v>
      </c>
      <c r="O110" s="11">
        <v>19.5</v>
      </c>
      <c r="P110" s="11">
        <v>116.3</v>
      </c>
      <c r="Q110" s="11">
        <v>59.3</v>
      </c>
      <c r="R110" s="11">
        <v>57</v>
      </c>
      <c r="S110" s="11">
        <v>742.9</v>
      </c>
      <c r="T110" s="11">
        <v>480.2</v>
      </c>
      <c r="U110" s="13">
        <v>94434</v>
      </c>
      <c r="V110" s="27" t="s">
        <v>113</v>
      </c>
    </row>
    <row r="111" spans="1:22" ht="19.2" x14ac:dyDescent="0.3">
      <c r="A111" s="10" t="s">
        <v>114</v>
      </c>
      <c r="B111" s="11">
        <v>314.39999999999998</v>
      </c>
      <c r="C111" s="122">
        <v>1043.4000000000001</v>
      </c>
      <c r="D111" s="11">
        <v>494.5</v>
      </c>
      <c r="E111" s="13">
        <v>41600</v>
      </c>
      <c r="F111" s="13">
        <v>32494</v>
      </c>
      <c r="G111" s="13">
        <v>67744</v>
      </c>
      <c r="H111" s="11">
        <v>809</v>
      </c>
      <c r="I111" s="9">
        <f t="shared" si="1"/>
        <v>775349.81790300924</v>
      </c>
      <c r="J111" s="11">
        <v>148.5</v>
      </c>
      <c r="K111" s="13">
        <v>2540</v>
      </c>
      <c r="L111" s="11">
        <v>234.5</v>
      </c>
      <c r="M111" s="11">
        <v>328.3</v>
      </c>
      <c r="N111" s="11">
        <v>43.8</v>
      </c>
      <c r="O111" s="11">
        <v>12.3</v>
      </c>
      <c r="P111" s="11">
        <v>41.9</v>
      </c>
      <c r="Q111" s="11">
        <v>12.8</v>
      </c>
      <c r="R111" s="11">
        <v>29.1</v>
      </c>
      <c r="S111" s="11">
        <v>535.29999999999995</v>
      </c>
      <c r="T111" s="11">
        <v>270.3</v>
      </c>
      <c r="U111" s="13">
        <v>112877</v>
      </c>
      <c r="V111" s="27" t="s">
        <v>114</v>
      </c>
    </row>
    <row r="112" spans="1:22" ht="19.2" x14ac:dyDescent="0.3">
      <c r="A112" s="8" t="s">
        <v>115</v>
      </c>
      <c r="B112" s="128">
        <v>6952.6</v>
      </c>
      <c r="C112" s="128">
        <v>7866.3</v>
      </c>
      <c r="D112" s="128">
        <v>3965</v>
      </c>
      <c r="E112" s="93">
        <v>57941</v>
      </c>
      <c r="F112" s="93">
        <v>41997</v>
      </c>
      <c r="G112" s="93">
        <v>85449</v>
      </c>
      <c r="H112" s="93">
        <v>8655</v>
      </c>
      <c r="I112" s="9">
        <f t="shared" si="1"/>
        <v>1100263.1478585869</v>
      </c>
      <c r="J112" s="128">
        <v>3393.5</v>
      </c>
      <c r="K112" s="93">
        <v>29736</v>
      </c>
      <c r="L112" s="128">
        <v>3695.9</v>
      </c>
      <c r="M112" s="128">
        <v>1923.4</v>
      </c>
      <c r="N112" s="92">
        <v>534.20000000000005</v>
      </c>
      <c r="O112" s="92">
        <v>76.3</v>
      </c>
      <c r="P112" s="92">
        <v>302.8</v>
      </c>
      <c r="Q112" s="92">
        <v>168.9</v>
      </c>
      <c r="R112" s="92">
        <v>133.9</v>
      </c>
      <c r="S112" s="128">
        <v>4481.7</v>
      </c>
      <c r="T112" s="128">
        <v>2658.3</v>
      </c>
      <c r="U112" s="93">
        <v>2087685</v>
      </c>
      <c r="V112" s="26" t="s">
        <v>115</v>
      </c>
    </row>
    <row r="113" spans="1:22" ht="19.2" x14ac:dyDescent="0.3">
      <c r="A113" s="8" t="s">
        <v>6</v>
      </c>
      <c r="B113" s="128"/>
      <c r="C113" s="128"/>
      <c r="D113" s="128"/>
      <c r="E113" s="93"/>
      <c r="F113" s="93"/>
      <c r="G113" s="93"/>
      <c r="H113" s="93"/>
      <c r="I113" s="9" t="e">
        <f t="shared" si="1"/>
        <v>#DIV/0!</v>
      </c>
      <c r="J113" s="128"/>
      <c r="K113" s="93"/>
      <c r="L113" s="128"/>
      <c r="M113" s="128"/>
      <c r="N113" s="92"/>
      <c r="O113" s="92"/>
      <c r="P113" s="92"/>
      <c r="Q113" s="92"/>
      <c r="R113" s="92"/>
      <c r="S113" s="128"/>
      <c r="T113" s="128"/>
      <c r="U113" s="93"/>
      <c r="V113" s="26" t="s">
        <v>6</v>
      </c>
    </row>
    <row r="114" spans="1:22" ht="19.2" x14ac:dyDescent="0.3">
      <c r="A114" s="10" t="s">
        <v>116</v>
      </c>
      <c r="B114" s="11">
        <v>351.3</v>
      </c>
      <c r="C114" s="11">
        <v>971.9</v>
      </c>
      <c r="D114" s="11">
        <v>376.8</v>
      </c>
      <c r="E114" s="13">
        <v>38412</v>
      </c>
      <c r="F114" s="13">
        <v>31290</v>
      </c>
      <c r="G114" s="13">
        <v>61565</v>
      </c>
      <c r="H114" s="11">
        <v>447</v>
      </c>
      <c r="I114" s="9">
        <f t="shared" si="1"/>
        <v>459923.86047947319</v>
      </c>
      <c r="J114" s="11">
        <v>165.3</v>
      </c>
      <c r="K114" s="13">
        <v>1449</v>
      </c>
      <c r="L114" s="11">
        <v>89.4</v>
      </c>
      <c r="M114" s="11">
        <v>137</v>
      </c>
      <c r="N114" s="11">
        <v>35.5</v>
      </c>
      <c r="O114" s="11">
        <v>5.4</v>
      </c>
      <c r="P114" s="11">
        <v>23.6</v>
      </c>
      <c r="Q114" s="11">
        <v>7.3</v>
      </c>
      <c r="R114" s="11">
        <v>16.3</v>
      </c>
      <c r="S114" s="11">
        <v>469.5</v>
      </c>
      <c r="T114" s="11">
        <v>269.60000000000002</v>
      </c>
      <c r="U114" s="13">
        <v>52294</v>
      </c>
      <c r="V114" s="27" t="s">
        <v>116</v>
      </c>
    </row>
    <row r="115" spans="1:22" ht="28.8" x14ac:dyDescent="0.3">
      <c r="A115" s="10" t="s">
        <v>117</v>
      </c>
      <c r="B115" s="122">
        <v>3083.5</v>
      </c>
      <c r="C115" s="122">
        <v>1001.7</v>
      </c>
      <c r="D115" s="11">
        <v>526.70000000000005</v>
      </c>
      <c r="E115" s="13">
        <v>69031</v>
      </c>
      <c r="F115" s="13">
        <v>45604</v>
      </c>
      <c r="G115" s="13">
        <v>110230</v>
      </c>
      <c r="H115" s="13">
        <v>2025</v>
      </c>
      <c r="I115" s="9">
        <f t="shared" si="1"/>
        <v>2021563.3423180594</v>
      </c>
      <c r="J115" s="11">
        <v>739.5</v>
      </c>
      <c r="K115" s="13">
        <v>5635</v>
      </c>
      <c r="L115" s="122">
        <v>1821.5</v>
      </c>
      <c r="M115" s="11">
        <v>54.9</v>
      </c>
      <c r="N115" s="11">
        <v>96.5</v>
      </c>
      <c r="O115" s="11">
        <v>10.8</v>
      </c>
      <c r="P115" s="11">
        <v>33.799999999999997</v>
      </c>
      <c r="Q115" s="11">
        <v>11.5</v>
      </c>
      <c r="R115" s="11">
        <v>22.3</v>
      </c>
      <c r="S115" s="11">
        <v>705.1</v>
      </c>
      <c r="T115" s="11">
        <v>353.7</v>
      </c>
      <c r="U115" s="13">
        <v>355773</v>
      </c>
      <c r="V115" s="27" t="s">
        <v>117</v>
      </c>
    </row>
    <row r="116" spans="1:22" ht="19.2" x14ac:dyDescent="0.3">
      <c r="A116" s="10" t="s">
        <v>118</v>
      </c>
      <c r="B116" s="11">
        <v>431.9</v>
      </c>
      <c r="C116" s="11">
        <v>984.4</v>
      </c>
      <c r="D116" s="11">
        <v>427.4</v>
      </c>
      <c r="E116" s="13">
        <v>42758</v>
      </c>
      <c r="F116" s="13">
        <v>30826</v>
      </c>
      <c r="G116" s="13">
        <v>69830</v>
      </c>
      <c r="H116" s="11">
        <v>547</v>
      </c>
      <c r="I116" s="9">
        <f t="shared" si="1"/>
        <v>555668.42746850871</v>
      </c>
      <c r="J116" s="11">
        <v>270.3</v>
      </c>
      <c r="K116" s="13">
        <v>2146</v>
      </c>
      <c r="L116" s="11">
        <v>293.2</v>
      </c>
      <c r="M116" s="11">
        <v>50.9</v>
      </c>
      <c r="N116" s="11">
        <v>37.1</v>
      </c>
      <c r="O116" s="11">
        <v>6.5</v>
      </c>
      <c r="P116" s="11">
        <v>27.9</v>
      </c>
      <c r="Q116" s="11">
        <v>7.3</v>
      </c>
      <c r="R116" s="11">
        <v>20.6</v>
      </c>
      <c r="S116" s="11">
        <v>380.2</v>
      </c>
      <c r="T116" s="11">
        <v>244.2</v>
      </c>
      <c r="U116" s="13">
        <v>100683</v>
      </c>
      <c r="V116" s="27" t="s">
        <v>118</v>
      </c>
    </row>
    <row r="117" spans="1:22" ht="19.2" x14ac:dyDescent="0.3">
      <c r="A117" s="10" t="s">
        <v>119</v>
      </c>
      <c r="B117" s="11">
        <v>464.3</v>
      </c>
      <c r="C117" s="11">
        <v>288.89999999999998</v>
      </c>
      <c r="D117" s="11">
        <v>161.4</v>
      </c>
      <c r="E117" s="13">
        <v>87054</v>
      </c>
      <c r="F117" s="13">
        <v>50350</v>
      </c>
      <c r="G117" s="13">
        <v>119563</v>
      </c>
      <c r="H117" s="11">
        <v>357</v>
      </c>
      <c r="I117" s="9">
        <f t="shared" si="1"/>
        <v>1235721.7030114227</v>
      </c>
      <c r="J117" s="11">
        <v>128.19999999999999</v>
      </c>
      <c r="K117" s="13">
        <v>1192</v>
      </c>
      <c r="L117" s="11">
        <v>49.8</v>
      </c>
      <c r="M117" s="11">
        <v>204.8</v>
      </c>
      <c r="N117" s="11">
        <v>26.1</v>
      </c>
      <c r="O117" s="11">
        <v>4.4000000000000004</v>
      </c>
      <c r="P117" s="11">
        <v>11.5</v>
      </c>
      <c r="Q117" s="11">
        <v>5</v>
      </c>
      <c r="R117" s="11">
        <v>6.5</v>
      </c>
      <c r="S117" s="11">
        <v>87</v>
      </c>
      <c r="T117" s="11">
        <v>101.2</v>
      </c>
      <c r="U117" s="13">
        <v>40239</v>
      </c>
      <c r="V117" s="27" t="s">
        <v>119</v>
      </c>
    </row>
    <row r="118" spans="1:22" ht="19.2" x14ac:dyDescent="0.3">
      <c r="A118" s="10" t="s">
        <v>120</v>
      </c>
      <c r="B118" s="11">
        <v>164.7</v>
      </c>
      <c r="C118" s="122">
        <v>1806.4</v>
      </c>
      <c r="D118" s="11">
        <v>936.2</v>
      </c>
      <c r="E118" s="13">
        <v>54494</v>
      </c>
      <c r="F118" s="13">
        <v>44081</v>
      </c>
      <c r="G118" s="13">
        <v>73960</v>
      </c>
      <c r="H118" s="13">
        <v>1539</v>
      </c>
      <c r="I118" s="9">
        <f t="shared" si="1"/>
        <v>851970.77059344552</v>
      </c>
      <c r="J118" s="11">
        <v>400.6</v>
      </c>
      <c r="K118" s="13">
        <v>5914</v>
      </c>
      <c r="L118" s="11">
        <v>29.8</v>
      </c>
      <c r="M118" s="11">
        <v>325.2</v>
      </c>
      <c r="N118" s="11">
        <v>98.5</v>
      </c>
      <c r="O118" s="11">
        <v>14.2</v>
      </c>
      <c r="P118" s="11">
        <v>67.900000000000006</v>
      </c>
      <c r="Q118" s="11">
        <v>39.299999999999997</v>
      </c>
      <c r="R118" s="11">
        <v>28.6</v>
      </c>
      <c r="S118" s="122">
        <v>1209.0999999999999</v>
      </c>
      <c r="T118" s="11">
        <v>646.5</v>
      </c>
      <c r="U118" s="13">
        <v>708226</v>
      </c>
      <c r="V118" s="27" t="s">
        <v>120</v>
      </c>
    </row>
    <row r="119" spans="1:22" ht="19.2" x14ac:dyDescent="0.3">
      <c r="A119" s="10" t="s">
        <v>121</v>
      </c>
      <c r="B119" s="11">
        <v>787.6</v>
      </c>
      <c r="C119" s="122">
        <v>1278.0999999999999</v>
      </c>
      <c r="D119" s="11">
        <v>679.7</v>
      </c>
      <c r="E119" s="13">
        <v>58092</v>
      </c>
      <c r="F119" s="13">
        <v>47075</v>
      </c>
      <c r="G119" s="13">
        <v>75227</v>
      </c>
      <c r="H119" s="13">
        <v>1068</v>
      </c>
      <c r="I119" s="9">
        <f t="shared" si="1"/>
        <v>835615.36655973713</v>
      </c>
      <c r="J119" s="11">
        <v>418.7</v>
      </c>
      <c r="K119" s="13">
        <v>3892</v>
      </c>
      <c r="L119" s="11">
        <v>72.8</v>
      </c>
      <c r="M119" s="11">
        <v>535.70000000000005</v>
      </c>
      <c r="N119" s="11">
        <v>91.6</v>
      </c>
      <c r="O119" s="11">
        <v>21.5</v>
      </c>
      <c r="P119" s="11">
        <v>20.7</v>
      </c>
      <c r="Q119" s="11">
        <v>13</v>
      </c>
      <c r="R119" s="11">
        <v>7.7</v>
      </c>
      <c r="S119" s="11">
        <v>577.79999999999995</v>
      </c>
      <c r="T119" s="11">
        <v>466.9</v>
      </c>
      <c r="U119" s="13">
        <v>97889</v>
      </c>
      <c r="V119" s="27" t="s">
        <v>828</v>
      </c>
    </row>
    <row r="120" spans="1:22" ht="19.2" x14ac:dyDescent="0.3">
      <c r="A120" s="10" t="s">
        <v>122</v>
      </c>
      <c r="B120" s="11">
        <v>361.9</v>
      </c>
      <c r="C120" s="11">
        <v>750.1</v>
      </c>
      <c r="D120" s="11">
        <v>399.9</v>
      </c>
      <c r="E120" s="13">
        <v>54055</v>
      </c>
      <c r="F120" s="13">
        <v>40104</v>
      </c>
      <c r="G120" s="13">
        <v>72999</v>
      </c>
      <c r="H120" s="11">
        <v>604</v>
      </c>
      <c r="I120" s="9">
        <f t="shared" si="1"/>
        <v>805225.96987068385</v>
      </c>
      <c r="J120" s="11">
        <v>751.1</v>
      </c>
      <c r="K120" s="13">
        <v>3249</v>
      </c>
      <c r="L120" s="11">
        <v>139.80000000000001</v>
      </c>
      <c r="M120" s="11">
        <v>150.6</v>
      </c>
      <c r="N120" s="11">
        <v>64</v>
      </c>
      <c r="O120" s="11">
        <v>4.0999999999999996</v>
      </c>
      <c r="P120" s="11">
        <v>85.2</v>
      </c>
      <c r="Q120" s="11">
        <v>65.900000000000006</v>
      </c>
      <c r="R120" s="11">
        <v>19.3</v>
      </c>
      <c r="S120" s="11">
        <v>496.2</v>
      </c>
      <c r="T120" s="11">
        <v>267.60000000000002</v>
      </c>
      <c r="U120" s="13">
        <v>-258473</v>
      </c>
      <c r="V120" s="27" t="s">
        <v>122</v>
      </c>
    </row>
    <row r="121" spans="1:22" ht="19.2" x14ac:dyDescent="0.3">
      <c r="A121" s="10" t="s">
        <v>123</v>
      </c>
      <c r="B121" s="11">
        <v>462.5</v>
      </c>
      <c r="C121" s="11">
        <v>133.4</v>
      </c>
      <c r="D121" s="11">
        <v>84.5</v>
      </c>
      <c r="E121" s="13">
        <v>111157</v>
      </c>
      <c r="F121" s="13">
        <v>52668</v>
      </c>
      <c r="G121" s="13">
        <v>134646</v>
      </c>
      <c r="H121" s="11">
        <v>316</v>
      </c>
      <c r="I121" s="9">
        <f t="shared" si="1"/>
        <v>2368815.5922038984</v>
      </c>
      <c r="J121" s="11">
        <v>97.1</v>
      </c>
      <c r="K121" s="11">
        <v>664</v>
      </c>
      <c r="L121" s="11">
        <v>73</v>
      </c>
      <c r="M121" s="11">
        <v>244.8</v>
      </c>
      <c r="N121" s="11">
        <v>23.8</v>
      </c>
      <c r="O121" s="11">
        <v>1.7</v>
      </c>
      <c r="P121" s="11">
        <v>3.2</v>
      </c>
      <c r="Q121" s="11">
        <v>2.1</v>
      </c>
      <c r="R121" s="11">
        <v>1.1000000000000001</v>
      </c>
      <c r="S121" s="11">
        <v>12</v>
      </c>
      <c r="T121" s="11">
        <v>48.8</v>
      </c>
      <c r="U121" s="13">
        <v>76489</v>
      </c>
      <c r="V121" s="27" t="s">
        <v>123</v>
      </c>
    </row>
    <row r="122" spans="1:22" ht="19.2" x14ac:dyDescent="0.3">
      <c r="A122" s="10" t="s">
        <v>124</v>
      </c>
      <c r="B122" s="11">
        <v>87.1</v>
      </c>
      <c r="C122" s="11">
        <v>457.6</v>
      </c>
      <c r="D122" s="11">
        <v>280.10000000000002</v>
      </c>
      <c r="E122" s="13">
        <v>87902</v>
      </c>
      <c r="F122" s="13">
        <v>55859</v>
      </c>
      <c r="G122" s="13">
        <v>114361</v>
      </c>
      <c r="H122" s="13">
        <v>1530</v>
      </c>
      <c r="I122" s="9">
        <f t="shared" si="1"/>
        <v>3343531.4685314684</v>
      </c>
      <c r="J122" s="11">
        <v>305.39999999999998</v>
      </c>
      <c r="K122" s="13">
        <v>4785</v>
      </c>
      <c r="L122" s="122">
        <v>1086.3</v>
      </c>
      <c r="M122" s="11">
        <v>87.2</v>
      </c>
      <c r="N122" s="11">
        <v>29.3</v>
      </c>
      <c r="O122" s="11">
        <v>5.6</v>
      </c>
      <c r="P122" s="11">
        <v>18</v>
      </c>
      <c r="Q122" s="11">
        <v>9.9</v>
      </c>
      <c r="R122" s="11">
        <v>8.1</v>
      </c>
      <c r="S122" s="11">
        <v>512.9</v>
      </c>
      <c r="T122" s="11">
        <v>207.4</v>
      </c>
      <c r="U122" s="13">
        <v>860661</v>
      </c>
      <c r="V122" s="27" t="s">
        <v>124</v>
      </c>
    </row>
    <row r="123" spans="1:22" ht="28.8" x14ac:dyDescent="0.3">
      <c r="A123" s="10" t="s">
        <v>125</v>
      </c>
      <c r="B123" s="36">
        <v>36.299999999999997</v>
      </c>
      <c r="C123" s="36">
        <v>145.80000000000001</v>
      </c>
      <c r="D123" s="36">
        <v>60.2</v>
      </c>
      <c r="E123" s="91">
        <v>43479</v>
      </c>
      <c r="F123" s="91">
        <v>32744</v>
      </c>
      <c r="G123" s="91">
        <v>65815</v>
      </c>
      <c r="H123" s="36">
        <v>81</v>
      </c>
      <c r="I123" s="9">
        <f t="shared" si="1"/>
        <v>555555.55555555539</v>
      </c>
      <c r="J123" s="36">
        <v>29.3</v>
      </c>
      <c r="K123" s="36">
        <v>414</v>
      </c>
      <c r="L123" s="36">
        <v>25.7</v>
      </c>
      <c r="M123" s="36">
        <v>6.4</v>
      </c>
      <c r="N123" s="36">
        <v>6.1</v>
      </c>
      <c r="O123" s="36">
        <v>1.5</v>
      </c>
      <c r="P123" s="36">
        <v>9.1999999999999993</v>
      </c>
      <c r="Q123" s="36">
        <v>7.5</v>
      </c>
      <c r="R123" s="36">
        <v>1.7</v>
      </c>
      <c r="S123" s="36">
        <v>25.7</v>
      </c>
      <c r="T123" s="36">
        <v>37.9</v>
      </c>
      <c r="U123" s="91">
        <v>-1653</v>
      </c>
      <c r="V123" s="27" t="s">
        <v>1185</v>
      </c>
    </row>
    <row r="124" spans="1:22" x14ac:dyDescent="0.3">
      <c r="A124" s="10" t="s">
        <v>1186</v>
      </c>
      <c r="B124" s="36"/>
      <c r="C124" s="36"/>
      <c r="D124" s="36"/>
      <c r="E124" s="91"/>
      <c r="F124" s="91"/>
      <c r="G124" s="91"/>
      <c r="H124" s="36"/>
      <c r="I124" s="9" t="e">
        <f t="shared" si="1"/>
        <v>#DIV/0!</v>
      </c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91"/>
      <c r="V124" s="27" t="s">
        <v>1186</v>
      </c>
    </row>
    <row r="125" spans="1:22" ht="28.8" x14ac:dyDescent="0.3">
      <c r="A125" s="10" t="s">
        <v>126</v>
      </c>
      <c r="B125" s="36">
        <v>721.5</v>
      </c>
      <c r="C125" s="36">
        <v>48</v>
      </c>
      <c r="D125" s="36">
        <v>32</v>
      </c>
      <c r="E125" s="91">
        <v>156988</v>
      </c>
      <c r="F125" s="91">
        <v>45215</v>
      </c>
      <c r="G125" s="91">
        <v>159071</v>
      </c>
      <c r="H125" s="36">
        <v>141</v>
      </c>
      <c r="I125" s="9">
        <f t="shared" si="1"/>
        <v>2937500</v>
      </c>
      <c r="J125" s="36">
        <v>88.2</v>
      </c>
      <c r="K125" s="36">
        <v>396</v>
      </c>
      <c r="L125" s="36">
        <v>14.6</v>
      </c>
      <c r="M125" s="36">
        <v>125.9</v>
      </c>
      <c r="N125" s="36">
        <v>25.7</v>
      </c>
      <c r="O125" s="36">
        <v>0.8</v>
      </c>
      <c r="P125" s="36">
        <v>1.9</v>
      </c>
      <c r="Q125" s="36">
        <v>0.2</v>
      </c>
      <c r="R125" s="36">
        <v>1.7</v>
      </c>
      <c r="S125" s="36">
        <v>6.2</v>
      </c>
      <c r="T125" s="36">
        <v>14.5</v>
      </c>
      <c r="U125" s="91">
        <v>55557</v>
      </c>
      <c r="V125" s="27" t="s">
        <v>1187</v>
      </c>
    </row>
    <row r="126" spans="1:22" x14ac:dyDescent="0.3">
      <c r="A126" s="10" t="s">
        <v>1163</v>
      </c>
      <c r="B126" s="36"/>
      <c r="C126" s="36"/>
      <c r="D126" s="36"/>
      <c r="E126" s="91"/>
      <c r="F126" s="91"/>
      <c r="G126" s="91"/>
      <c r="H126" s="36"/>
      <c r="I126" s="9" t="e">
        <f t="shared" si="1"/>
        <v>#DIV/0!</v>
      </c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91"/>
      <c r="V126" s="27" t="s">
        <v>1163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D0C11-4CA3-4282-A496-90F25936DD8D}">
  <sheetPr>
    <tabColor theme="9" tint="0.59999389629810485"/>
  </sheetPr>
  <dimension ref="A1:F83"/>
  <sheetViews>
    <sheetView workbookViewId="0">
      <selection activeCell="C74" sqref="C74"/>
    </sheetView>
  </sheetViews>
  <sheetFormatPr defaultRowHeight="14.4" x14ac:dyDescent="0.3"/>
  <cols>
    <col min="2" max="6" width="17.109375" customWidth="1"/>
  </cols>
  <sheetData>
    <row r="1" spans="1:6" ht="79.2" x14ac:dyDescent="0.3">
      <c r="A1" s="1" t="s">
        <v>1072</v>
      </c>
      <c r="B1" s="39" t="s">
        <v>1</v>
      </c>
      <c r="C1" s="39" t="s">
        <v>822</v>
      </c>
      <c r="D1" s="39" t="s">
        <v>823</v>
      </c>
      <c r="E1" s="39" t="s">
        <v>824</v>
      </c>
      <c r="F1" s="39" t="s">
        <v>834</v>
      </c>
    </row>
    <row r="2" spans="1:6" ht="19.2" x14ac:dyDescent="0.3">
      <c r="A2" s="10" t="s">
        <v>7</v>
      </c>
      <c r="B2" s="11">
        <f>VLOOKUP($A2,'театры, музеи'!$A$2:$H$112,7,FALSE)</f>
        <v>152</v>
      </c>
      <c r="C2" s="11">
        <f>VLOOKUP($A2,'спортивные сооружния'!A4:G112,7,FALSE)</f>
        <v>23</v>
      </c>
      <c r="D2" s="11">
        <f>VLOOKUP($A2,библиотеки!A4:H116,7,FALSE)</f>
        <v>6001</v>
      </c>
      <c r="E2" s="11">
        <f>VLOOKUP($A2,Газеты!$A$3:$G$111,7,FALSE)</f>
        <v>852</v>
      </c>
      <c r="F2" s="11">
        <f>VLOOKUP($A2,Лагеря!$A$3:$F$113,6,FALSE)</f>
        <v>59.5</v>
      </c>
    </row>
    <row r="3" spans="1:6" ht="19.2" x14ac:dyDescent="0.3">
      <c r="A3" s="10" t="s">
        <v>8</v>
      </c>
      <c r="B3" s="11">
        <f>VLOOKUP($A3,'театры, музеи'!$A$2:$H$112,7,FALSE)</f>
        <v>173</v>
      </c>
      <c r="C3" s="11">
        <f>VLOOKUP($A3,'спортивные сооружния'!A5:G113,7,FALSE)</f>
        <v>18</v>
      </c>
      <c r="D3" s="11">
        <f>VLOOKUP($A3,библиотеки!A5:H117,7,FALSE)</f>
        <v>6792</v>
      </c>
      <c r="E3" s="11">
        <f>VLOOKUP($A3,Газеты!$A$3:$G$111,7,FALSE)</f>
        <v>234</v>
      </c>
      <c r="F3" s="11">
        <f>VLOOKUP($A3,Лагеря!$A$3:$F$113,6,FALSE)</f>
        <v>33.1</v>
      </c>
    </row>
    <row r="4" spans="1:6" ht="19.2" x14ac:dyDescent="0.3">
      <c r="A4" s="10" t="s">
        <v>9</v>
      </c>
      <c r="B4" s="11">
        <f>VLOOKUP($A4,'театры, музеи'!$A$2:$H$112,7,FALSE)</f>
        <v>78</v>
      </c>
      <c r="C4" s="11">
        <f>VLOOKUP($A4,'спортивные сооружния'!A6:G114,7,FALSE)</f>
        <v>28</v>
      </c>
      <c r="D4" s="11">
        <f>VLOOKUP($A4,библиотеки!A6:H118,7,FALSE)</f>
        <v>6592</v>
      </c>
      <c r="E4" s="11">
        <f>VLOOKUP($A4,Газеты!$A$3:$G$111,7,FALSE)</f>
        <v>552</v>
      </c>
      <c r="F4" s="11">
        <f>VLOOKUP($A4,Лагеря!$A$3:$F$113,6,FALSE)</f>
        <v>46.3</v>
      </c>
    </row>
    <row r="5" spans="1:6" ht="19.2" x14ac:dyDescent="0.3">
      <c r="A5" s="10" t="s">
        <v>12</v>
      </c>
      <c r="B5" s="11">
        <f>VLOOKUP($A5,'театры, музеи'!$A$2:$H$112,7,FALSE)</f>
        <v>228</v>
      </c>
      <c r="C5" s="11">
        <f>VLOOKUP($A5,'спортивные сооружния'!A7:G115,7,FALSE)</f>
        <v>10</v>
      </c>
      <c r="D5" s="11">
        <f>VLOOKUP($A5,библиотеки!A7:H119,7,FALSE)</f>
        <v>5899</v>
      </c>
      <c r="E5" s="11">
        <f>VLOOKUP($A5,Газеты!$A$3:$G$111,7,FALSE)</f>
        <v>480</v>
      </c>
      <c r="F5" s="11">
        <f>VLOOKUP($A5,Лагеря!$A$3:$F$113,6,FALSE)</f>
        <v>69.400000000000006</v>
      </c>
    </row>
    <row r="6" spans="1:6" ht="19.2" x14ac:dyDescent="0.3">
      <c r="A6" s="10" t="s">
        <v>13</v>
      </c>
      <c r="B6" s="11">
        <f>VLOOKUP($A6,'театры, музеи'!$A$2:$H$112,7,FALSE)</f>
        <v>350</v>
      </c>
      <c r="C6" s="11">
        <f>VLOOKUP($A6,'спортивные сооружния'!A8:G116,7,FALSE)</f>
        <v>14</v>
      </c>
      <c r="D6" s="11">
        <f>VLOOKUP($A6,библиотеки!A8:H120,7,FALSE)</f>
        <v>8511</v>
      </c>
      <c r="E6" s="11">
        <f>VLOOKUP($A6,Газеты!$A$3:$G$111,7,FALSE)</f>
        <v>321</v>
      </c>
      <c r="F6" s="11">
        <f>VLOOKUP($A6,Лагеря!$A$3:$F$113,6,FALSE)</f>
        <v>25.4</v>
      </c>
    </row>
    <row r="7" spans="1:6" ht="19.2" x14ac:dyDescent="0.3">
      <c r="A7" s="10" t="s">
        <v>14</v>
      </c>
      <c r="B7" s="11">
        <f>VLOOKUP($A7,'театры, музеи'!$A$2:$H$112,7,FALSE)</f>
        <v>205</v>
      </c>
      <c r="C7" s="11">
        <f>VLOOKUP($A7,'спортивные сооружния'!A9:G117,7,FALSE)</f>
        <v>15</v>
      </c>
      <c r="D7" s="11">
        <f>VLOOKUP($A7,библиотеки!A9:H121,7,FALSE)</f>
        <v>6642</v>
      </c>
      <c r="E7" s="11">
        <f>VLOOKUP($A7,Газеты!$A$3:$G$111,7,FALSE)</f>
        <v>622</v>
      </c>
      <c r="F7" s="11">
        <f>VLOOKUP($A7,Лагеря!$A$3:$F$113,6,FALSE)</f>
        <v>27</v>
      </c>
    </row>
    <row r="8" spans="1:6" ht="19.2" x14ac:dyDescent="0.3">
      <c r="A8" s="10" t="s">
        <v>16</v>
      </c>
      <c r="B8" s="11">
        <f>VLOOKUP($A8,'театры, музеи'!$A$2:$H$112,7,FALSE)</f>
        <v>257</v>
      </c>
      <c r="C8" s="11">
        <f>VLOOKUP($A8,'спортивные сооружния'!A10:G118,7,FALSE)</f>
        <v>6</v>
      </c>
      <c r="D8" s="11">
        <f>VLOOKUP($A8,библиотеки!A10:H122,7,FALSE)</f>
        <v>10260</v>
      </c>
      <c r="E8" s="11">
        <f>VLOOKUP($A8,Газеты!$A$3:$G$111,7,FALSE)</f>
        <v>386</v>
      </c>
      <c r="F8" s="11">
        <f>VLOOKUP($A8,Лагеря!$A$3:$F$113,6,FALSE)</f>
        <v>25.1</v>
      </c>
    </row>
    <row r="9" spans="1:6" ht="19.2" x14ac:dyDescent="0.3">
      <c r="A9" s="10" t="s">
        <v>18</v>
      </c>
      <c r="B9" s="11">
        <f>VLOOKUP($A9,'театры, музеи'!$A$2:$H$112,7,FALSE)</f>
        <v>234</v>
      </c>
      <c r="C9" s="11">
        <f>VLOOKUP($A9,'спортивные сооружния'!A11:G119,7,FALSE)</f>
        <v>9</v>
      </c>
      <c r="D9" s="11">
        <f>VLOOKUP($A9,библиотеки!A11:H123,7,FALSE)</f>
        <v>8072</v>
      </c>
      <c r="E9" s="11">
        <f>VLOOKUP($A9,Газеты!$A$3:$G$111,7,FALSE)</f>
        <v>394</v>
      </c>
      <c r="F9" s="11">
        <f>VLOOKUP($A9,Лагеря!$A$3:$F$113,6,FALSE)</f>
        <v>29</v>
      </c>
    </row>
    <row r="10" spans="1:6" ht="19.2" x14ac:dyDescent="0.3">
      <c r="A10" s="10" t="s">
        <v>19</v>
      </c>
      <c r="B10" s="11">
        <f>VLOOKUP($A10,'театры, музеи'!$A$2:$H$112,7,FALSE)</f>
        <v>200</v>
      </c>
      <c r="C10" s="11">
        <f>VLOOKUP($A10,'спортивные сооружния'!A12:G120,7,FALSE)</f>
        <v>22</v>
      </c>
      <c r="D10" s="11">
        <f>VLOOKUP($A10,библиотеки!A12:H124,7,FALSE)</f>
        <v>6891</v>
      </c>
      <c r="E10" s="11">
        <f>VLOOKUP($A10,Газеты!$A$3:$G$111,7,FALSE)</f>
        <v>132</v>
      </c>
      <c r="F10" s="11">
        <f>VLOOKUP($A10,Лагеря!$A$3:$F$113,6,FALSE)</f>
        <v>43.8</v>
      </c>
    </row>
    <row r="11" spans="1:6" ht="19.2" x14ac:dyDescent="0.3">
      <c r="A11" s="10" t="s">
        <v>20</v>
      </c>
      <c r="B11" s="11">
        <f>VLOOKUP($A11,'театры, музеи'!$A$2:$H$112,7,FALSE)</f>
        <v>104</v>
      </c>
      <c r="C11" s="11">
        <f>VLOOKUP($A11,'спортивные сооружния'!A13:G121,7,FALSE)</f>
        <v>118</v>
      </c>
      <c r="D11" s="11">
        <f>VLOOKUP($A11,библиотеки!A13:H125,7,FALSE)</f>
        <v>1831</v>
      </c>
      <c r="E11" s="11">
        <f>VLOOKUP($A11,Газеты!$A$3:$G$111,7,FALSE)</f>
        <v>198</v>
      </c>
      <c r="F11" s="11">
        <f>VLOOKUP($A11,Лагеря!$A$3:$F$113,6,FALSE)</f>
        <v>104.8</v>
      </c>
    </row>
    <row r="12" spans="1:6" ht="19.2" x14ac:dyDescent="0.3">
      <c r="A12" s="10" t="s">
        <v>21</v>
      </c>
      <c r="B12" s="11">
        <f>VLOOKUP($A12,'театры, музеи'!$A$2:$H$112,7,FALSE)</f>
        <v>327</v>
      </c>
      <c r="C12" s="11">
        <f>VLOOKUP($A12,'спортивные сооружния'!A14:G122,7,FALSE)</f>
        <v>3</v>
      </c>
      <c r="D12" s="11">
        <f>VLOOKUP($A12,библиотеки!A14:H126,7,FALSE)</f>
        <v>6796</v>
      </c>
      <c r="E12" s="11">
        <f>VLOOKUP($A12,Газеты!$A$3:$G$111,7,FALSE)</f>
        <v>188</v>
      </c>
      <c r="F12" s="11">
        <f>VLOOKUP($A12,Лагеря!$A$3:$F$113,6,FALSE)</f>
        <v>23.7</v>
      </c>
    </row>
    <row r="13" spans="1:6" ht="19.2" x14ac:dyDescent="0.3">
      <c r="A13" s="10" t="s">
        <v>22</v>
      </c>
      <c r="B13" s="11">
        <f>VLOOKUP($A13,'театры, музеи'!$A$2:$H$112,7,FALSE)</f>
        <v>264</v>
      </c>
      <c r="C13" s="11">
        <f>VLOOKUP($A13,'спортивные сооружния'!A15:G123,7,FALSE)</f>
        <v>13</v>
      </c>
      <c r="D13" s="11">
        <f>VLOOKUP($A13,библиотеки!A15:H127,7,FALSE)</f>
        <v>5850</v>
      </c>
      <c r="E13" s="11">
        <f>VLOOKUP($A13,Газеты!$A$3:$G$111,7,FALSE)</f>
        <v>408</v>
      </c>
      <c r="F13" s="11">
        <f>VLOOKUP($A13,Лагеря!$A$3:$F$113,6,FALSE)</f>
        <v>20.7</v>
      </c>
    </row>
    <row r="14" spans="1:6" ht="19.2" x14ac:dyDescent="0.3">
      <c r="A14" s="10" t="s">
        <v>23</v>
      </c>
      <c r="B14" s="11">
        <f>VLOOKUP($A14,'театры, музеи'!$A$2:$H$112,7,FALSE)</f>
        <v>169</v>
      </c>
      <c r="C14" s="11">
        <f>VLOOKUP($A14,'спортивные сооружния'!A16:G124,7,FALSE)</f>
        <v>24</v>
      </c>
      <c r="D14" s="11">
        <f>VLOOKUP($A14,библиотеки!A16:H128,7,FALSE)</f>
        <v>9143</v>
      </c>
      <c r="E14" s="11">
        <f>VLOOKUP($A14,Газеты!$A$3:$G$111,7,FALSE)</f>
        <v>2592</v>
      </c>
      <c r="F14" s="11">
        <f>VLOOKUP($A14,Лагеря!$A$3:$F$113,6,FALSE)</f>
        <v>14</v>
      </c>
    </row>
    <row r="15" spans="1:6" ht="19.2" x14ac:dyDescent="0.3">
      <c r="A15" s="10" t="s">
        <v>24</v>
      </c>
      <c r="B15" s="11">
        <f>VLOOKUP($A15,'театры, музеи'!$A$2:$H$112,7,FALSE)</f>
        <v>255</v>
      </c>
      <c r="C15" s="11">
        <f>VLOOKUP($A15,'спортивные сооружния'!A17:G125,7,FALSE)</f>
        <v>21</v>
      </c>
      <c r="D15" s="11">
        <f>VLOOKUP($A15,библиотеки!A17:H129,7,FALSE)</f>
        <v>9364</v>
      </c>
      <c r="E15" s="11">
        <f>VLOOKUP($A15,Газеты!$A$3:$G$111,7,FALSE)</f>
        <v>154</v>
      </c>
      <c r="F15" s="11">
        <f>VLOOKUP($A15,Лагеря!$A$3:$F$113,6,FALSE)</f>
        <v>48.9</v>
      </c>
    </row>
    <row r="16" spans="1:6" ht="19.2" x14ac:dyDescent="0.3">
      <c r="A16" s="10" t="s">
        <v>25</v>
      </c>
      <c r="B16" s="11">
        <f>VLOOKUP($A16,'театры, музеи'!$A$2:$H$112,7,FALSE)</f>
        <v>350</v>
      </c>
      <c r="C16" s="11">
        <f>VLOOKUP($A16,'спортивные сооружния'!A18:G126,7,FALSE)</f>
        <v>17</v>
      </c>
      <c r="D16" s="11">
        <f>VLOOKUP($A16,библиотеки!A18:H130,7,FALSE)</f>
        <v>7809</v>
      </c>
      <c r="E16" s="11">
        <f>VLOOKUP($A16,Газеты!$A$3:$G$111,7,FALSE)</f>
        <v>307</v>
      </c>
      <c r="F16" s="11">
        <f>VLOOKUP($A16,Лагеря!$A$3:$F$113,6,FALSE)</f>
        <v>55.5</v>
      </c>
    </row>
    <row r="17" spans="1:6" ht="19.2" x14ac:dyDescent="0.3">
      <c r="A17" s="10" t="s">
        <v>26</v>
      </c>
      <c r="B17" s="11">
        <f>VLOOKUP($A17,'театры, музеи'!$A$2:$H$112,7,FALSE)</f>
        <v>237</v>
      </c>
      <c r="C17" s="11">
        <f>VLOOKUP($A17,'спортивные сооружния'!A19:G127,7,FALSE)</f>
        <v>17</v>
      </c>
      <c r="D17" s="11">
        <f>VLOOKUP($A17,библиотеки!A19:H131,7,FALSE)</f>
        <v>4400</v>
      </c>
      <c r="E17" s="11">
        <f>VLOOKUP($A17,Газеты!$A$3:$G$111,7,FALSE)</f>
        <v>191</v>
      </c>
      <c r="F17" s="11">
        <f>VLOOKUP($A17,Лагеря!$A$3:$F$113,6,FALSE)</f>
        <v>31.3</v>
      </c>
    </row>
    <row r="18" spans="1:6" ht="19.2" x14ac:dyDescent="0.3">
      <c r="A18" s="10" t="s">
        <v>28</v>
      </c>
      <c r="B18" s="11">
        <f>VLOOKUP($A18,'театры, музеи'!$A$2:$H$112,7,FALSE)</f>
        <v>287</v>
      </c>
      <c r="C18" s="11">
        <f>VLOOKUP($A18,'спортивные сооружния'!A20:G128,7,FALSE)</f>
        <v>8</v>
      </c>
      <c r="D18" s="11">
        <f>VLOOKUP($A18,библиотеки!A20:H132,7,FALSE)</f>
        <v>6512</v>
      </c>
      <c r="E18" s="11">
        <f>VLOOKUP($A18,Газеты!$A$3:$G$111,7,FALSE)</f>
        <v>509</v>
      </c>
      <c r="F18" s="11">
        <f>VLOOKUP($A18,Лагеря!$A$3:$F$113,6,FALSE)</f>
        <v>46</v>
      </c>
    </row>
    <row r="19" spans="1:6" x14ac:dyDescent="0.3">
      <c r="A19" s="10" t="s">
        <v>31</v>
      </c>
      <c r="B19" s="11">
        <f>VLOOKUP($A19,'театры, музеи'!$A$2:$H$112,7,FALSE)</f>
        <v>538</v>
      </c>
      <c r="C19" s="11">
        <f>VLOOKUP($A19,'спортивные сооружния'!A21:G129,7,FALSE)</f>
        <v>29</v>
      </c>
      <c r="D19" s="11">
        <f>VLOOKUP($A19,библиотеки!A21:H133,7,FALSE)</f>
        <v>12054</v>
      </c>
      <c r="E19" s="11">
        <f>VLOOKUP($A19,Газеты!$A$3:$G$111,7,FALSE)</f>
        <v>2383</v>
      </c>
      <c r="F19" s="11">
        <f>VLOOKUP($A19,Лагеря!$A$3:$F$113,6,FALSE)</f>
        <v>1.1000000000000001</v>
      </c>
    </row>
    <row r="20" spans="1:6" ht="19.2" x14ac:dyDescent="0.3">
      <c r="A20" s="10" t="s">
        <v>36</v>
      </c>
      <c r="B20" s="11">
        <f>VLOOKUP($A20,'театры, музеи'!$A$2:$H$112,7,FALSE)</f>
        <v>375</v>
      </c>
      <c r="C20" s="11">
        <f>VLOOKUP($A20,'спортивные сооружния'!A22:G130,7,FALSE)</f>
        <v>3</v>
      </c>
      <c r="D20" s="11">
        <f>VLOOKUP($A20,библиотеки!A22:H134,7,FALSE)</f>
        <v>7537</v>
      </c>
      <c r="E20" s="11">
        <f>VLOOKUP($A20,Газеты!$A$3:$G$111,7,FALSE)</f>
        <v>564</v>
      </c>
      <c r="F20" s="11">
        <f>VLOOKUP($A20,Лагеря!$A$3:$F$113,6,FALSE)</f>
        <v>4.5</v>
      </c>
    </row>
    <row r="21" spans="1:6" ht="19.2" x14ac:dyDescent="0.3">
      <c r="A21" s="10" t="s">
        <v>38</v>
      </c>
      <c r="B21" s="11">
        <f>VLOOKUP($A21,'театры, музеи'!$A$2:$H$112,7,FALSE)</f>
        <v>279</v>
      </c>
      <c r="C21" s="11">
        <f>VLOOKUP($A21,'спортивные сооружния'!A23:G131,7,FALSE)</f>
        <v>7</v>
      </c>
      <c r="D21" s="11">
        <f>VLOOKUP($A21,библиотеки!A23:H135,7,FALSE)</f>
        <v>6349</v>
      </c>
      <c r="E21" s="11">
        <f>VLOOKUP($A21,Газеты!$A$3:$G$111,7,FALSE)</f>
        <v>770</v>
      </c>
      <c r="F21" s="11">
        <f>VLOOKUP($A21,Лагеря!$A$3:$F$113,6,FALSE)</f>
        <v>28.9</v>
      </c>
    </row>
    <row r="22" spans="1:6" ht="19.2" x14ac:dyDescent="0.3">
      <c r="A22" s="10" t="s">
        <v>40</v>
      </c>
      <c r="B22" s="11">
        <f>VLOOKUP($A22,'театры, музеи'!$A$2:$H$112,7,FALSE)</f>
        <v>256</v>
      </c>
      <c r="C22" s="11">
        <f>VLOOKUP($A22,'спортивные сооружния'!A24:G132,7,FALSE)</f>
        <v>7</v>
      </c>
      <c r="D22" s="11">
        <f>VLOOKUP($A22,библиотеки!A24:H136,7,FALSE)</f>
        <v>7313</v>
      </c>
      <c r="E22" s="11">
        <f>VLOOKUP($A22,Газеты!$A$3:$G$111,7,FALSE)</f>
        <v>1250</v>
      </c>
      <c r="F22" s="11">
        <f>VLOOKUP($A22,Лагеря!$A$3:$F$113,6,FALSE)</f>
        <v>31.7</v>
      </c>
    </row>
    <row r="23" spans="1:6" ht="48" x14ac:dyDescent="0.3">
      <c r="A23" s="10" t="s">
        <v>45</v>
      </c>
      <c r="B23" s="11">
        <f>VLOOKUP($A23,'театры, музеи'!$A$2:$H$112,7,FALSE)</f>
        <v>267</v>
      </c>
      <c r="C23" s="11">
        <f>VLOOKUP($A23,'спортивные сооружния'!A26:G134,7,FALSE)</f>
        <v>7</v>
      </c>
      <c r="D23" s="11">
        <f>VLOOKUP($A23,библиотеки!A26:H138,7,FALSE)</f>
        <v>7243</v>
      </c>
      <c r="E23" s="11">
        <f>VLOOKUP($A23,Газеты!$A$3:$G$111,7,FALSE)</f>
        <v>1250</v>
      </c>
      <c r="F23" s="11">
        <f>VLOOKUP($A23,Лагеря!$A$3:$F$113,6,FALSE)</f>
        <v>29.9</v>
      </c>
    </row>
    <row r="24" spans="1:6" ht="19.2" x14ac:dyDescent="0.3">
      <c r="A24" s="10" t="s">
        <v>47</v>
      </c>
      <c r="B24" s="11">
        <f>VLOOKUP($A24,'театры, музеи'!$A$2:$H$112,7,FALSE)</f>
        <v>264</v>
      </c>
      <c r="C24" s="11">
        <f>VLOOKUP($A24,'спортивные сооружния'!A27:G135,7,FALSE)</f>
        <v>11</v>
      </c>
      <c r="D24" s="11">
        <f>VLOOKUP($A24,библиотеки!A27:H139,7,FALSE)</f>
        <v>6058</v>
      </c>
      <c r="E24" s="11">
        <f>VLOOKUP($A24,Газеты!$A$3:$G$111,7,FALSE)</f>
        <v>1061</v>
      </c>
      <c r="F24" s="11">
        <f>VLOOKUP($A24,Лагеря!$A$3:$F$113,6,FALSE)</f>
        <v>33.1</v>
      </c>
    </row>
    <row r="25" spans="1:6" ht="28.8" x14ac:dyDescent="0.3">
      <c r="A25" s="10" t="s">
        <v>1064</v>
      </c>
      <c r="B25" s="11">
        <f>VLOOKUP($A25,'театры, музеи'!$A$2:$H$112,7,FALSE)</f>
        <v>211</v>
      </c>
      <c r="C25" s="11">
        <f>VLOOKUP($A25,'спортивные сооружния'!A28:G136,7,FALSE)</f>
        <v>6</v>
      </c>
      <c r="D25" s="11">
        <f>VLOOKUP($A25,библиотеки!A28:H140,7,FALSE)</f>
        <v>4206</v>
      </c>
      <c r="E25" s="11">
        <f>VLOOKUP($A25,Газеты!$A$3:$G$111,7,FALSE)</f>
        <v>319</v>
      </c>
      <c r="F25" s="11">
        <f>VLOOKUP($A25,Лагеря!$A$3:$F$113,6,FALSE)</f>
        <v>46.1</v>
      </c>
    </row>
    <row r="26" spans="1:6" ht="19.2" x14ac:dyDescent="0.3">
      <c r="A26" s="10" t="s">
        <v>51</v>
      </c>
      <c r="B26" s="11">
        <f>VLOOKUP($A26,'театры, музеи'!$A$2:$H$112,7,FALSE)</f>
        <v>126</v>
      </c>
      <c r="C26" s="11">
        <f>VLOOKUP($A26,'спортивные сооружния'!A29:G137,7,FALSE)</f>
        <v>20</v>
      </c>
      <c r="D26" s="11">
        <f>VLOOKUP($A26,библиотеки!A29:H141,7,FALSE)</f>
        <v>3229</v>
      </c>
      <c r="E26" s="11">
        <f>VLOOKUP($A26,Газеты!$A$3:$G$111,7,FALSE)</f>
        <v>130</v>
      </c>
      <c r="F26" s="11">
        <f>VLOOKUP($A26,Лагеря!$A$3:$F$113,6,FALSE)</f>
        <v>60.5</v>
      </c>
    </row>
    <row r="27" spans="1:6" ht="19.2" x14ac:dyDescent="0.3">
      <c r="A27" s="10" t="s">
        <v>52</v>
      </c>
      <c r="B27" s="11">
        <f>VLOOKUP($A27,'театры, музеи'!$A$2:$H$112,7,FALSE)</f>
        <v>214</v>
      </c>
      <c r="C27" s="11">
        <f>VLOOKUP($A27,'спортивные сооружния'!A30:G138,7,FALSE)</f>
        <v>6</v>
      </c>
      <c r="D27" s="11">
        <f>VLOOKUP($A27,библиотеки!A30:H142,7,FALSE)</f>
        <v>7443</v>
      </c>
      <c r="E27" s="11">
        <f>VLOOKUP($A27,Газеты!$A$3:$G$111,7,FALSE)</f>
        <v>837</v>
      </c>
      <c r="F27" s="11">
        <f>VLOOKUP($A27,Лагеря!$A$3:$F$113,6,FALSE)</f>
        <v>7.3</v>
      </c>
    </row>
    <row r="28" spans="1:6" ht="19.2" x14ac:dyDescent="0.3">
      <c r="A28" s="10" t="s">
        <v>53</v>
      </c>
      <c r="B28" s="11">
        <f>VLOOKUP($A28,'театры, музеи'!$A$2:$H$112,7,FALSE)</f>
        <v>115</v>
      </c>
      <c r="C28" s="11">
        <f>VLOOKUP($A28,'спортивные сооружния'!A31:G139,7,FALSE)</f>
        <v>2</v>
      </c>
      <c r="D28" s="11">
        <f>VLOOKUP($A28,библиотеки!A31:H143,7,FALSE)</f>
        <v>7900</v>
      </c>
      <c r="E28" s="11">
        <f>VLOOKUP($A28,Газеты!$A$3:$G$111,7,FALSE)</f>
        <v>717</v>
      </c>
      <c r="F28" s="11">
        <f>VLOOKUP($A28,Лагеря!$A$3:$F$113,6,FALSE)</f>
        <v>16.399999999999999</v>
      </c>
    </row>
    <row r="29" spans="1:6" ht="19.2" x14ac:dyDescent="0.3">
      <c r="A29" s="10" t="s">
        <v>55</v>
      </c>
      <c r="B29" s="11">
        <f>VLOOKUP($A29,'театры, музеи'!$A$2:$H$112,7,FALSE)</f>
        <v>204</v>
      </c>
      <c r="C29" s="11">
        <f>VLOOKUP($A29,'спортивные сооружния'!A32:G140,7,FALSE)</f>
        <v>7</v>
      </c>
      <c r="D29" s="11">
        <f>VLOOKUP($A29,библиотеки!A32:H144,7,FALSE)</f>
        <v>10512</v>
      </c>
      <c r="E29" s="11">
        <f>VLOOKUP($A29,Газеты!$A$3:$G$111,7,FALSE)</f>
        <v>353</v>
      </c>
      <c r="F29" s="11">
        <f>VLOOKUP($A29,Лагеря!$A$3:$F$113,6,FALSE)</f>
        <v>12</v>
      </c>
    </row>
    <row r="30" spans="1:6" ht="19.2" x14ac:dyDescent="0.3">
      <c r="A30" s="10" t="s">
        <v>57</v>
      </c>
      <c r="B30" s="11">
        <f>VLOOKUP($A30,'театры, музеи'!$A$2:$H$112,7,FALSE)</f>
        <v>822</v>
      </c>
      <c r="C30" s="11">
        <f>VLOOKUP($A30,'спортивные сооружния'!A33:G141,7,FALSE)</f>
        <v>9</v>
      </c>
      <c r="D30" s="11">
        <f>VLOOKUP($A30,библиотеки!A33:H145,7,FALSE)</f>
        <v>9919</v>
      </c>
      <c r="E30" s="11">
        <f>VLOOKUP($A30,Газеты!$A$3:$G$111,7,FALSE)</f>
        <v>1313</v>
      </c>
      <c r="F30" s="11">
        <f>VLOOKUP($A30,Лагеря!$A$3:$F$113,6,FALSE)</f>
        <v>35.200000000000003</v>
      </c>
    </row>
    <row r="31" spans="1:6" ht="19.2" x14ac:dyDescent="0.3">
      <c r="A31" s="10" t="s">
        <v>61</v>
      </c>
      <c r="B31" s="11">
        <f>VLOOKUP($A31,'театры, музеи'!$A$2:$H$112,7,FALSE)</f>
        <v>181</v>
      </c>
      <c r="C31" s="11">
        <f>VLOOKUP($A31,'спортивные сооружния'!A34:G143,7,FALSE)</f>
        <v>3</v>
      </c>
      <c r="D31" s="11">
        <f>VLOOKUP($A31,библиотеки!A35:H147,7,FALSE)</f>
        <v>4936</v>
      </c>
      <c r="E31" s="11">
        <f>VLOOKUP($A31,Газеты!$A$3:$G$111,7,FALSE)</f>
        <v>186</v>
      </c>
      <c r="F31" s="11">
        <f>VLOOKUP($A31,Лагеря!$A$3:$F$113,6,FALSE)</f>
        <v>4.9000000000000004</v>
      </c>
    </row>
    <row r="32" spans="1:6" ht="19.2" x14ac:dyDescent="0.3">
      <c r="A32" s="10" t="s">
        <v>63</v>
      </c>
      <c r="B32" s="11">
        <f>VLOOKUP($A32,'театры, музеи'!$A$2:$H$112,7,FALSE)</f>
        <v>228</v>
      </c>
      <c r="C32" s="11">
        <f>VLOOKUP($A32,'спортивные сооружния'!A36:G145,7,FALSE)</f>
        <v>30</v>
      </c>
      <c r="D32" s="11">
        <f>VLOOKUP($A32,библиотеки!A37:H149,7,FALSE)</f>
        <v>5223</v>
      </c>
      <c r="E32" s="11">
        <f>VLOOKUP($A32,Газеты!$A$3:$G$111,7,FALSE)</f>
        <v>136</v>
      </c>
      <c r="F32" s="11">
        <f>VLOOKUP($A32,Лагеря!$A$3:$F$113,6,FALSE)</f>
        <v>67.7</v>
      </c>
    </row>
    <row r="33" spans="1:6" ht="19.2" x14ac:dyDescent="0.3">
      <c r="A33" s="10" t="s">
        <v>65</v>
      </c>
      <c r="B33" s="11">
        <f>VLOOKUP($A33,'театры, музеи'!$A$2:$H$112,7,FALSE)</f>
        <v>103</v>
      </c>
      <c r="C33" s="11">
        <f>VLOOKUP($A33,'спортивные сооружния'!A37:G146,7,FALSE)</f>
        <v>82</v>
      </c>
      <c r="D33" s="11">
        <f>VLOOKUP($A33,библиотеки!A38:H150,7,FALSE)</f>
        <v>3875</v>
      </c>
      <c r="E33" s="11">
        <f>VLOOKUP($A33,Газеты!$A$3:$G$111,7,FALSE)</f>
        <v>230</v>
      </c>
      <c r="F33" s="11">
        <f>VLOOKUP($A33,Лагеря!$A$3:$F$113,6,FALSE)</f>
        <v>191.4</v>
      </c>
    </row>
    <row r="34" spans="1:6" ht="19.2" x14ac:dyDescent="0.3">
      <c r="A34" s="10" t="s">
        <v>66</v>
      </c>
      <c r="B34" s="11">
        <f>VLOOKUP($A34,'театры, музеи'!$A$2:$H$112,7,FALSE)</f>
        <v>283</v>
      </c>
      <c r="C34" s="11">
        <f>VLOOKUP($A34,'спортивные сооружния'!A38:G147,7,FALSE)</f>
        <v>8</v>
      </c>
      <c r="D34" s="11">
        <f>VLOOKUP($A34,библиотеки!A38:H151,7,FALSE)</f>
        <v>6029</v>
      </c>
      <c r="E34" s="11">
        <f>VLOOKUP($A34,Газеты!$A$3:$G$111,7,FALSE)</f>
        <v>104</v>
      </c>
      <c r="F34" s="11">
        <f>VLOOKUP($A34,Лагеря!$A$3:$F$113,6,FALSE)</f>
        <v>14</v>
      </c>
    </row>
    <row r="35" spans="1:6" ht="19.2" x14ac:dyDescent="0.3">
      <c r="A35" s="10" t="s">
        <v>67</v>
      </c>
      <c r="B35" s="11">
        <f>VLOOKUP($A35,'театры, музеи'!$A$2:$H$112,7,FALSE)</f>
        <v>214</v>
      </c>
      <c r="C35" s="11">
        <f>VLOOKUP($A35,'спортивные сооружния'!A39:G148,7,FALSE)</f>
        <v>35</v>
      </c>
      <c r="D35" s="11">
        <f>VLOOKUP($A35,библиотеки!A39:H152,7,FALSE)</f>
        <v>5061</v>
      </c>
      <c r="E35" s="11">
        <f>VLOOKUP($A35,Газеты!$A$3:$G$111,7,FALSE)</f>
        <v>156</v>
      </c>
      <c r="F35" s="11">
        <f>VLOOKUP($A35,Лагеря!$A$3:$F$113,6,FALSE)</f>
        <v>78.3</v>
      </c>
    </row>
    <row r="36" spans="1:6" ht="19.2" x14ac:dyDescent="0.3">
      <c r="A36" s="10" t="s">
        <v>70</v>
      </c>
      <c r="B36" s="11">
        <f>VLOOKUP($A36,'театры, музеи'!$A$2:$H$112,7,FALSE)</f>
        <v>204</v>
      </c>
      <c r="C36" s="11">
        <f>VLOOKUP($A36,'спортивные сооружния'!A40:G149,7,FALSE)</f>
        <v>56</v>
      </c>
      <c r="D36" s="11">
        <f>VLOOKUP($A36,библиотеки!A40:H153,7,FALSE)</f>
        <v>5036</v>
      </c>
      <c r="E36" s="11">
        <f>VLOOKUP($A36,Газеты!$A$3:$G$111,7,FALSE)</f>
        <v>310</v>
      </c>
      <c r="F36" s="11">
        <f>VLOOKUP($A36,Лагеря!$A$3:$F$113,6,FALSE)</f>
        <v>59.3</v>
      </c>
    </row>
    <row r="37" spans="1:6" ht="28.8" x14ac:dyDescent="0.3">
      <c r="A37" s="10" t="s">
        <v>71</v>
      </c>
      <c r="B37" s="11">
        <f>VLOOKUP($A37,'театры, музеи'!$A$2:$H$112,7,FALSE)</f>
        <v>358</v>
      </c>
      <c r="C37" s="11">
        <f>VLOOKUP($A37,'спортивные сооружния'!A41:G150,7,FALSE)</f>
        <v>3</v>
      </c>
      <c r="D37" s="11">
        <f>VLOOKUP($A37,библиотеки!A41:H154,7,FALSE)</f>
        <v>2693</v>
      </c>
      <c r="E37" s="11">
        <f>VLOOKUP($A37,Газеты!$A$3:$G$111,7,FALSE)</f>
        <v>195</v>
      </c>
      <c r="F37" s="11">
        <f>VLOOKUP($A37,Лагеря!$A$3:$F$113,6,FALSE)</f>
        <v>4.8</v>
      </c>
    </row>
    <row r="38" spans="1:6" ht="19.8" thickBot="1" x14ac:dyDescent="0.35">
      <c r="A38" s="16" t="s">
        <v>74</v>
      </c>
      <c r="B38" s="11">
        <f>VLOOKUP($A38,'театры, музеи'!$A$2:$H$112,7,FALSE)</f>
        <v>122</v>
      </c>
      <c r="C38" s="11">
        <f>VLOOKUP($A38,'спортивные сооружния'!A43:G152,7,FALSE)</f>
        <v>13</v>
      </c>
      <c r="D38" s="11">
        <f>VLOOKUP($A38,библиотеки!A43:H156,7,FALSE)</f>
        <v>2339</v>
      </c>
      <c r="E38" s="11">
        <f>VLOOKUP($A38,Газеты!$A$3:$G$111,7,FALSE)</f>
        <v>56</v>
      </c>
      <c r="F38" s="11">
        <f>VLOOKUP($A38,Лагеря!$A$3:$F$113,6,FALSE)</f>
        <v>26.4</v>
      </c>
    </row>
    <row r="39" spans="1:6" ht="28.8" x14ac:dyDescent="0.3">
      <c r="A39" s="8" t="s">
        <v>76</v>
      </c>
      <c r="B39" s="11">
        <f>VLOOKUP($A39,'театры, музеи'!$A$2:$H$112,7,FALSE)</f>
        <v>210</v>
      </c>
      <c r="C39" s="11">
        <f>VLOOKUP($A39,'спортивные сооружния'!A45:G154,7,FALSE)</f>
        <v>11</v>
      </c>
      <c r="D39" s="11">
        <f>VLOOKUP($A39,библиотеки!A45:H158,7,FALSE)</f>
        <v>5527</v>
      </c>
      <c r="E39" s="11">
        <f>VLOOKUP($A39,Газеты!$A$3:$G$111,7,FALSE)</f>
        <v>49</v>
      </c>
      <c r="F39" s="11">
        <f>VLOOKUP($A39,Лагеря!$A$3:$F$113,6,FALSE)</f>
        <v>2.6</v>
      </c>
    </row>
    <row r="40" spans="1:6" ht="28.8" x14ac:dyDescent="0.3">
      <c r="A40" s="10" t="s">
        <v>77</v>
      </c>
      <c r="B40" s="11">
        <f>VLOOKUP($A40,'театры, музеи'!$A$2:$H$112,7,FALSE)</f>
        <v>99</v>
      </c>
      <c r="C40" s="11">
        <f>VLOOKUP($A40,'спортивные сооружния'!A46:G155,7,FALSE)</f>
        <v>4</v>
      </c>
      <c r="D40" s="11">
        <f>VLOOKUP($A40,библиотеки!A46:H159,7,FALSE)</f>
        <v>5343</v>
      </c>
      <c r="E40" s="11">
        <f>VLOOKUP($A40,Газеты!$A$3:$G$111,7,FALSE)</f>
        <v>95</v>
      </c>
      <c r="F40" s="11">
        <f>VLOOKUP($A40,Лагеря!$A$3:$F$113,6,FALSE)</f>
        <v>6.6</v>
      </c>
    </row>
    <row r="41" spans="1:6" ht="28.8" x14ac:dyDescent="0.3">
      <c r="A41" s="10" t="s">
        <v>1066</v>
      </c>
      <c r="B41" s="11">
        <f>VLOOKUP($A41,'театры, музеи'!$A$2:$H$112,7,FALSE)</f>
        <v>317</v>
      </c>
      <c r="C41" s="11">
        <f>VLOOKUP($A41,'спортивные сооружния'!A47:G156,7,FALSE)</f>
        <v>12</v>
      </c>
      <c r="D41" s="11">
        <f>VLOOKUP($A41,библиотеки!A47:H160,7,FALSE)</f>
        <v>4936</v>
      </c>
      <c r="E41" s="11">
        <f>VLOOKUP($A41,Газеты!$A$3:$G$111,7,FALSE)</f>
        <v>85</v>
      </c>
      <c r="F41" s="11">
        <f>VLOOKUP($A41,Лагеря!$A$3:$F$113,6,FALSE)</f>
        <v>16.5</v>
      </c>
    </row>
    <row r="42" spans="1:6" ht="19.2" x14ac:dyDescent="0.3">
      <c r="A42" s="10" t="s">
        <v>78</v>
      </c>
      <c r="B42" s="11">
        <f>VLOOKUP($A42,'театры, музеи'!$A$2:$H$112,7,FALSE)</f>
        <v>154</v>
      </c>
      <c r="C42" s="11">
        <f>VLOOKUP($A42,'спортивные сооружния'!A48:G157,7,FALSE)</f>
        <v>13</v>
      </c>
      <c r="D42" s="11">
        <f>VLOOKUP($A42,библиотеки!A48:H161,7,FALSE)</f>
        <v>1483</v>
      </c>
      <c r="E42" s="11">
        <f>VLOOKUP($A42,Газеты!$A$3:$G$111,7,FALSE)</f>
        <v>28</v>
      </c>
      <c r="F42" s="11">
        <f>VLOOKUP($A42,Лагеря!$A$3:$F$113,6,FALSE)</f>
        <v>9</v>
      </c>
    </row>
    <row r="43" spans="1:6" ht="19.2" x14ac:dyDescent="0.3">
      <c r="A43" s="10" t="s">
        <v>79</v>
      </c>
      <c r="B43" s="11">
        <f>VLOOKUP($A43,'театры, музеи'!$A$2:$H$112,7,FALSE)</f>
        <v>117</v>
      </c>
      <c r="C43" s="11">
        <f>VLOOKUP($A43,'спортивные сооружния'!A49:G158,7,FALSE)</f>
        <v>40</v>
      </c>
      <c r="D43" s="11">
        <f>VLOOKUP($A43,библиотеки!A49:H162,7,FALSE)</f>
        <v>5289</v>
      </c>
      <c r="E43" s="11">
        <f>VLOOKUP($A43,Газеты!$A$3:$G$111,7,FALSE)</f>
        <v>173</v>
      </c>
      <c r="F43" s="11">
        <f>VLOOKUP($A43,Лагеря!$A$3:$F$113,6,FALSE)</f>
        <v>78.099999999999994</v>
      </c>
    </row>
    <row r="44" spans="1:6" ht="28.8" x14ac:dyDescent="0.3">
      <c r="A44" s="10" t="s">
        <v>81</v>
      </c>
      <c r="B44" s="11">
        <f>VLOOKUP($A44,'театры, музеи'!$A$2:$H$112,7,FALSE)</f>
        <v>257</v>
      </c>
      <c r="C44" s="11">
        <f>VLOOKUP($A44,'спортивные сооружния'!A51:G160,7,FALSE)</f>
        <v>25</v>
      </c>
      <c r="D44" s="11">
        <f>VLOOKUP($A44,библиотеки!A51:H164,7,FALSE)</f>
        <v>6490</v>
      </c>
      <c r="E44" s="11">
        <f>VLOOKUP($A44,Газеты!$A$3:$G$111,7,FALSE)</f>
        <v>278</v>
      </c>
      <c r="F44" s="11">
        <f>VLOOKUP($A44,Лагеря!$A$3:$F$113,6,FALSE)</f>
        <v>174.7</v>
      </c>
    </row>
    <row r="45" spans="1:6" ht="19.2" x14ac:dyDescent="0.3">
      <c r="A45" s="10" t="s">
        <v>82</v>
      </c>
      <c r="B45" s="11">
        <f>VLOOKUP($A45,'театры, музеи'!$A$2:$H$112,7,FALSE)</f>
        <v>561</v>
      </c>
      <c r="C45" s="11">
        <f>VLOOKUP($A45,'спортивные сооружния'!A52:G161,7,FALSE)</f>
        <v>8</v>
      </c>
      <c r="D45" s="11">
        <f>VLOOKUP($A45,библиотеки!A52:H165,7,FALSE)</f>
        <v>6956</v>
      </c>
      <c r="E45" s="11">
        <f>VLOOKUP($A45,Газеты!$A$3:$G$111,7,FALSE)</f>
        <v>1618</v>
      </c>
      <c r="F45" s="11">
        <f>VLOOKUP($A45,Лагеря!$A$3:$F$113,6,FALSE)</f>
        <v>22.1</v>
      </c>
    </row>
    <row r="46" spans="1:6" ht="19.2" x14ac:dyDescent="0.3">
      <c r="A46" s="10" t="s">
        <v>83</v>
      </c>
      <c r="B46" s="11">
        <f>VLOOKUP($A46,'театры, музеи'!$A$2:$H$112,7,FALSE)</f>
        <v>324</v>
      </c>
      <c r="C46" s="11">
        <f>VLOOKUP($A46,'спортивные сооружния'!A53:G162,7,FALSE)</f>
        <v>6</v>
      </c>
      <c r="D46" s="11">
        <f>VLOOKUP($A46,библиотеки!A53:H166,7,FALSE)</f>
        <v>7886</v>
      </c>
      <c r="E46" s="11">
        <f>VLOOKUP($A46,Газеты!$A$3:$G$111,7,FALSE)</f>
        <v>225</v>
      </c>
      <c r="F46" s="11">
        <f>VLOOKUP($A46,Лагеря!$A$3:$F$113,6,FALSE)</f>
        <v>23.6</v>
      </c>
    </row>
    <row r="47" spans="1:6" ht="19.2" x14ac:dyDescent="0.3">
      <c r="A47" s="10" t="s">
        <v>84</v>
      </c>
      <c r="B47" s="11">
        <f>VLOOKUP($A47,'театры, музеи'!$A$2:$H$112,7,FALSE)</f>
        <v>341</v>
      </c>
      <c r="C47" s="11">
        <f>VLOOKUP($A47,'спортивные сооружния'!A54:G163,7,FALSE)</f>
        <v>46</v>
      </c>
      <c r="D47" s="11">
        <f>VLOOKUP($A47,библиотеки!A54:H167,7,FALSE)</f>
        <v>5868</v>
      </c>
      <c r="E47" s="11">
        <f>VLOOKUP($A47,Газеты!$A$3:$G$111,7,FALSE)</f>
        <v>349</v>
      </c>
      <c r="F47" s="11">
        <f>VLOOKUP($A47,Лагеря!$A$3:$F$113,6,FALSE)</f>
        <v>147</v>
      </c>
    </row>
    <row r="48" spans="1:6" ht="19.2" x14ac:dyDescent="0.3">
      <c r="A48" s="10" t="s">
        <v>85</v>
      </c>
      <c r="B48" s="11">
        <f>VLOOKUP($A48,'театры, музеи'!$A$2:$H$112,7,FALSE)</f>
        <v>312</v>
      </c>
      <c r="C48" s="11">
        <f>VLOOKUP($A48,'спортивные сооружния'!A55:G164,7,FALSE)</f>
        <v>25</v>
      </c>
      <c r="D48" s="11">
        <f>VLOOKUP($A48,библиотеки!A55:H168,7,FALSE)</f>
        <v>3663</v>
      </c>
      <c r="E48" s="11">
        <f>VLOOKUP($A48,Газеты!$A$3:$G$111,7,FALSE)</f>
        <v>520</v>
      </c>
      <c r="F48" s="11">
        <f>VLOOKUP($A48,Лагеря!$A$3:$F$113,6,FALSE)</f>
        <v>55.9</v>
      </c>
    </row>
    <row r="49" spans="1:6" ht="19.2" x14ac:dyDescent="0.3">
      <c r="A49" s="10" t="s">
        <v>86</v>
      </c>
      <c r="B49" s="11">
        <f>VLOOKUP($A49,'театры, музеи'!$A$2:$H$112,7,FALSE)</f>
        <v>388</v>
      </c>
      <c r="C49" s="11">
        <f>VLOOKUP($A49,'спортивные сооружния'!A56:G165,7,FALSE)</f>
        <v>12</v>
      </c>
      <c r="D49" s="11">
        <f>VLOOKUP($A49,библиотеки!A56:H169,7,FALSE)</f>
        <v>7548</v>
      </c>
      <c r="E49" s="11">
        <f>VLOOKUP($A49,Газеты!$A$3:$G$111,7,FALSE)</f>
        <v>509</v>
      </c>
      <c r="F49" s="11">
        <f>VLOOKUP($A49,Лагеря!$A$3:$F$113,6,FALSE)</f>
        <v>31.9</v>
      </c>
    </row>
    <row r="50" spans="1:6" ht="19.2" x14ac:dyDescent="0.3">
      <c r="A50" s="10" t="s">
        <v>87</v>
      </c>
      <c r="B50" s="11">
        <f>VLOOKUP($A50,'театры, музеи'!$A$2:$H$112,7,FALSE)</f>
        <v>349</v>
      </c>
      <c r="C50" s="11">
        <f>VLOOKUP($A50,'спортивные сооружния'!A56:G166,7,FALSE)</f>
        <v>25</v>
      </c>
      <c r="D50" s="11">
        <f>VLOOKUP($A50,библиотеки!A57:H170,7,FALSE)</f>
        <v>4738</v>
      </c>
      <c r="E50" s="11">
        <f>VLOOKUP($A50,Газеты!$A$3:$G$111,7,FALSE)</f>
        <v>370</v>
      </c>
      <c r="F50" s="11">
        <f>VLOOKUP($A50,Лагеря!$A$3:$F$113,6,FALSE)</f>
        <v>97.6</v>
      </c>
    </row>
    <row r="51" spans="1:6" ht="19.2" x14ac:dyDescent="0.3">
      <c r="A51" s="10" t="s">
        <v>88</v>
      </c>
      <c r="B51" s="11">
        <f>VLOOKUP($A51,'театры, музеи'!$A$2:$H$112,7,FALSE)</f>
        <v>236</v>
      </c>
      <c r="C51" s="11">
        <f>VLOOKUP($A51,'спортивные сооружния'!A57:G167,7,FALSE)</f>
        <v>24</v>
      </c>
      <c r="D51" s="11">
        <f>VLOOKUP($A51,библиотеки!A58:H171,7,FALSE)</f>
        <v>10482</v>
      </c>
      <c r="E51" s="11">
        <f>VLOOKUP($A51,Газеты!$A$3:$G$111,7,FALSE)</f>
        <v>605</v>
      </c>
      <c r="F51" s="11">
        <f>VLOOKUP($A51,Лагеря!$A$3:$F$113,6,FALSE)</f>
        <v>51.1</v>
      </c>
    </row>
    <row r="52" spans="1:6" ht="19.2" x14ac:dyDescent="0.3">
      <c r="A52" s="10" t="s">
        <v>89</v>
      </c>
      <c r="B52" s="11">
        <f>VLOOKUP($A52,'театры, музеи'!$A$2:$H$112,7,FALSE)</f>
        <v>317</v>
      </c>
      <c r="C52" s="11">
        <f>VLOOKUP($A52,'спортивные сооружния'!A57:G168,7,FALSE)</f>
        <v>42</v>
      </c>
      <c r="D52" s="11">
        <f>VLOOKUP($A52,библиотеки!A59:H172,7,FALSE)</f>
        <v>5806</v>
      </c>
      <c r="E52" s="11">
        <f>VLOOKUP($A52,Газеты!$A$3:$G$111,7,FALSE)</f>
        <v>1201</v>
      </c>
      <c r="F52" s="11">
        <f>VLOOKUP($A52,Лагеря!$A$3:$F$113,6,FALSE)</f>
        <v>97.5</v>
      </c>
    </row>
    <row r="53" spans="1:6" ht="19.2" x14ac:dyDescent="0.3">
      <c r="A53" s="8" t="s">
        <v>90</v>
      </c>
      <c r="B53" s="11">
        <f>VLOOKUP($A53,'театры, музеи'!$A$2:$H$112,7,FALSE)</f>
        <v>220</v>
      </c>
      <c r="C53" s="11">
        <f>VLOOKUP($A53,'спортивные сооружния'!A58:G169,7,FALSE)</f>
        <v>35</v>
      </c>
      <c r="D53" s="11">
        <f>VLOOKUP($A53,библиотеки!A60:H173,7,FALSE)</f>
        <v>6593</v>
      </c>
      <c r="E53" s="11">
        <f>VLOOKUP($A53,Газеты!$A$3:$G$111,7,FALSE)</f>
        <v>291</v>
      </c>
      <c r="F53" s="11">
        <f>VLOOKUP($A53,Лагеря!$A$3:$F$113,6,FALSE)</f>
        <v>61.5</v>
      </c>
    </row>
    <row r="54" spans="1:6" ht="19.2" x14ac:dyDescent="0.3">
      <c r="A54" s="8" t="s">
        <v>91</v>
      </c>
      <c r="B54" s="11">
        <f>VLOOKUP($A54,'театры, музеи'!$A$2:$H$112,7,FALSE)</f>
        <v>175</v>
      </c>
      <c r="C54" s="11">
        <f>VLOOKUP($A54,'спортивные сооружния'!A58:G170,7,FALSE)</f>
        <v>25</v>
      </c>
      <c r="D54" s="11">
        <f>VLOOKUP($A54,библиотеки!A61:H174,7,FALSE)</f>
        <v>6641</v>
      </c>
      <c r="E54" s="11">
        <f>VLOOKUP($A54,Газеты!$A$3:$G$111,7,FALSE)</f>
        <v>455</v>
      </c>
      <c r="F54" s="11">
        <f>VLOOKUP($A54,Лагеря!$A$3:$F$113,6,FALSE)</f>
        <v>38.5</v>
      </c>
    </row>
    <row r="55" spans="1:6" ht="19.2" x14ac:dyDescent="0.3">
      <c r="A55" s="10" t="s">
        <v>92</v>
      </c>
      <c r="B55" s="11">
        <f>VLOOKUP($A55,'театры, музеи'!$A$2:$H$112,7,FALSE)</f>
        <v>277</v>
      </c>
      <c r="C55" s="11">
        <f>VLOOKUP($A55,'спортивные сооружния'!A59:G171,7,FALSE)</f>
        <v>39</v>
      </c>
      <c r="D55" s="11">
        <f>VLOOKUP($A55,библиотеки!A62:H175,7,FALSE)</f>
        <v>5198</v>
      </c>
      <c r="E55" s="11">
        <f>VLOOKUP($A55,Газеты!$A$3:$G$111,7,FALSE)</f>
        <v>285</v>
      </c>
      <c r="F55" s="11">
        <f>VLOOKUP($A55,Лагеря!$A$3:$F$113,6,FALSE)</f>
        <v>93.5</v>
      </c>
    </row>
    <row r="56" spans="1:6" ht="19.2" x14ac:dyDescent="0.3">
      <c r="A56" s="10" t="s">
        <v>93</v>
      </c>
      <c r="B56" s="11">
        <f>VLOOKUP($A56,'театры, музеи'!$A$2:$H$112,7,FALSE)</f>
        <v>266</v>
      </c>
      <c r="C56" s="11">
        <f>VLOOKUP($A56,'спортивные сооружния'!A60:G172,7,FALSE)</f>
        <v>24</v>
      </c>
      <c r="D56" s="11">
        <f>VLOOKUP($A56,библиотеки!A62:H176,7,FALSE)</f>
        <v>5728</v>
      </c>
      <c r="E56" s="11">
        <f>VLOOKUP($A56,Газеты!$A$3:$G$111,7,FALSE)</f>
        <v>405</v>
      </c>
      <c r="F56" s="11">
        <f>VLOOKUP($A56,Лагеря!$A$3:$F$113,6,FALSE)</f>
        <v>50.8</v>
      </c>
    </row>
    <row r="57" spans="1:6" ht="19.2" x14ac:dyDescent="0.3">
      <c r="A57" s="10" t="s">
        <v>94</v>
      </c>
      <c r="B57" s="11">
        <f>VLOOKUP($A57,'театры, музеи'!$A$2:$H$112,7,FALSE)</f>
        <v>189</v>
      </c>
      <c r="C57" s="11">
        <f>VLOOKUP($A57,'спортивные сооружния'!A61:G173,7,FALSE)</f>
        <v>17</v>
      </c>
      <c r="D57" s="11">
        <f>VLOOKUP($A57,библиотеки!A63:H177,7,FALSE)</f>
        <v>6888</v>
      </c>
      <c r="E57" s="11">
        <f>VLOOKUP($A57,Газеты!$A$3:$G$111,7,FALSE)</f>
        <v>1143</v>
      </c>
      <c r="F57" s="11">
        <f>VLOOKUP($A57,Лагеря!$A$3:$F$113,6,FALSE)</f>
        <v>40.700000000000003</v>
      </c>
    </row>
    <row r="58" spans="1:6" ht="28.8" x14ac:dyDescent="0.3">
      <c r="A58" s="15" t="s">
        <v>97</v>
      </c>
      <c r="B58" s="11">
        <f>VLOOKUP($A58,'театры, музеи'!$A$2:$H$112,7,FALSE)</f>
        <v>325</v>
      </c>
      <c r="C58" s="11">
        <f>VLOOKUP($A58,'спортивные сооружния'!A64:G176,7,FALSE)</f>
        <v>45</v>
      </c>
      <c r="D58" s="11">
        <f>VLOOKUP($A58,библиотеки!A66:H180,7,FALSE)</f>
        <v>3656</v>
      </c>
      <c r="E58" s="11">
        <f>VLOOKUP($A58,Газеты!$A$3:$G$111,7,FALSE)</f>
        <v>375</v>
      </c>
      <c r="F58" s="11">
        <f>VLOOKUP($A58,Лагеря!$A$3:$F$113,6,FALSE)</f>
        <v>36.6</v>
      </c>
    </row>
    <row r="59" spans="1:6" ht="19.2" x14ac:dyDescent="0.3">
      <c r="A59" s="15" t="s">
        <v>98</v>
      </c>
      <c r="B59" s="11">
        <f>VLOOKUP($A59,'театры, музеи'!$A$2:$H$112,7,FALSE)</f>
        <v>200</v>
      </c>
      <c r="C59" s="11">
        <f>VLOOKUP($A59,'спортивные сооружния'!A65:G177,7,FALSE)</f>
        <v>22</v>
      </c>
      <c r="D59" s="11">
        <f>VLOOKUP($A59,библиотеки!A67:H181,7,FALSE)</f>
        <v>4066</v>
      </c>
      <c r="E59" s="11">
        <f>VLOOKUP($A59,Газеты!$A$3:$G$111,7,FALSE)</f>
        <v>204</v>
      </c>
      <c r="F59" s="11">
        <f>VLOOKUP($A59,Лагеря!$A$3:$F$113,6,FALSE)</f>
        <v>180.2</v>
      </c>
    </row>
    <row r="60" spans="1:6" ht="48" x14ac:dyDescent="0.3">
      <c r="A60" s="15" t="s">
        <v>1069</v>
      </c>
      <c r="B60" s="11">
        <f>VLOOKUP($A60,'театры, музеи'!$A$2:$H$112,7,FALSE)</f>
        <v>162</v>
      </c>
      <c r="C60" s="11">
        <f>VLOOKUP($A60,'спортивные сооружния'!A66:G178,7,FALSE)</f>
        <v>4</v>
      </c>
      <c r="D60" s="11">
        <f>VLOOKUP($A60,библиотеки!A68:H182,7,FALSE)</f>
        <v>3069</v>
      </c>
      <c r="E60" s="11">
        <f>VLOOKUP($A60,Газеты!$A$3:$G$111,7,FALSE)</f>
        <v>222</v>
      </c>
      <c r="F60" s="11">
        <f>VLOOKUP($A60,Лагеря!$A$3:$F$113,6,FALSE)</f>
        <v>49</v>
      </c>
    </row>
    <row r="61" spans="1:6" ht="38.4" x14ac:dyDescent="0.3">
      <c r="A61" s="10" t="s">
        <v>922</v>
      </c>
      <c r="B61" s="11">
        <f>VLOOKUP($A61,'театры, музеи'!$A$2:$H$112,7,FALSE)</f>
        <v>304</v>
      </c>
      <c r="C61" s="11">
        <f>VLOOKUP($A61,'спортивные сооружния'!A68:G180,7,FALSE)</f>
        <v>18</v>
      </c>
      <c r="D61" s="11">
        <f>VLOOKUP($A61,библиотеки!A70:H184,7,FALSE)</f>
        <v>5600</v>
      </c>
      <c r="E61" s="11">
        <f>VLOOKUP($A61,Газеты!$A$3:$G$111,7,FALSE)</f>
        <v>193</v>
      </c>
      <c r="F61" s="11">
        <f>VLOOKUP($A61,Лагеря!$A$3:$F$113,6,FALSE)</f>
        <v>100.9</v>
      </c>
    </row>
    <row r="62" spans="1:6" ht="19.2" x14ac:dyDescent="0.3">
      <c r="A62" s="8" t="s">
        <v>103</v>
      </c>
      <c r="B62" s="11">
        <f>VLOOKUP($A62,'театры, музеи'!$A$2:$H$112,7,FALSE)</f>
        <v>225</v>
      </c>
      <c r="C62" s="11">
        <f>VLOOKUP($A62,'спортивные сооружния'!A69:G181,7,FALSE)</f>
        <v>37</v>
      </c>
      <c r="D62" s="11">
        <f>VLOOKUP($A62,библиотеки!A71:H185,7,FALSE)</f>
        <v>4393</v>
      </c>
      <c r="E62" s="11">
        <f>VLOOKUP($A62,Газеты!$A$3:$G$111,7,FALSE)</f>
        <v>450</v>
      </c>
      <c r="F62" s="11">
        <f>VLOOKUP($A62,Лагеря!$A$3:$F$113,6,FALSE)</f>
        <v>140.1</v>
      </c>
    </row>
    <row r="63" spans="1:6" ht="19.2" x14ac:dyDescent="0.3">
      <c r="A63" s="10" t="s">
        <v>105</v>
      </c>
      <c r="B63" s="11">
        <f>VLOOKUP($A63,'театры, музеи'!$A$2:$H$112,7,FALSE)</f>
        <v>135</v>
      </c>
      <c r="C63" s="11">
        <f>VLOOKUP($A63,'спортивные сооружния'!A71:G183,7,FALSE)</f>
        <v>8</v>
      </c>
      <c r="D63" s="11">
        <f>VLOOKUP($A63,библиотеки!A73:H187,7,FALSE)</f>
        <v>6933</v>
      </c>
      <c r="E63" s="11">
        <f>VLOOKUP($A63,Газеты!$A$3:$G$111,7,FALSE)</f>
        <v>318</v>
      </c>
      <c r="F63" s="11">
        <f>VLOOKUP($A63,Лагеря!$A$3:$F$113,6,FALSE)</f>
        <v>10</v>
      </c>
    </row>
    <row r="64" spans="1:6" ht="19.2" x14ac:dyDescent="0.3">
      <c r="A64" s="10" t="s">
        <v>106</v>
      </c>
      <c r="B64" s="11">
        <f>VLOOKUP($A64,'театры, музеи'!$A$2:$H$112,7,FALSE)</f>
        <v>420</v>
      </c>
      <c r="C64" s="11">
        <f>VLOOKUP($A64,'спортивные сооружния'!A72:G184,7,FALSE)</f>
        <v>10</v>
      </c>
      <c r="D64" s="11">
        <f>VLOOKUP($A64,библиотеки!A74:H188,7,FALSE)</f>
        <v>8732</v>
      </c>
      <c r="E64" s="11">
        <f>VLOOKUP($A64,Газеты!$A$3:$G$111,7,FALSE)</f>
        <v>73</v>
      </c>
      <c r="F64" s="11">
        <f>VLOOKUP($A64,Лагеря!$A$3:$F$113,6,FALSE)</f>
        <v>16.7</v>
      </c>
    </row>
    <row r="65" spans="1:6" ht="19.2" x14ac:dyDescent="0.3">
      <c r="A65" s="10" t="s">
        <v>107</v>
      </c>
      <c r="B65" s="11">
        <f>VLOOKUP($A65,'театры, музеи'!$A$2:$H$112,7,FALSE)</f>
        <v>258</v>
      </c>
      <c r="C65" s="11">
        <f>VLOOKUP($A65,'спортивные сооружния'!A73:G185,7,FALSE)</f>
        <v>21</v>
      </c>
      <c r="D65" s="11">
        <f>VLOOKUP($A65,библиотеки!A75:H189,7,FALSE)</f>
        <v>5661</v>
      </c>
      <c r="E65" s="11">
        <f>VLOOKUP($A65,Газеты!$A$3:$G$111,7,FALSE)</f>
        <v>788</v>
      </c>
      <c r="F65" s="11">
        <f>VLOOKUP($A65,Лагеря!$A$3:$F$113,6,FALSE)</f>
        <v>21.9</v>
      </c>
    </row>
    <row r="66" spans="1:6" ht="19.2" x14ac:dyDescent="0.3">
      <c r="A66" s="10" t="s">
        <v>108</v>
      </c>
      <c r="B66" s="11">
        <f>VLOOKUP($A66,'театры, музеи'!$A$2:$H$112,7,FALSE)</f>
        <v>234</v>
      </c>
      <c r="C66" s="11">
        <f>VLOOKUP($A66,'спортивные сооружния'!A74:G186,7,FALSE)</f>
        <v>49</v>
      </c>
      <c r="D66" s="11">
        <f>VLOOKUP($A66,библиотеки!A76:H190,7,FALSE)</f>
        <v>6028</v>
      </c>
      <c r="E66" s="11">
        <f>VLOOKUP($A66,Газеты!$A$3:$G$111,7,FALSE)</f>
        <v>294</v>
      </c>
      <c r="F66" s="11">
        <f>VLOOKUP($A66,Лагеря!$A$3:$F$113,6,FALSE)</f>
        <v>97.8</v>
      </c>
    </row>
    <row r="67" spans="1:6" ht="19.2" x14ac:dyDescent="0.3">
      <c r="A67" s="10" t="s">
        <v>109</v>
      </c>
      <c r="B67" s="11">
        <f>VLOOKUP($A67,'театры, музеи'!$A$2:$H$112,7,FALSE)</f>
        <v>385</v>
      </c>
      <c r="C67" s="11">
        <f>VLOOKUP($A67,'спортивные сооружния'!A75:G187,7,FALSE)</f>
        <v>16</v>
      </c>
      <c r="D67" s="11">
        <f>VLOOKUP($A67,библиотеки!A77:H191,7,FALSE)</f>
        <v>6333</v>
      </c>
      <c r="E67" s="11">
        <f>VLOOKUP($A67,Газеты!$A$3:$G$111,7,FALSE)</f>
        <v>314</v>
      </c>
      <c r="F67" s="11">
        <f>VLOOKUP($A67,Лагеря!$A$3:$F$113,6,FALSE)</f>
        <v>107.4</v>
      </c>
    </row>
    <row r="68" spans="1:6" ht="19.2" x14ac:dyDescent="0.3">
      <c r="A68" s="10" t="s">
        <v>110</v>
      </c>
      <c r="B68" s="11">
        <f>VLOOKUP($A68,'театры, музеи'!$A$2:$H$112,7,FALSE)</f>
        <v>251</v>
      </c>
      <c r="C68" s="11">
        <f>VLOOKUP($A68,'спортивные сооружния'!A76:G188,7,FALSE)</f>
        <v>24</v>
      </c>
      <c r="D68" s="11">
        <f>VLOOKUP($A68,библиотеки!A78:H192,7,FALSE)</f>
        <v>4597</v>
      </c>
      <c r="E68" s="11">
        <f>VLOOKUP($A68,Газеты!$A$3:$G$111,7,FALSE)</f>
        <v>354</v>
      </c>
      <c r="F68" s="11">
        <f>VLOOKUP($A68,Лагеря!$A$3:$F$113,6,FALSE)</f>
        <v>79.900000000000006</v>
      </c>
    </row>
    <row r="69" spans="1:6" ht="19.2" x14ac:dyDescent="0.3">
      <c r="A69" s="10" t="s">
        <v>111</v>
      </c>
      <c r="B69" s="11">
        <f>VLOOKUP($A69,'театры, музеи'!$A$2:$H$112,7,FALSE)</f>
        <v>178</v>
      </c>
      <c r="C69" s="11">
        <f>VLOOKUP($A69,'спортивные сооружния'!A77:G189,7,FALSE)</f>
        <v>26</v>
      </c>
      <c r="D69" s="11">
        <f>VLOOKUP($A69,библиотеки!A79:H193,7,FALSE)</f>
        <v>4961</v>
      </c>
      <c r="E69" s="11">
        <f>VLOOKUP($A69,Газеты!$A$3:$G$111,7,FALSE)</f>
        <v>122</v>
      </c>
      <c r="F69" s="11">
        <f>VLOOKUP($A69,Лагеря!$A$3:$F$113,6,FALSE)</f>
        <v>103.9</v>
      </c>
    </row>
    <row r="70" spans="1:6" ht="19.2" x14ac:dyDescent="0.3">
      <c r="A70" s="10" t="s">
        <v>112</v>
      </c>
      <c r="B70" s="11">
        <f>VLOOKUP($A70,'театры, музеи'!$A$2:$H$112,7,FALSE)</f>
        <v>394</v>
      </c>
      <c r="C70" s="11">
        <f>VLOOKUP($A70,'спортивные сооружния'!A78:G190,7,FALSE)</f>
        <v>24</v>
      </c>
      <c r="D70" s="11">
        <f>VLOOKUP($A70,библиотеки!A80:H194,7,FALSE)</f>
        <v>3889</v>
      </c>
      <c r="E70" s="11">
        <f>VLOOKUP($A70,Газеты!$A$3:$G$111,7,FALSE)</f>
        <v>363</v>
      </c>
      <c r="F70" s="11">
        <f>VLOOKUP($A70,Лагеря!$A$3:$F$113,6,FALSE)</f>
        <v>107.1</v>
      </c>
    </row>
    <row r="71" spans="1:6" ht="19.2" x14ac:dyDescent="0.3">
      <c r="A71" s="10" t="s">
        <v>113</v>
      </c>
      <c r="B71" s="11">
        <f>VLOOKUP($A71,'театры, музеи'!$A$2:$H$112,7,FALSE)</f>
        <v>342</v>
      </c>
      <c r="C71" s="11">
        <f>VLOOKUP($A71,'спортивные сооружния'!A79:G191,7,FALSE)</f>
        <v>39</v>
      </c>
      <c r="D71" s="11">
        <f>VLOOKUP($A71,библиотеки!A81:H195,7,FALSE)</f>
        <v>7002</v>
      </c>
      <c r="E71" s="11">
        <f>VLOOKUP($A71,Газеты!$A$3:$G$111,7,FALSE)</f>
        <v>266</v>
      </c>
      <c r="F71" s="11">
        <f>VLOOKUP($A71,Лагеря!$A$3:$F$113,6,FALSE)</f>
        <v>67.2</v>
      </c>
    </row>
    <row r="72" spans="1:6" ht="19.2" x14ac:dyDescent="0.3">
      <c r="A72" s="10" t="s">
        <v>114</v>
      </c>
      <c r="B72" s="11">
        <f>VLOOKUP($A72,'театры, музеи'!$A$2:$H$112,7,FALSE)</f>
        <v>278</v>
      </c>
      <c r="C72" s="11">
        <f>VLOOKUP($A72,'спортивные сооружния'!A80:G192,7,FALSE)</f>
        <v>14</v>
      </c>
      <c r="D72" s="11">
        <f>VLOOKUP($A72,библиотеки!A82:H196,7,FALSE)</f>
        <v>4694</v>
      </c>
      <c r="E72" s="11">
        <f>VLOOKUP($A72,Газеты!$A$3:$G$111,7,FALSE)</f>
        <v>416</v>
      </c>
      <c r="F72" s="11">
        <f>VLOOKUP($A72,Лагеря!$A$3:$F$113,6,FALSE)</f>
        <v>42.8</v>
      </c>
    </row>
    <row r="73" spans="1:6" ht="19.2" x14ac:dyDescent="0.3">
      <c r="A73" s="8" t="s">
        <v>116</v>
      </c>
      <c r="B73" s="11">
        <f>VLOOKUP($A73,'театры, музеи'!$A$2:$H$112,7,FALSE)</f>
        <v>263</v>
      </c>
      <c r="C73" s="11">
        <f>VLOOKUP($A73,'спортивные сооружния'!A82:G194,7,FALSE)</f>
        <v>19</v>
      </c>
      <c r="D73" s="11">
        <f>VLOOKUP($A73,библиотеки!A84:H198,7,FALSE)</f>
        <v>5587</v>
      </c>
      <c r="E73" s="11">
        <f>VLOOKUP($A73,Газеты!$A$3:$G$111,7,FALSE)</f>
        <v>342</v>
      </c>
      <c r="F73" s="11">
        <f>VLOOKUP($A73,Лагеря!$A$3:$F$113,6,FALSE)</f>
        <v>31.8</v>
      </c>
    </row>
    <row r="74" spans="1:6" ht="28.8" x14ac:dyDescent="0.3">
      <c r="A74" s="10" t="s">
        <v>117</v>
      </c>
      <c r="B74" s="11">
        <f>VLOOKUP($A74,'театры, музеи'!$A$2:$H$112,7,FALSE)</f>
        <v>242</v>
      </c>
      <c r="C74" s="11">
        <f>VLOOKUP($A74,'спортивные сооружния'!A83:G195,7,FALSE)</f>
        <v>24</v>
      </c>
      <c r="D74" s="11">
        <f>VLOOKUP($A74,библиотеки!A85:H199,7,FALSE)</f>
        <v>8837</v>
      </c>
      <c r="E74" s="11">
        <f>VLOOKUP($A74,Газеты!$A$3:$G$111,7,FALSE)</f>
        <v>135</v>
      </c>
      <c r="F74" s="11">
        <f>VLOOKUP($A74,Лагеря!$A$3:$F$113,6,FALSE)</f>
        <v>34.5</v>
      </c>
    </row>
    <row r="75" spans="1:6" ht="19.2" x14ac:dyDescent="0.3">
      <c r="A75" s="10" t="s">
        <v>118</v>
      </c>
      <c r="B75" s="11">
        <f>VLOOKUP($A75,'театры, музеи'!$A$2:$H$112,7,FALSE)</f>
        <v>276</v>
      </c>
      <c r="C75" s="11">
        <f>VLOOKUP($A75,'спортивные сооружния'!A83:G196,7,FALSE)</f>
        <v>12</v>
      </c>
      <c r="D75" s="11">
        <f>VLOOKUP($A75,библиотеки!A86:H200,7,FALSE)</f>
        <v>6518</v>
      </c>
      <c r="E75" s="11">
        <f>VLOOKUP($A75,Газеты!$A$3:$G$111,7,FALSE)</f>
        <v>163</v>
      </c>
      <c r="F75" s="11">
        <f>VLOOKUP($A75,Лагеря!$A$3:$F$113,6,FALSE)</f>
        <v>37.200000000000003</v>
      </c>
    </row>
    <row r="76" spans="1:6" ht="19.2" x14ac:dyDescent="0.3">
      <c r="A76" s="10" t="s">
        <v>119</v>
      </c>
      <c r="B76" s="11">
        <f>VLOOKUP($A76,'театры, музеи'!$A$2:$H$112,7,FALSE)</f>
        <v>271</v>
      </c>
      <c r="C76" s="11">
        <f>VLOOKUP($A76,'спортивные сооружния'!A84:G197,7,FALSE)</f>
        <v>1</v>
      </c>
      <c r="D76" s="11">
        <f>VLOOKUP($A76,библиотеки!A87:H201,7,FALSE)</f>
        <v>7520</v>
      </c>
      <c r="E76" s="11">
        <f>VLOOKUP($A76,Газеты!$A$3:$G$111,7,FALSE)</f>
        <v>487</v>
      </c>
      <c r="F76" s="11">
        <f>VLOOKUP($A76,Лагеря!$A$3:$F$113,6,FALSE)</f>
        <v>12.9</v>
      </c>
    </row>
    <row r="77" spans="1:6" ht="19.2" x14ac:dyDescent="0.3">
      <c r="A77" s="10" t="s">
        <v>120</v>
      </c>
      <c r="B77" s="11">
        <f>VLOOKUP($A77,'театры, музеи'!$A$2:$H$112,7,FALSE)</f>
        <v>318</v>
      </c>
      <c r="C77" s="11">
        <f>VLOOKUP($A77,'спортивные сооружния'!A85:G198,7,FALSE)</f>
        <v>24</v>
      </c>
      <c r="D77" s="11">
        <f>VLOOKUP($A77,библиотеки!A88:H202,7,FALSE)</f>
        <v>3577</v>
      </c>
      <c r="E77" s="11">
        <f>VLOOKUP($A77,Газеты!$A$3:$G$111,7,FALSE)</f>
        <v>150</v>
      </c>
      <c r="F77" s="11">
        <f>VLOOKUP($A77,Лагеря!$A$3:$F$113,6,FALSE)</f>
        <v>92.2</v>
      </c>
    </row>
    <row r="78" spans="1:6" ht="19.2" x14ac:dyDescent="0.3">
      <c r="A78" s="10" t="s">
        <v>121</v>
      </c>
      <c r="B78" s="11">
        <f>VLOOKUP($A78,'театры, музеи'!$A$2:$H$112,7,FALSE)</f>
        <v>246</v>
      </c>
      <c r="C78" s="11">
        <f>VLOOKUP($A78,'спортивные сооружния'!A85:G199,7,FALSE)</f>
        <v>16</v>
      </c>
      <c r="D78" s="11">
        <f>VLOOKUP($A78,библиотеки!A88:H203,7,FALSE)</f>
        <v>7103</v>
      </c>
      <c r="E78" s="11">
        <f>VLOOKUP($A78,Газеты!$A$3:$G$111,7,FALSE)</f>
        <v>193</v>
      </c>
      <c r="F78" s="11">
        <f>VLOOKUP($A78,Лагеря!$A$3:$F$113,6,FALSE)</f>
        <v>40.299999999999997</v>
      </c>
    </row>
    <row r="79" spans="1:6" ht="19.2" x14ac:dyDescent="0.3">
      <c r="A79" s="10" t="s">
        <v>122</v>
      </c>
      <c r="B79" s="11">
        <f>VLOOKUP($A79,'театры, музеи'!$A$2:$H$112,7,FALSE)</f>
        <v>172</v>
      </c>
      <c r="C79" s="11">
        <f>VLOOKUP($A79,'спортивные сооружния'!A86:G200,7,FALSE)</f>
        <v>26</v>
      </c>
      <c r="D79" s="11">
        <f>VLOOKUP($A79,библиотеки!A89:H204,7,FALSE)</f>
        <v>4829</v>
      </c>
      <c r="E79" s="11">
        <f>VLOOKUP($A79,Газеты!$A$3:$G$111,7,FALSE)</f>
        <v>208</v>
      </c>
      <c r="F79" s="11">
        <f>VLOOKUP($A79,Лагеря!$A$3:$F$113,6,FALSE)</f>
        <v>19.7</v>
      </c>
    </row>
    <row r="80" spans="1:6" ht="19.2" x14ac:dyDescent="0.3">
      <c r="A80" s="10" t="s">
        <v>123</v>
      </c>
      <c r="B80" s="11">
        <f>VLOOKUP($A80,'театры, музеи'!$A$2:$H$112,7,FALSE)</f>
        <v>350</v>
      </c>
      <c r="C80" s="11">
        <f>VLOOKUP($A80,'спортивные сооружния'!A87:G201,7,FALSE)</f>
        <v>1</v>
      </c>
      <c r="D80" s="11">
        <f>VLOOKUP($A80,библиотеки!A89:H205,7,FALSE)</f>
        <v>10550</v>
      </c>
      <c r="E80" s="11">
        <f>VLOOKUP($A80,Газеты!$A$3:$G$111,7,FALSE)</f>
        <v>280</v>
      </c>
      <c r="F80" s="11">
        <f>VLOOKUP($A80,Лагеря!$A$3:$F$113,6,FALSE)</f>
        <v>7.3</v>
      </c>
    </row>
    <row r="81" spans="1:6" ht="19.2" x14ac:dyDescent="0.3">
      <c r="A81" s="10" t="s">
        <v>124</v>
      </c>
      <c r="B81" s="11">
        <f>VLOOKUP($A81,'театры, музеи'!$A$2:$H$112,7,FALSE)</f>
        <v>246</v>
      </c>
      <c r="C81" s="11">
        <f>VLOOKUP($A81,'спортивные сооружния'!A88:G202,7,FALSE)</f>
        <v>3</v>
      </c>
      <c r="D81" s="11">
        <f>VLOOKUP($A81,библиотеки!A90:H206,7,FALSE)</f>
        <v>6276</v>
      </c>
      <c r="E81" s="11">
        <f>VLOOKUP($A81,Газеты!$A$3:$G$111,7,FALSE)</f>
        <v>160</v>
      </c>
      <c r="F81" s="11">
        <f>VLOOKUP($A81,Лагеря!$A$3:$F$113,6,FALSE)</f>
        <v>27.3</v>
      </c>
    </row>
    <row r="82" spans="1:6" ht="28.8" x14ac:dyDescent="0.3">
      <c r="A82" s="10" t="s">
        <v>125</v>
      </c>
      <c r="B82" s="11">
        <f>VLOOKUP($A82,'театры, музеи'!$A$2:$H$112,7,FALSE)</f>
        <v>138</v>
      </c>
      <c r="C82" s="11">
        <f>VLOOKUP($A82,'спортивные сооружния'!A89:G203,7,FALSE)</f>
        <v>2</v>
      </c>
      <c r="D82" s="11">
        <f>VLOOKUP($A82,библиотеки!A91:H207,7,FALSE)</f>
        <v>8834</v>
      </c>
      <c r="E82" s="11">
        <f>VLOOKUP($A82,Газеты!$A$3:$G$111,7,FALSE)</f>
        <v>173</v>
      </c>
      <c r="F82" s="11">
        <f>VLOOKUP($A82,Лагеря!$A$3:$F$113,6,FALSE)</f>
        <v>8.1999999999999993</v>
      </c>
    </row>
    <row r="83" spans="1:6" ht="28.8" x14ac:dyDescent="0.3">
      <c r="A83" s="142" t="s">
        <v>126</v>
      </c>
      <c r="B83" s="11">
        <v>0</v>
      </c>
      <c r="C83" s="11">
        <v>0</v>
      </c>
      <c r="D83" s="11">
        <f>VLOOKUP($A83,библиотеки!A92:H208,7,FALSE)</f>
        <v>14479</v>
      </c>
      <c r="E83" s="11">
        <f>VLOOKUP($A83,Газеты!$A$3:$G$111,7,FALSE)</f>
        <v>108</v>
      </c>
      <c r="F83" s="11">
        <f>VLOOKUP($A83,Лагеря!$A$3:$F$113,6,FALSE)</f>
        <v>4.2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72C3F-E915-48AA-9446-4FBF6B420D1F}">
  <sheetPr>
    <tabColor theme="5" tint="0.59999389629810485"/>
  </sheetPr>
  <dimension ref="A1:G83"/>
  <sheetViews>
    <sheetView workbookViewId="0">
      <selection activeCell="G3" sqref="G3"/>
    </sheetView>
  </sheetViews>
  <sheetFormatPr defaultColWidth="8.88671875" defaultRowHeight="14.4" x14ac:dyDescent="0.3"/>
  <cols>
    <col min="1" max="1" width="8.88671875" style="144"/>
    <col min="2" max="2" width="19" style="144" customWidth="1"/>
    <col min="3" max="3" width="21.5546875" style="144" customWidth="1"/>
    <col min="4" max="4" width="12" style="144" bestFit="1" customWidth="1"/>
    <col min="5" max="5" width="12.44140625" style="144" customWidth="1"/>
    <col min="6" max="6" width="18.6640625" style="144" customWidth="1"/>
    <col min="7" max="16384" width="8.88671875" style="144"/>
  </cols>
  <sheetData>
    <row r="1" spans="1:7" ht="66" customHeight="1" x14ac:dyDescent="0.3">
      <c r="A1" s="1" t="s">
        <v>1072</v>
      </c>
      <c r="B1" s="143" t="s">
        <v>888</v>
      </c>
      <c r="C1" s="143" t="s">
        <v>1189</v>
      </c>
      <c r="D1" s="143" t="s">
        <v>1188</v>
      </c>
      <c r="E1" s="143" t="s">
        <v>1230</v>
      </c>
      <c r="F1" s="143" t="s">
        <v>1213</v>
      </c>
      <c r="G1" s="146" t="s">
        <v>1200</v>
      </c>
    </row>
    <row r="2" spans="1:7" ht="19.2" x14ac:dyDescent="0.3">
      <c r="A2" s="142" t="s">
        <v>7</v>
      </c>
      <c r="B2" s="145">
        <f>VLOOKUP($A2,занятые!$A$2:$G$108,7,FALSE)</f>
        <v>765.3</v>
      </c>
      <c r="C2" s="145">
        <f>VLOOKUP($A2,Доход!$A$2:$G$108,7,FALSE)</f>
        <v>47257</v>
      </c>
      <c r="D2" s="169">
        <f>VLOOKUP($A2,Основные!$A$2:$I$126,9,FALSE)</f>
        <v>873592.32358232816</v>
      </c>
      <c r="E2" s="168">
        <f>VLOOKUP($A2,Основные!$A$2:$I$126,3,FALSE)/VLOOKUP($A2,Основные!$A$2:$I$126,2,FALSE)</f>
        <v>55.376383763837637</v>
      </c>
      <c r="F2" s="145">
        <f>VLOOKUP($A2,Основные!$A$2:$K$126,10,FALSE)</f>
        <v>212.2</v>
      </c>
      <c r="G2" s="147">
        <v>1500.7</v>
      </c>
    </row>
    <row r="3" spans="1:7" ht="19.2" x14ac:dyDescent="0.3">
      <c r="A3" s="142" t="s">
        <v>8</v>
      </c>
      <c r="B3" s="145">
        <f>VLOOKUP($A3,занятые!$A$2:$G$108,7,FALSE)</f>
        <v>504.5</v>
      </c>
      <c r="C3" s="145">
        <f>VLOOKUP($A3,Доход!$A$2:$G$108,7,FALSE)</f>
        <v>40927</v>
      </c>
      <c r="D3" s="169">
        <f>VLOOKUP($A3,Основные!$A$2:$I$126,9,FALSE)</f>
        <v>480567.22689075628</v>
      </c>
      <c r="E3" s="168">
        <f>VLOOKUP($A3,Основные!$A$2:$I$126,3,FALSE)/VLOOKUP($A3,Основные!$A$2:$I$126,2,FALSE)</f>
        <v>32.733524355300865</v>
      </c>
      <c r="F3" s="145">
        <f>VLOOKUP($A3,Основные!$A$2:$K$126,10,FALSE)</f>
        <v>94.1</v>
      </c>
      <c r="G3" s="147">
        <v>1142.4000000000001</v>
      </c>
    </row>
    <row r="4" spans="1:7" ht="19.2" x14ac:dyDescent="0.3">
      <c r="A4" s="142" t="s">
        <v>9</v>
      </c>
      <c r="B4" s="145">
        <f>VLOOKUP($A4,занятые!$A$2:$G$108,7,FALSE)</f>
        <v>639</v>
      </c>
      <c r="C4" s="145">
        <f>VLOOKUP($A4,Доход!$A$2:$G$108,7,FALSE)</f>
        <v>38649</v>
      </c>
      <c r="D4" s="169">
        <f>VLOOKUP($A4,Основные!$A$2:$I$126,9,FALSE)</f>
        <v>596228.71974959911</v>
      </c>
      <c r="E4" s="168">
        <f>VLOOKUP($A4,Основные!$A$2:$I$126,3,FALSE)/VLOOKUP($A4,Основные!$A$2:$I$126,2,FALSE)</f>
        <v>45.013745704467354</v>
      </c>
      <c r="F4" s="145">
        <f>VLOOKUP($A4,Основные!$A$2:$K$126,10,FALSE)</f>
        <v>181.7</v>
      </c>
      <c r="G4" s="147">
        <v>1309.9000000000001</v>
      </c>
    </row>
    <row r="5" spans="1:7" ht="19.2" x14ac:dyDescent="0.3">
      <c r="A5" s="142" t="s">
        <v>12</v>
      </c>
      <c r="B5" s="145">
        <f>VLOOKUP($A5,занятые!$A$2:$G$108,7,FALSE)</f>
        <v>1151.5999999999999</v>
      </c>
      <c r="C5" s="145">
        <f>VLOOKUP($A5,Доход!$A$2:$G$108,7,FALSE)</f>
        <v>45087</v>
      </c>
      <c r="D5" s="169">
        <f>VLOOKUP($A5,Основные!$A$2:$I$126,9,FALSE)</f>
        <v>606140.58238761325</v>
      </c>
      <c r="E5" s="168">
        <f>VLOOKUP($A5,Основные!$A$2:$I$126,3,FALSE)/VLOOKUP($A5,Основные!$A$2:$I$126,2,FALSE)</f>
        <v>43.551724137931032</v>
      </c>
      <c r="F5" s="145">
        <f>VLOOKUP($A5,Основные!$A$2:$K$126,10,FALSE)</f>
        <v>374.1</v>
      </c>
      <c r="G5" s="147">
        <v>2273.4</v>
      </c>
    </row>
    <row r="6" spans="1:7" ht="19.2" x14ac:dyDescent="0.3">
      <c r="A6" s="142" t="s">
        <v>13</v>
      </c>
      <c r="B6" s="145">
        <f>VLOOKUP($A6,занятые!$A$2:$G$108,7,FALSE)</f>
        <v>422.2</v>
      </c>
      <c r="C6" s="145">
        <f>VLOOKUP($A6,Доход!$A$2:$G$108,7,FALSE)</f>
        <v>41108</v>
      </c>
      <c r="D6" s="169">
        <f>VLOOKUP($A6,Основные!$A$2:$I$126,9,FALSE)</f>
        <v>401810.35434374656</v>
      </c>
      <c r="E6" s="168">
        <f>VLOOKUP($A6,Основные!$A$2:$I$126,3,FALSE)/VLOOKUP($A6,Основные!$A$2:$I$126,2,FALSE)</f>
        <v>42.331775700934578</v>
      </c>
      <c r="F6" s="145">
        <f>VLOOKUP($A6,Основные!$A$2:$K$126,10,FALSE)</f>
        <v>67.5</v>
      </c>
      <c r="G6" s="147">
        <v>905.9</v>
      </c>
    </row>
    <row r="7" spans="1:7" ht="19.2" x14ac:dyDescent="0.3">
      <c r="A7" s="142" t="s">
        <v>14</v>
      </c>
      <c r="B7" s="145">
        <f>VLOOKUP($A7,занятые!$A$2:$G$108,7,FALSE)</f>
        <v>536.9</v>
      </c>
      <c r="C7" s="145">
        <f>VLOOKUP($A7,Доход!$A$2:$G$108,7,FALSE)</f>
        <v>44564</v>
      </c>
      <c r="D7" s="169">
        <f>VLOOKUP($A7,Основные!$A$2:$I$126,9,FALSE)</f>
        <v>649569.44964432798</v>
      </c>
      <c r="E7" s="168">
        <f>VLOOKUP($A7,Основные!$A$2:$I$126,3,FALSE)/VLOOKUP($A7,Основные!$A$2:$I$126,2,FALSE)</f>
        <v>35.852348993288594</v>
      </c>
      <c r="F7" s="145">
        <f>VLOOKUP($A7,Основные!$A$2:$K$126,10,FALSE)</f>
        <v>125.7</v>
      </c>
      <c r="G7" s="147">
        <v>1068.4000000000001</v>
      </c>
    </row>
    <row r="8" spans="1:7" ht="19.2" x14ac:dyDescent="0.3">
      <c r="A8" s="142" t="s">
        <v>16</v>
      </c>
      <c r="B8" s="145">
        <f>VLOOKUP($A8,занятые!$A$2:$G$108,7,FALSE)</f>
        <v>257.3</v>
      </c>
      <c r="C8" s="145">
        <f>VLOOKUP($A8,Доход!$A$2:$G$108,7,FALSE)</f>
        <v>43668</v>
      </c>
      <c r="D8" s="169">
        <f>VLOOKUP($A8,Основные!$A$2:$I$126,9,FALSE)</f>
        <v>487374.18329507328</v>
      </c>
      <c r="E8" s="168">
        <f>VLOOKUP($A8,Основные!$A$2:$I$126,3,FALSE)/VLOOKUP($A8,Основные!$A$2:$I$126,2,FALSE)</f>
        <v>9.4069767441860446</v>
      </c>
      <c r="F8" s="145">
        <f>VLOOKUP($A8,Основные!$A$2:$K$126,10,FALSE)</f>
        <v>47.9</v>
      </c>
      <c r="G8" s="147">
        <v>566.29999999999995</v>
      </c>
    </row>
    <row r="9" spans="1:7" ht="19.2" x14ac:dyDescent="0.3">
      <c r="A9" s="142" t="s">
        <v>18</v>
      </c>
      <c r="B9" s="145">
        <f>VLOOKUP($A9,занятые!$A$2:$G$108,7,FALSE)</f>
        <v>502.6</v>
      </c>
      <c r="C9" s="145">
        <f>VLOOKUP($A9,Доход!$A$2:$G$108,7,FALSE)</f>
        <v>43719</v>
      </c>
      <c r="D9" s="169">
        <f>VLOOKUP($A9,Основные!$A$2:$I$126,9,FALSE)</f>
        <v>627768.8754830804</v>
      </c>
      <c r="E9" s="168">
        <f>VLOOKUP($A9,Основные!$A$2:$I$126,3,FALSE)/VLOOKUP($A9,Основные!$A$2:$I$126,2,FALSE)</f>
        <v>35.363333333333337</v>
      </c>
      <c r="F9" s="145">
        <f>VLOOKUP($A9,Основные!$A$2:$K$126,10,FALSE)</f>
        <v>231.2</v>
      </c>
      <c r="G9" s="147">
        <v>1060.9000000000001</v>
      </c>
    </row>
    <row r="10" spans="1:7" ht="19.2" x14ac:dyDescent="0.3">
      <c r="A10" s="142" t="s">
        <v>19</v>
      </c>
      <c r="B10" s="145">
        <f>VLOOKUP($A10,занятые!$A$2:$G$108,7,FALSE)</f>
        <v>565.70000000000005</v>
      </c>
      <c r="C10" s="145">
        <f>VLOOKUP($A10,Доход!$A$2:$G$108,7,FALSE)</f>
        <v>45458</v>
      </c>
      <c r="D10" s="169">
        <f>VLOOKUP($A10,Основные!$A$2:$I$126,9,FALSE)</f>
        <v>710382.51366120216</v>
      </c>
      <c r="E10" s="168">
        <f>VLOOKUP($A10,Основные!$A$2:$I$126,3,FALSE)/VLOOKUP($A10,Основные!$A$2:$I$126,2,FALSE)</f>
        <v>46.512499999999996</v>
      </c>
      <c r="F10" s="145">
        <f>VLOOKUP($A10,Основные!$A$2:$K$126,10,FALSE)</f>
        <v>187.2</v>
      </c>
      <c r="G10" s="147">
        <v>1116.3</v>
      </c>
    </row>
    <row r="11" spans="1:7" ht="19.2" x14ac:dyDescent="0.3">
      <c r="A11" s="142" t="s">
        <v>20</v>
      </c>
      <c r="B11" s="145">
        <f>VLOOKUP($A11,занятые!$A$2:$G$108,7,FALSE)</f>
        <v>3991.8</v>
      </c>
      <c r="C11" s="145">
        <f>VLOOKUP($A11,Доход!$A$2:$G$108,7,FALSE)</f>
        <v>64870</v>
      </c>
      <c r="D11" s="169">
        <f>VLOOKUP($A11,Основные!$A$2:$I$126,9,FALSE)</f>
        <v>892467.02807670529</v>
      </c>
      <c r="E11" s="168">
        <f>VLOOKUP($A11,Основные!$A$2:$I$126,3,FALSE)/VLOOKUP($A11,Основные!$A$2:$I$126,2,FALSE)</f>
        <v>195.28893905191873</v>
      </c>
      <c r="F11" s="145">
        <f>VLOOKUP($A11,Основные!$A$2:$K$126,10,FALSE)</f>
        <v>1593.5</v>
      </c>
      <c r="G11" s="147">
        <v>8651.2999999999993</v>
      </c>
    </row>
    <row r="12" spans="1:7" ht="19.2" x14ac:dyDescent="0.3">
      <c r="A12" s="142" t="s">
        <v>21</v>
      </c>
      <c r="B12" s="145">
        <f>VLOOKUP($A12,занятые!$A$2:$G$108,7,FALSE)</f>
        <v>301.5</v>
      </c>
      <c r="C12" s="145">
        <f>VLOOKUP($A12,Доход!$A$2:$G$108,7,FALSE)</f>
        <v>43730</v>
      </c>
      <c r="D12" s="169">
        <f>VLOOKUP($A12,Основные!$A$2:$I$126,9,FALSE)</f>
        <v>534296.02888086648</v>
      </c>
      <c r="E12" s="168">
        <f>VLOOKUP($A12,Основные!$A$2:$I$126,3,FALSE)/VLOOKUP($A12,Основные!$A$2:$I$126,2,FALSE)</f>
        <v>28.036437246963562</v>
      </c>
      <c r="F12" s="145">
        <f>VLOOKUP($A12,Основные!$A$2:$K$126,10,FALSE)</f>
        <v>58.4</v>
      </c>
      <c r="G12" s="147">
        <v>692.5</v>
      </c>
    </row>
    <row r="13" spans="1:7" ht="19.2" x14ac:dyDescent="0.3">
      <c r="A13" s="142" t="s">
        <v>22</v>
      </c>
      <c r="B13" s="145">
        <f>VLOOKUP($A13,занятые!$A$2:$G$108,7,FALSE)</f>
        <v>499.7</v>
      </c>
      <c r="C13" s="145">
        <f>VLOOKUP($A13,Доход!$A$2:$G$108,7,FALSE)</f>
        <v>39905</v>
      </c>
      <c r="D13" s="169">
        <f>VLOOKUP($A13,Основные!$A$2:$I$126,9,FALSE)</f>
        <v>571982.9975974866</v>
      </c>
      <c r="E13" s="168">
        <f>VLOOKUP($A13,Основные!$A$2:$I$126,3,FALSE)/VLOOKUP($A13,Основные!$A$2:$I$126,2,FALSE)</f>
        <v>27.328282828282827</v>
      </c>
      <c r="F13" s="145">
        <f>VLOOKUP($A13,Основные!$A$2:$K$126,10,FALSE)</f>
        <v>101.3</v>
      </c>
      <c r="G13" s="147">
        <v>1082.2</v>
      </c>
    </row>
    <row r="14" spans="1:7" ht="19.2" x14ac:dyDescent="0.3">
      <c r="A14" s="142" t="s">
        <v>23</v>
      </c>
      <c r="B14" s="145">
        <f>VLOOKUP($A14,занятые!$A$2:$G$108,7,FALSE)</f>
        <v>409.6</v>
      </c>
      <c r="C14" s="145">
        <f>VLOOKUP($A14,Доход!$A$2:$G$108,7,FALSE)</f>
        <v>42734</v>
      </c>
      <c r="D14" s="169">
        <f>VLOOKUP($A14,Основные!$A$2:$I$126,9,FALSE)</f>
        <v>559027.77777777787</v>
      </c>
      <c r="E14" s="168">
        <f>VLOOKUP($A14,Основные!$A$2:$I$126,3,FALSE)/VLOOKUP($A14,Основные!$A$2:$I$126,2,FALSE)</f>
        <v>17.349397590361448</v>
      </c>
      <c r="F14" s="145">
        <f>VLOOKUP($A14,Основные!$A$2:$K$126,10,FALSE)</f>
        <v>94.6</v>
      </c>
      <c r="G14" s="147">
        <v>864</v>
      </c>
    </row>
    <row r="15" spans="1:7" ht="19.2" x14ac:dyDescent="0.3">
      <c r="A15" s="142" t="s">
        <v>24</v>
      </c>
      <c r="B15" s="145">
        <f>VLOOKUP($A15,занятые!$A$2:$G$108,7,FALSE)</f>
        <v>459.9</v>
      </c>
      <c r="C15" s="145">
        <f>VLOOKUP($A15,Доход!$A$2:$G$108,7,FALSE)</f>
        <v>39229</v>
      </c>
      <c r="D15" s="169">
        <f>VLOOKUP($A15,Основные!$A$2:$I$126,9,FALSE)</f>
        <v>495660.35762835928</v>
      </c>
      <c r="E15" s="168">
        <f>VLOOKUP($A15,Основные!$A$2:$I$126,3,FALSE)/VLOOKUP($A15,Основные!$A$2:$I$126,2,FALSE)</f>
        <v>27.718840579710143</v>
      </c>
      <c r="F15" s="145">
        <f>VLOOKUP($A15,Основные!$A$2:$K$126,10,FALSE)</f>
        <v>92.4</v>
      </c>
      <c r="G15" s="147">
        <v>956.3</v>
      </c>
    </row>
    <row r="16" spans="1:7" ht="19.2" x14ac:dyDescent="0.3">
      <c r="A16" s="142" t="s">
        <v>25</v>
      </c>
      <c r="B16" s="145">
        <f>VLOOKUP($A16,занятые!$A$2:$G$108,7,FALSE)</f>
        <v>578.20000000000005</v>
      </c>
      <c r="C16" s="145">
        <f>VLOOKUP($A16,Доход!$A$2:$G$108,7,FALSE)</f>
        <v>41274</v>
      </c>
      <c r="D16" s="169">
        <f>VLOOKUP($A16,Основные!$A$2:$I$126,9,FALSE)</f>
        <v>524297.74110194214</v>
      </c>
      <c r="E16" s="168">
        <f>VLOOKUP($A16,Основные!$A$2:$I$126,3,FALSE)/VLOOKUP($A16,Основные!$A$2:$I$126,2,FALSE)</f>
        <v>14.248218527315915</v>
      </c>
      <c r="F16" s="145">
        <f>VLOOKUP($A16,Основные!$A$2:$K$126,10,FALSE)</f>
        <v>141.19999999999999</v>
      </c>
      <c r="G16" s="147">
        <v>1199.7</v>
      </c>
    </row>
    <row r="17" spans="1:7" ht="19.2" x14ac:dyDescent="0.3">
      <c r="A17" s="142" t="s">
        <v>26</v>
      </c>
      <c r="B17" s="145">
        <f>VLOOKUP($A17,занятые!$A$2:$G$108,7,FALSE)</f>
        <v>736.3</v>
      </c>
      <c r="C17" s="145">
        <f>VLOOKUP($A17,Доход!$A$2:$G$108,7,FALSE)</f>
        <v>42375</v>
      </c>
      <c r="D17" s="169">
        <f>VLOOKUP($A17,Основные!$A$2:$I$126,9,FALSE)</f>
        <v>682482.49609136023</v>
      </c>
      <c r="E17" s="168">
        <f>VLOOKUP($A17,Основные!$A$2:$I$126,3,FALSE)/VLOOKUP($A17,Основные!$A$2:$I$126,2,FALSE)</f>
        <v>57.24124513618677</v>
      </c>
      <c r="F17" s="145">
        <f>VLOOKUP($A17,Основные!$A$2:$K$126,10,FALSE)</f>
        <v>235.1</v>
      </c>
      <c r="G17" s="147">
        <v>1471.1</v>
      </c>
    </row>
    <row r="18" spans="1:7" ht="19.2" x14ac:dyDescent="0.3">
      <c r="A18" s="142" t="s">
        <v>28</v>
      </c>
      <c r="B18" s="145">
        <f>VLOOKUP($A18,занятые!$A$2:$G$108,7,FALSE)</f>
        <v>598.70000000000005</v>
      </c>
      <c r="C18" s="145">
        <f>VLOOKUP($A18,Доход!$A$2:$G$108,7,FALSE)</f>
        <v>46684</v>
      </c>
      <c r="D18" s="169">
        <f>VLOOKUP($A18,Основные!$A$2:$I$126,9,FALSE)</f>
        <v>629841.69754125969</v>
      </c>
      <c r="E18" s="168">
        <f>VLOOKUP($A18,Основные!$A$2:$I$126,3,FALSE)/VLOOKUP($A18,Основные!$A$2:$I$126,2,FALSE)</f>
        <v>32.806629834254139</v>
      </c>
      <c r="F18" s="145">
        <f>VLOOKUP($A18,Основные!$A$2:$K$126,10,FALSE)</f>
        <v>135.80000000000001</v>
      </c>
      <c r="G18" s="147">
        <v>1187.5999999999999</v>
      </c>
    </row>
    <row r="19" spans="1:7" x14ac:dyDescent="0.3">
      <c r="A19" s="142" t="s">
        <v>31</v>
      </c>
      <c r="B19" s="145">
        <f>VLOOKUP($A19,занятые!$A$2:$G$108,7,FALSE)</f>
        <v>8617.1</v>
      </c>
      <c r="C19" s="145">
        <f>VLOOKUP($A19,Доход!$A$2:$G$108,7,FALSE)</f>
        <v>117103</v>
      </c>
      <c r="D19" s="169">
        <f>VLOOKUP($A19,Основные!$A$2:$I$126,9,FALSE)</f>
        <v>2167865.6709607751</v>
      </c>
      <c r="E19" s="168">
        <f>VLOOKUP($A19,Основные!$A$2:$I$126,3,FALSE)/VLOOKUP($A19,Основные!$A$2:$I$126,2,FALSE)</f>
        <v>5057.6153846153838</v>
      </c>
      <c r="F19" s="145">
        <f>VLOOKUP($A19,Основные!$A$2:$K$126,10,FALSE)</f>
        <v>6757.2</v>
      </c>
      <c r="G19" s="147">
        <v>13149.8</v>
      </c>
    </row>
    <row r="20" spans="1:7" ht="19.2" x14ac:dyDescent="0.3">
      <c r="A20" s="142" t="s">
        <v>36</v>
      </c>
      <c r="B20" s="145">
        <f>VLOOKUP($A20,занятые!$A$2:$G$108,7,FALSE)</f>
        <v>235.1</v>
      </c>
      <c r="C20" s="145">
        <f>VLOOKUP($A20,Доход!$A$2:$G$108,7,FALSE)</f>
        <v>53068</v>
      </c>
      <c r="D20" s="169">
        <f>VLOOKUP($A20,Основные!$A$2:$I$126,9,FALSE)</f>
        <v>746325.63466310361</v>
      </c>
      <c r="E20" s="168">
        <f>VLOOKUP($A20,Основные!$A$2:$I$126,3,FALSE)/VLOOKUP($A20,Основные!$A$2:$I$126,2,FALSE)</f>
        <v>2.9024930747922437</v>
      </c>
      <c r="F20" s="145">
        <f>VLOOKUP($A20,Основные!$A$2:$K$126,10,FALSE)</f>
        <v>103.6</v>
      </c>
      <c r="G20" s="147">
        <v>523.9</v>
      </c>
    </row>
    <row r="21" spans="1:7" ht="19.2" x14ac:dyDescent="0.3">
      <c r="A21" s="142" t="s">
        <v>38</v>
      </c>
      <c r="B21" s="145">
        <f>VLOOKUP($A21,занятые!$A$2:$G$108,7,FALSE)</f>
        <v>335.6</v>
      </c>
      <c r="C21" s="145">
        <f>VLOOKUP($A21,Доход!$A$2:$G$108,7,FALSE)</f>
        <v>56152</v>
      </c>
      <c r="D21" s="169">
        <f>VLOOKUP($A21,Основные!$A$2:$I$126,9,FALSE)</f>
        <v>1354426.8665001388</v>
      </c>
      <c r="E21" s="168">
        <f>VLOOKUP($A21,Основные!$A$2:$I$126,3,FALSE)/VLOOKUP($A21,Основные!$A$2:$I$126,2,FALSE)</f>
        <v>1.7288867562380039</v>
      </c>
      <c r="F21" s="145">
        <f>VLOOKUP($A21,Основные!$A$2:$K$126,10,FALSE)</f>
        <v>128.6</v>
      </c>
      <c r="G21" s="147">
        <v>720.6</v>
      </c>
    </row>
    <row r="22" spans="1:7" ht="19.2" x14ac:dyDescent="0.3">
      <c r="A22" s="142" t="s">
        <v>40</v>
      </c>
      <c r="B22" s="145">
        <f>VLOOKUP($A22,занятые!$A$2:$G$108,7,FALSE)</f>
        <v>460.5</v>
      </c>
      <c r="C22" s="145">
        <f>VLOOKUP($A22,Доход!$A$2:$G$108,7,FALSE)</f>
        <v>58967</v>
      </c>
      <c r="D22" s="169">
        <f>VLOOKUP($A22,Основные!$A$2:$I$126,9,FALSE)</f>
        <v>1190261.4968440034</v>
      </c>
      <c r="E22" s="168">
        <f>VLOOKUP($A22,Основные!$A$2:$I$126,3,FALSE)/VLOOKUP($A22,Основные!$A$2:$I$126,2,FALSE)</f>
        <v>1.6919816918121717</v>
      </c>
      <c r="F22" s="145">
        <f>VLOOKUP($A22,Основные!$A$2:$K$126,10,FALSE)</f>
        <v>206</v>
      </c>
      <c r="G22" s="147">
        <v>998.1</v>
      </c>
    </row>
    <row r="23" spans="1:7" ht="48" x14ac:dyDescent="0.3">
      <c r="A23" s="142" t="s">
        <v>45</v>
      </c>
      <c r="B23" s="145">
        <f>VLOOKUP($A23,занятые!$A$2:$G$108,7,FALSE)</f>
        <v>429.8</v>
      </c>
      <c r="C23" s="145" t="str">
        <f>VLOOKUP($A23,Доход!$A$2:$G$108,7,FALSE)</f>
        <v>55 952</v>
      </c>
      <c r="D23" s="169">
        <f>VLOOKUP($A23,Основные!$A$2:$I$126,9,FALSE)</f>
        <v>732294.17303065176</v>
      </c>
      <c r="E23" s="168">
        <f>VLOOKUP($A23,Основные!$A$2:$I$126,3,FALSE)/VLOOKUP($A23,Основные!$A$2:$I$126,2,FALSE)</f>
        <v>2.3139675623335751</v>
      </c>
      <c r="F23" s="145">
        <f>VLOOKUP($A23,Основные!$A$2:$K$126,10,FALSE)</f>
        <v>119.7</v>
      </c>
      <c r="G23" s="147">
        <v>955.9</v>
      </c>
    </row>
    <row r="24" spans="1:7" ht="19.2" x14ac:dyDescent="0.3">
      <c r="A24" s="142" t="s">
        <v>47</v>
      </c>
      <c r="B24" s="145">
        <f>VLOOKUP($A24,занятые!$A$2:$G$108,7,FALSE)</f>
        <v>503.2</v>
      </c>
      <c r="C24" s="145">
        <f>VLOOKUP($A24,Доход!$A$2:$G$108,7,FALSE)</f>
        <v>42708</v>
      </c>
      <c r="D24" s="169">
        <f>VLOOKUP($A24,Основные!$A$2:$I$126,9,FALSE)</f>
        <v>913144.28393080074</v>
      </c>
      <c r="E24" s="168">
        <f>VLOOKUP($A24,Основные!$A$2:$I$126,3,FALSE)/VLOOKUP($A24,Основные!$A$2:$I$126,2,FALSE)</f>
        <v>7.7605536332179934</v>
      </c>
      <c r="F24" s="145">
        <f>VLOOKUP($A24,Основные!$A$2:$K$126,10,FALSE)</f>
        <v>168.8</v>
      </c>
      <c r="G24" s="147">
        <v>1121.4000000000001</v>
      </c>
    </row>
    <row r="25" spans="1:7" ht="28.8" x14ac:dyDescent="0.3">
      <c r="A25" s="142" t="s">
        <v>49</v>
      </c>
      <c r="B25" s="145">
        <f>VLOOKUP($A25,занятые!$A$2:$G$108,7,FALSE)</f>
        <v>519.29999999999995</v>
      </c>
      <c r="C25" s="145">
        <f>VLOOKUP($A25,Доход!$A$2:$G$108,7,FALSE)</f>
        <v>43543</v>
      </c>
      <c r="D25" s="169">
        <f>VLOOKUP($A25,Основные!$A$2:$I$126,9,FALSE)</f>
        <v>713802.10852113354</v>
      </c>
      <c r="E25" s="168">
        <f>VLOOKUP($A25,Основные!$A$2:$I$126,3,FALSE)/VLOOKUP($A25,Основные!$A$2:$I$126,2,FALSE)</f>
        <v>68.47019867549669</v>
      </c>
      <c r="F25" s="145">
        <f>VLOOKUP($A25,Основные!$A$2:$K$126,10,FALSE)</f>
        <v>196</v>
      </c>
      <c r="G25" s="147">
        <v>1033.9000000000001</v>
      </c>
    </row>
    <row r="26" spans="1:7" ht="19.2" x14ac:dyDescent="0.3">
      <c r="A26" s="142" t="s">
        <v>51</v>
      </c>
      <c r="B26" s="145">
        <f>VLOOKUP($A26,занятые!$A$2:$G$108,7,FALSE)</f>
        <v>901.5</v>
      </c>
      <c r="C26" s="145">
        <f>VLOOKUP($A26,Доход!$A$2:$G$108,7,FALSE)</f>
        <v>45989</v>
      </c>
      <c r="D26" s="169">
        <f>VLOOKUP($A26,Основные!$A$2:$I$126,9,FALSE)</f>
        <v>814421.84890460758</v>
      </c>
      <c r="E26" s="168">
        <f>VLOOKUP($A26,Основные!$A$2:$I$126,3,FALSE)/VLOOKUP($A26,Основные!$A$2:$I$126,2,FALSE)</f>
        <v>24.264600715137068</v>
      </c>
      <c r="F26" s="145">
        <f>VLOOKUP($A26,Основные!$A$2:$K$126,10,FALSE)</f>
        <v>685.6</v>
      </c>
      <c r="G26" s="147">
        <v>2035.8</v>
      </c>
    </row>
    <row r="27" spans="1:7" ht="19.2" x14ac:dyDescent="0.3">
      <c r="A27" s="142" t="s">
        <v>52</v>
      </c>
      <c r="B27" s="145">
        <f>VLOOKUP($A27,занятые!$A$2:$G$108,7,FALSE)</f>
        <v>313.2</v>
      </c>
      <c r="C27" s="145">
        <f>VLOOKUP($A27,Доход!$A$2:$G$108,7,FALSE)</f>
        <v>75786</v>
      </c>
      <c r="D27" s="169">
        <f>VLOOKUP($A27,Основные!$A$2:$I$126,9,FALSE)</f>
        <v>1750457.038391225</v>
      </c>
      <c r="E27" s="168">
        <f>VLOOKUP($A27,Основные!$A$2:$I$126,3,FALSE)/VLOOKUP($A27,Основные!$A$2:$I$126,2,FALSE)</f>
        <v>4.5300207039337472</v>
      </c>
      <c r="F27" s="145">
        <f>VLOOKUP($A27,Основные!$A$2:$K$126,10,FALSE)</f>
        <v>266.89999999999998</v>
      </c>
      <c r="G27" s="147">
        <v>656.4</v>
      </c>
    </row>
    <row r="28" spans="1:7" ht="19.2" x14ac:dyDescent="0.3">
      <c r="A28" s="142" t="s">
        <v>53</v>
      </c>
      <c r="B28" s="145">
        <f>VLOOKUP($A28,занятые!$A$2:$G$108,7,FALSE)</f>
        <v>273.8</v>
      </c>
      <c r="C28" s="145">
        <f>VLOOKUP($A28,Доход!$A$2:$G$108,7,FALSE)</f>
        <v>38903</v>
      </c>
      <c r="D28" s="169">
        <f>VLOOKUP($A28,Основные!$A$2:$I$126,9,FALSE)</f>
        <v>666783.33916695835</v>
      </c>
      <c r="E28" s="168">
        <f>VLOOKUP($A28,Основные!$A$2:$I$126,3,FALSE)/VLOOKUP($A28,Основные!$A$2:$I$126,2,FALSE)</f>
        <v>10.48440366972477</v>
      </c>
      <c r="F28" s="145">
        <f>VLOOKUP($A28,Основные!$A$2:$K$126,10,FALSE)</f>
        <v>75.5</v>
      </c>
      <c r="G28" s="147">
        <v>571.4</v>
      </c>
    </row>
    <row r="29" spans="1:7" ht="19.2" x14ac:dyDescent="0.3">
      <c r="A29" s="142" t="s">
        <v>55</v>
      </c>
      <c r="B29" s="145">
        <f>VLOOKUP($A29,занятые!$A$2:$G$108,7,FALSE)</f>
        <v>285.2</v>
      </c>
      <c r="C29" s="145">
        <f>VLOOKUP($A29,Доход!$A$2:$G$108,7,FALSE)</f>
        <v>39898</v>
      </c>
      <c r="D29" s="169">
        <f>VLOOKUP($A29,Основные!$A$2:$I$126,9,FALSE)</f>
        <v>443985.54465668561</v>
      </c>
      <c r="E29" s="168">
        <f>VLOOKUP($A29,Основные!$A$2:$I$126,3,FALSE)/VLOOKUP($A29,Основные!$A$2:$I$126,2,FALSE)</f>
        <v>10.489169675090253</v>
      </c>
      <c r="F29" s="145">
        <f>VLOOKUP($A29,Основные!$A$2:$K$126,10,FALSE)</f>
        <v>47.6</v>
      </c>
      <c r="G29" s="147">
        <v>581.1</v>
      </c>
    </row>
    <row r="30" spans="1:7" ht="19.2" x14ac:dyDescent="0.3">
      <c r="A30" s="142" t="s">
        <v>57</v>
      </c>
      <c r="B30" s="145">
        <f>VLOOKUP($A30,занятые!$A$2:$G$108,7,FALSE)</f>
        <v>3393.9</v>
      </c>
      <c r="C30" s="145">
        <f>VLOOKUP($A30,Доход!$A$2:$G$108,7,FALSE)</f>
        <v>72037</v>
      </c>
      <c r="D30" s="169">
        <f>VLOOKUP($A30,Основные!$A$2:$I$126,9,FALSE)</f>
        <v>1994712.2083675731</v>
      </c>
      <c r="E30" s="168">
        <f>VLOOKUP($A30,Основные!$A$2:$I$126,3,FALSE)/VLOOKUP($A30,Основные!$A$2:$I$126,2,FALSE)</f>
        <v>3998.428571428572</v>
      </c>
      <c r="F30" s="145">
        <f>VLOOKUP($A30,Основные!$A$2:$K$126,10,FALSE)</f>
        <v>1195.5999999999999</v>
      </c>
      <c r="G30" s="147">
        <v>5597.8</v>
      </c>
    </row>
    <row r="31" spans="1:7" ht="19.2" x14ac:dyDescent="0.3">
      <c r="A31" s="142" t="s">
        <v>61</v>
      </c>
      <c r="B31" s="145">
        <f>VLOOKUP($A31,занятые!$A$2:$G$108,7,FALSE)</f>
        <v>156.69999999999999</v>
      </c>
      <c r="C31" s="145">
        <f>VLOOKUP($A31,Доход!$A$2:$G$108,7,FALSE)</f>
        <v>42684</v>
      </c>
      <c r="D31" s="169">
        <f>VLOOKUP($A31,Основные!$A$2:$I$126,9,FALSE)</f>
        <v>393527.76667998405</v>
      </c>
      <c r="E31" s="168">
        <f>VLOOKUP($A31,Основные!$A$2:$I$126,3,FALSE)/VLOOKUP($A31,Основные!$A$2:$I$126,2,FALSE)</f>
        <v>64.179487179487182</v>
      </c>
      <c r="F31" s="145">
        <f>VLOOKUP($A31,Основные!$A$2:$K$126,10,FALSE)</f>
        <v>61.6</v>
      </c>
      <c r="G31" s="147">
        <v>500.6</v>
      </c>
    </row>
    <row r="32" spans="1:7" ht="19.2" x14ac:dyDescent="0.3">
      <c r="A32" s="142" t="s">
        <v>63</v>
      </c>
      <c r="B32" s="145">
        <f>VLOOKUP($A32,занятые!$A$2:$G$108,7,FALSE)</f>
        <v>890.6</v>
      </c>
      <c r="C32" s="145">
        <f>VLOOKUP($A32,Доход!$A$2:$G$108,7,FALSE)</f>
        <v>32875</v>
      </c>
      <c r="D32" s="169">
        <f>VLOOKUP($A32,Основные!$A$2:$I$126,9,FALSE)</f>
        <v>343545.43074103165</v>
      </c>
      <c r="E32" s="168">
        <f>VLOOKUP($A32,Основные!$A$2:$I$126,3,FALSE)/VLOOKUP($A32,Основные!$A$2:$I$126,2,FALSE)</f>
        <v>73.160919540229884</v>
      </c>
      <c r="F32" s="145">
        <f>VLOOKUP($A32,Основные!$A$2:$K$126,10,FALSE)</f>
        <v>271.3</v>
      </c>
      <c r="G32" s="147">
        <v>1909.5</v>
      </c>
    </row>
    <row r="33" spans="1:7" ht="19.2" x14ac:dyDescent="0.3">
      <c r="A33" s="142" t="s">
        <v>65</v>
      </c>
      <c r="B33" s="145">
        <f>VLOOKUP($A33,занятые!$A$2:$G$108,7,FALSE)</f>
        <v>2908</v>
      </c>
      <c r="C33" s="145">
        <f>VLOOKUP($A33,Доход!$A$2:$G$108,7,FALSE)</f>
        <v>54627</v>
      </c>
      <c r="D33" s="169">
        <f>VLOOKUP($A33,Основные!$A$2:$I$126,9,FALSE)</f>
        <v>737870.73547059833</v>
      </c>
      <c r="E33" s="168">
        <f>VLOOKUP($A33,Основные!$A$2:$I$126,3,FALSE)/VLOOKUP($A33,Основные!$A$2:$I$126,2,FALSE)</f>
        <v>77.258278145695371</v>
      </c>
      <c r="F33" s="145">
        <f>VLOOKUP($A33,Основные!$A$2:$K$126,10,FALSE)</f>
        <v>860.6</v>
      </c>
      <c r="G33" s="147">
        <v>5833</v>
      </c>
    </row>
    <row r="34" spans="1:7" ht="19.2" x14ac:dyDescent="0.3">
      <c r="A34" s="142" t="s">
        <v>66</v>
      </c>
      <c r="B34" s="145">
        <f>VLOOKUP($A34,занятые!$A$2:$G$108,7,FALSE)</f>
        <v>466.8</v>
      </c>
      <c r="C34" s="145">
        <f>VLOOKUP($A34,Доход!$A$2:$G$108,7,FALSE)</f>
        <v>36593</v>
      </c>
      <c r="D34" s="169">
        <f>VLOOKUP($A34,Основные!$A$2:$I$126,9,FALSE)</f>
        <v>808326.28909551993</v>
      </c>
      <c r="E34" s="168">
        <f>VLOOKUP($A34,Основные!$A$2:$I$126,3,FALSE)/VLOOKUP($A34,Основные!$A$2:$I$126,2,FALSE)</f>
        <v>19.314285714285713</v>
      </c>
      <c r="F34" s="145">
        <f>VLOOKUP($A34,Основные!$A$2:$K$126,10,FALSE)</f>
        <v>87.5</v>
      </c>
      <c r="G34" s="147">
        <v>946.4</v>
      </c>
    </row>
    <row r="35" spans="1:7" ht="19.2" x14ac:dyDescent="0.3">
      <c r="A35" s="142" t="s">
        <v>67</v>
      </c>
      <c r="B35" s="145">
        <f>VLOOKUP($A35,занятые!$A$2:$G$108,7,FALSE)</f>
        <v>1180.0999999999999</v>
      </c>
      <c r="C35" s="145">
        <f>VLOOKUP($A35,Доход!$A$2:$G$108,7,FALSE)</f>
        <v>35575</v>
      </c>
      <c r="D35" s="169">
        <f>VLOOKUP($A35,Основные!$A$2:$I$126,9,FALSE)</f>
        <v>496352.74461061979</v>
      </c>
      <c r="E35" s="168">
        <f>VLOOKUP($A35,Основные!$A$2:$I$126,3,FALSE)/VLOOKUP($A35,Основные!$A$2:$I$126,2,FALSE)</f>
        <v>21.735163861824624</v>
      </c>
      <c r="F35" s="145">
        <f>VLOOKUP($A35,Основные!$A$2:$K$126,10,FALSE)</f>
        <v>291.39999999999998</v>
      </c>
      <c r="G35" s="147">
        <v>2453.9</v>
      </c>
    </row>
    <row r="36" spans="1:7" ht="19.2" x14ac:dyDescent="0.3">
      <c r="A36" s="142" t="s">
        <v>70</v>
      </c>
      <c r="B36" s="145">
        <f>VLOOKUP($A36,занятые!$A$2:$G$108,7,FALSE)</f>
        <v>2092.1</v>
      </c>
      <c r="C36" s="145">
        <f>VLOOKUP($A36,Доход!$A$2:$G$108,7,FALSE)</f>
        <v>46840</v>
      </c>
      <c r="D36" s="169">
        <f>VLOOKUP($A36,Основные!$A$2:$I$126,9,FALSE)</f>
        <v>560144.49127031909</v>
      </c>
      <c r="E36" s="168">
        <f>VLOOKUP($A36,Основные!$A$2:$I$126,3,FALSE)/VLOOKUP($A36,Основные!$A$2:$I$126,2,FALSE)</f>
        <v>41.113861386138616</v>
      </c>
      <c r="F36" s="145">
        <f>VLOOKUP($A36,Основные!$A$2:$K$126,10,FALSE)</f>
        <v>643.70000000000005</v>
      </c>
      <c r="G36" s="147">
        <v>4152.5</v>
      </c>
    </row>
    <row r="37" spans="1:7" ht="28.8" x14ac:dyDescent="0.3">
      <c r="A37" s="142" t="s">
        <v>71</v>
      </c>
      <c r="B37" s="145">
        <f>VLOOKUP($A37,занятые!$A$2:$G$108,7,FALSE)</f>
        <v>251.4</v>
      </c>
      <c r="C37" s="145">
        <f>VLOOKUP($A37,Доход!$A$2:$G$108,7,FALSE)</f>
        <v>39968</v>
      </c>
      <c r="D37" s="169">
        <f>VLOOKUP($A37,Основные!$A$2:$I$126,9,FALSE)</f>
        <v>409690.06056287856</v>
      </c>
      <c r="E37" s="168">
        <f>VLOOKUP($A37,Основные!$A$2:$I$126,3,FALSE)/VLOOKUP($A37,Основные!$A$2:$I$126,2,FALSE)</f>
        <v>623.77777777777771</v>
      </c>
      <c r="F37" s="145">
        <f>VLOOKUP($A37,Основные!$A$2:$K$126,10,FALSE)</f>
        <v>54</v>
      </c>
      <c r="G37" s="147">
        <v>561.4</v>
      </c>
    </row>
    <row r="38" spans="1:7" ht="19.2" x14ac:dyDescent="0.3">
      <c r="A38" s="142" t="s">
        <v>74</v>
      </c>
      <c r="B38" s="145">
        <f>VLOOKUP($A38,занятые!$A$2:$G$108,7,FALSE)</f>
        <v>1230.2</v>
      </c>
      <c r="C38" s="145">
        <f>VLOOKUP($A38,Доход!$A$2:$G$108,7,FALSE)</f>
        <v>39686</v>
      </c>
      <c r="D38" s="169">
        <f>VLOOKUP($A38,Основные!$A$2:$I$126,9,FALSE)</f>
        <v>282470.14417424664</v>
      </c>
      <c r="E38" s="168">
        <f>VLOOKUP($A38,Основные!$A$2:$I$126,3,FALSE)/VLOOKUP($A38,Основные!$A$2:$I$126,2,FALSE)</f>
        <v>64.258449304174945</v>
      </c>
      <c r="F38" s="145">
        <f>VLOOKUP($A38,Основные!$A$2:$K$126,10,FALSE)</f>
        <v>350.6</v>
      </c>
      <c r="G38" s="147">
        <v>3232.2</v>
      </c>
    </row>
    <row r="39" spans="1:7" ht="28.8" x14ac:dyDescent="0.3">
      <c r="A39" s="141" t="s">
        <v>76</v>
      </c>
      <c r="B39" s="145">
        <f>VLOOKUP($A39,занятые!$A$2:$G$108,7,FALSE)</f>
        <v>386</v>
      </c>
      <c r="C39" s="145">
        <f>VLOOKUP($A39,Доход!$A$2:$G$108,7,FALSE)</f>
        <v>38948</v>
      </c>
      <c r="D39" s="169">
        <f>VLOOKUP($A39,Основные!$A$2:$I$126,9,FALSE)</f>
        <v>286029.81778023188</v>
      </c>
      <c r="E39" s="168">
        <f>VLOOKUP($A39,Основные!$A$2:$I$126,3,FALSE)/VLOOKUP($A39,Основные!$A$2:$I$126,2,FALSE)</f>
        <v>72.44</v>
      </c>
      <c r="F39" s="145">
        <f>VLOOKUP($A39,Основные!$A$2:$K$126,10,FALSE)</f>
        <v>68.3</v>
      </c>
      <c r="G39" s="147">
        <v>905.5</v>
      </c>
    </row>
    <row r="40" spans="1:7" ht="28.8" x14ac:dyDescent="0.3">
      <c r="A40" s="142" t="s">
        <v>77</v>
      </c>
      <c r="B40" s="145">
        <f>VLOOKUP($A40,занятые!$A$2:$G$108,7,FALSE)</f>
        <v>188</v>
      </c>
      <c r="C40" s="145">
        <f>VLOOKUP($A40,Доход!$A$2:$G$108,7,FALSE)</f>
        <v>25619</v>
      </c>
      <c r="D40" s="169">
        <f>VLOOKUP($A40,Основные!$A$2:$I$126,9,FALSE)</f>
        <v>269058.29596412554</v>
      </c>
      <c r="E40" s="168">
        <f>VLOOKUP($A40,Основные!$A$2:$I$126,3,FALSE)/VLOOKUP($A40,Основные!$A$2:$I$126,2,FALSE)</f>
        <v>32.748251748251747</v>
      </c>
      <c r="F40" s="145">
        <f>VLOOKUP($A40,Основные!$A$2:$K$126,10,FALSE)</f>
        <v>28.9</v>
      </c>
      <c r="G40" s="147">
        <v>468.3</v>
      </c>
    </row>
    <row r="41" spans="1:7" ht="28.8" x14ac:dyDescent="0.3">
      <c r="A41" s="142" t="s">
        <v>1066</v>
      </c>
      <c r="B41" s="145">
        <f>VLOOKUP($A41,занятые!$A$2:$G$108,7,FALSE)</f>
        <v>274.2</v>
      </c>
      <c r="C41" s="145">
        <f>VLOOKUP($A41,Доход!$A$2:$G$108,7,FALSE)</f>
        <v>35276</v>
      </c>
      <c r="D41" s="169">
        <f>VLOOKUP($A41,Основные!$A$2:$I$126,9,FALSE)</f>
        <v>318161.7322138754</v>
      </c>
      <c r="E41" s="168">
        <f>VLOOKUP($A41,Основные!$A$2:$I$126,3,FALSE)/VLOOKUP($A41,Основные!$A$2:$I$126,2,FALSE)</f>
        <v>84.862499999999997</v>
      </c>
      <c r="F41" s="145">
        <f>VLOOKUP($A41,Основные!$A$2:$K$126,10,FALSE)</f>
        <v>43.5</v>
      </c>
      <c r="G41" s="147">
        <v>678.9</v>
      </c>
    </row>
    <row r="42" spans="1:7" ht="19.2" x14ac:dyDescent="0.3">
      <c r="A42" s="142" t="s">
        <v>78</v>
      </c>
      <c r="B42" s="145">
        <f>VLOOKUP($A42,занятые!$A$2:$G$108,7,FALSE)</f>
        <v>569.20000000000005</v>
      </c>
      <c r="C42" s="145">
        <f>VLOOKUP($A42,Доход!$A$2:$G$108,7,FALSE)</f>
        <v>35920</v>
      </c>
      <c r="D42" s="169">
        <f>VLOOKUP($A42,Основные!$A$2:$I$126,9,FALSE)</f>
        <v>202846.28759095885</v>
      </c>
      <c r="E42" s="168">
        <f>VLOOKUP($A42,Основные!$A$2:$I$126,3,FALSE)/VLOOKUP($A42,Основные!$A$2:$I$126,2,FALSE)</f>
        <v>95.85802469135804</v>
      </c>
      <c r="F42" s="145">
        <f>VLOOKUP($A42,Основные!$A$2:$K$126,10,FALSE)</f>
        <v>163.4</v>
      </c>
      <c r="G42" s="147">
        <v>1552.9</v>
      </c>
    </row>
    <row r="43" spans="1:7" ht="19.2" x14ac:dyDescent="0.3">
      <c r="A43" s="142" t="s">
        <v>79</v>
      </c>
      <c r="B43" s="145">
        <f>VLOOKUP($A43,занятые!$A$2:$G$108,7,FALSE)</f>
        <v>1344.4</v>
      </c>
      <c r="C43" s="145">
        <f>VLOOKUP($A43,Доход!$A$2:$G$108,7,FALSE)</f>
        <v>32930</v>
      </c>
      <c r="D43" s="169">
        <f>VLOOKUP($A43,Основные!$A$2:$I$126,9,FALSE)</f>
        <v>415786.00880080386</v>
      </c>
      <c r="E43" s="168">
        <f>VLOOKUP($A43,Основные!$A$2:$I$126,3,FALSE)/VLOOKUP($A43,Основные!$A$2:$I$126,2,FALSE)</f>
        <v>43.596676737160116</v>
      </c>
      <c r="F43" s="145">
        <f>VLOOKUP($A43,Основные!$A$2:$K$126,10,FALSE)</f>
        <v>334.7</v>
      </c>
      <c r="G43" s="147">
        <v>2886.1</v>
      </c>
    </row>
    <row r="44" spans="1:7" ht="28.8" x14ac:dyDescent="0.3">
      <c r="A44" s="142" t="s">
        <v>81</v>
      </c>
      <c r="B44" s="145">
        <f>VLOOKUP($A44,занятые!$A$2:$G$108,7,FALSE)</f>
        <v>1730</v>
      </c>
      <c r="C44" s="145">
        <f>VLOOKUP($A44,Доход!$A$2:$G$108,7,FALSE)</f>
        <v>40022</v>
      </c>
      <c r="D44" s="169">
        <f>VLOOKUP($A44,Основные!$A$2:$I$126,9,FALSE)</f>
        <v>551878.55227222398</v>
      </c>
      <c r="E44" s="168">
        <f>VLOOKUP($A44,Основные!$A$2:$I$126,3,FALSE)/VLOOKUP($A44,Основные!$A$2:$I$126,2,FALSE)</f>
        <v>28.441567529741079</v>
      </c>
      <c r="F44" s="145">
        <f>VLOOKUP($A44,Основные!$A$2:$K$126,10,FALSE)</f>
        <v>620</v>
      </c>
      <c r="G44" s="147">
        <v>4064.3</v>
      </c>
    </row>
    <row r="45" spans="1:7" ht="19.2" x14ac:dyDescent="0.3">
      <c r="A45" s="142" t="s">
        <v>82</v>
      </c>
      <c r="B45" s="145">
        <f>VLOOKUP($A45,занятые!$A$2:$G$108,7,FALSE)</f>
        <v>280.7</v>
      </c>
      <c r="C45" s="145">
        <f>VLOOKUP($A45,Доход!$A$2:$G$108,7,FALSE)</f>
        <v>31013</v>
      </c>
      <c r="D45" s="169">
        <f>VLOOKUP($A45,Основные!$A$2:$I$126,9,FALSE)</f>
        <v>391161.54075843544</v>
      </c>
      <c r="E45" s="168">
        <f>VLOOKUP($A45,Основные!$A$2:$I$126,3,FALSE)/VLOOKUP($A45,Основные!$A$2:$I$126,2,FALSE)</f>
        <v>28.623931623931625</v>
      </c>
      <c r="F45" s="145">
        <f>VLOOKUP($A45,Основные!$A$2:$K$126,10,FALSE)</f>
        <v>52.2</v>
      </c>
      <c r="G45" s="147">
        <v>669.8</v>
      </c>
    </row>
    <row r="46" spans="1:7" ht="19.2" x14ac:dyDescent="0.3">
      <c r="A46" s="142" t="s">
        <v>83</v>
      </c>
      <c r="B46" s="145">
        <f>VLOOKUP($A46,занятые!$A$2:$G$108,7,FALSE)</f>
        <v>369.3</v>
      </c>
      <c r="C46" s="145">
        <f>VLOOKUP($A46,Доход!$A$2:$G$108,7,FALSE)</f>
        <v>30647</v>
      </c>
      <c r="D46" s="169">
        <f>VLOOKUP($A46,Основные!$A$2:$I$126,9,FALSE)</f>
        <v>447839.1434913174</v>
      </c>
      <c r="E46" s="168">
        <f>VLOOKUP($A46,Основные!$A$2:$I$126,3,FALSE)/VLOOKUP($A46,Основные!$A$2:$I$126,2,FALSE)</f>
        <v>29.344827586206893</v>
      </c>
      <c r="F46" s="145">
        <f>VLOOKUP($A46,Основные!$A$2:$K$126,10,FALSE)</f>
        <v>74.099999999999994</v>
      </c>
      <c r="G46" s="147">
        <v>765.9</v>
      </c>
    </row>
    <row r="47" spans="1:7" ht="19.2" x14ac:dyDescent="0.3">
      <c r="A47" s="142" t="s">
        <v>84</v>
      </c>
      <c r="B47" s="145">
        <f>VLOOKUP($A47,занятые!$A$2:$G$108,7,FALSE)</f>
        <v>2036.5</v>
      </c>
      <c r="C47" s="145">
        <f>VLOOKUP($A47,Доход!$A$2:$G$108,7,FALSE)</f>
        <v>52524</v>
      </c>
      <c r="D47" s="169">
        <f>VLOOKUP($A47,Основные!$A$2:$I$126,9,FALSE)</f>
        <v>1043967.0247314514</v>
      </c>
      <c r="E47" s="168">
        <f>VLOOKUP($A47,Основные!$A$2:$I$126,3,FALSE)/VLOOKUP($A47,Основные!$A$2:$I$126,2,FALSE)</f>
        <v>59.041297935103245</v>
      </c>
      <c r="F47" s="145">
        <f>VLOOKUP($A47,Основные!$A$2:$K$126,10,FALSE)</f>
        <v>1180.4000000000001</v>
      </c>
      <c r="G47" s="147">
        <v>4003</v>
      </c>
    </row>
    <row r="48" spans="1:7" ht="19.2" x14ac:dyDescent="0.3">
      <c r="A48" s="142" t="s">
        <v>85</v>
      </c>
      <c r="B48" s="145">
        <f>VLOOKUP($A48,занятые!$A$2:$G$108,7,FALSE)</f>
        <v>681.5</v>
      </c>
      <c r="C48" s="145">
        <f>VLOOKUP($A48,Доход!$A$2:$G$108,7,FALSE)</f>
        <v>38939</v>
      </c>
      <c r="D48" s="169">
        <f>VLOOKUP($A48,Основные!$A$2:$I$126,9,FALSE)</f>
        <v>673358.4274362193</v>
      </c>
      <c r="E48" s="168">
        <f>VLOOKUP($A48,Основные!$A$2:$I$126,3,FALSE)/VLOOKUP($A48,Основные!$A$2:$I$126,2,FALSE)</f>
        <v>34.076009501187642</v>
      </c>
      <c r="F48" s="145">
        <f>VLOOKUP($A48,Основные!$A$2:$K$126,10,FALSE)</f>
        <v>166.3</v>
      </c>
      <c r="G48" s="147">
        <v>1434.6</v>
      </c>
    </row>
    <row r="49" spans="1:7" ht="19.2" x14ac:dyDescent="0.3">
      <c r="A49" s="142" t="s">
        <v>86</v>
      </c>
      <c r="B49" s="145">
        <f>VLOOKUP($A49,занятые!$A$2:$G$108,7,FALSE)</f>
        <v>508.7</v>
      </c>
      <c r="C49" s="145">
        <f>VLOOKUP($A49,Доход!$A$2:$G$108,7,FALSE)</f>
        <v>34129</v>
      </c>
      <c r="D49" s="169">
        <f>VLOOKUP($A49,Основные!$A$2:$I$126,9,FALSE)</f>
        <v>429269.1286093737</v>
      </c>
      <c r="E49" s="168">
        <f>VLOOKUP($A49,Основные!$A$2:$I$126,3,FALSE)/VLOOKUP($A49,Основные!$A$2:$I$126,2,FALSE)</f>
        <v>63.775956284152997</v>
      </c>
      <c r="F49" s="145">
        <f>VLOOKUP($A49,Основные!$A$2:$K$126,10,FALSE)</f>
        <v>123.4</v>
      </c>
      <c r="G49" s="147">
        <v>1167.0999999999999</v>
      </c>
    </row>
    <row r="50" spans="1:7" ht="19.2" x14ac:dyDescent="0.3">
      <c r="A50" s="142" t="s">
        <v>87</v>
      </c>
      <c r="B50" s="145">
        <f>VLOOKUP($A50,занятые!$A$2:$G$108,7,FALSE)</f>
        <v>1145.5999999999999</v>
      </c>
      <c r="C50" s="145">
        <f>VLOOKUP($A50,Доход!$A$2:$G$108,7,FALSE)</f>
        <v>45639</v>
      </c>
      <c r="D50" s="169">
        <f>VLOOKUP($A50,Основные!$A$2:$I$126,9,FALSE)</f>
        <v>802709.09309501864</v>
      </c>
      <c r="E50" s="168">
        <f>VLOOKUP($A50,Основные!$A$2:$I$126,3,FALSE)/VLOOKUP($A50,Основные!$A$2:$I$126,2,FALSE)</f>
        <v>15.576154806491887</v>
      </c>
      <c r="F50" s="145">
        <f>VLOOKUP($A50,Основные!$A$2:$K$126,10,FALSE)</f>
        <v>481.4</v>
      </c>
      <c r="G50" s="147">
        <v>2495.3000000000002</v>
      </c>
    </row>
    <row r="51" spans="1:7" ht="19.2" x14ac:dyDescent="0.3">
      <c r="A51" s="142" t="s">
        <v>88</v>
      </c>
      <c r="B51" s="145">
        <f>VLOOKUP($A51,занятые!$A$2:$G$108,7,FALSE)</f>
        <v>530</v>
      </c>
      <c r="C51" s="145">
        <f>VLOOKUP($A51,Доход!$A$2:$G$108,7,FALSE)</f>
        <v>38277</v>
      </c>
      <c r="D51" s="169">
        <f>VLOOKUP($A51,Основные!$A$2:$I$126,9,FALSE)</f>
        <v>491193.91096557211</v>
      </c>
      <c r="E51" s="168">
        <f>VLOOKUP($A51,Основные!$A$2:$I$126,3,FALSE)/VLOOKUP($A51,Основные!$A$2:$I$126,2,FALSE)</f>
        <v>9.3845514950166109</v>
      </c>
      <c r="F51" s="145">
        <f>VLOOKUP($A51,Основные!$A$2:$K$126,10,FALSE)</f>
        <v>106.2</v>
      </c>
      <c r="G51" s="147">
        <v>1129.9000000000001</v>
      </c>
    </row>
    <row r="52" spans="1:7" ht="19.2" x14ac:dyDescent="0.3">
      <c r="A52" s="142" t="s">
        <v>89</v>
      </c>
      <c r="B52" s="145">
        <f>VLOOKUP($A52,занятые!$A$2:$G$108,7,FALSE)</f>
        <v>1660.5</v>
      </c>
      <c r="C52" s="145">
        <f>VLOOKUP($A52,Доход!$A$2:$G$108,7,FALSE)</f>
        <v>50601</v>
      </c>
      <c r="D52" s="169">
        <f>VLOOKUP($A52,Основные!$A$2:$I$126,9,FALSE)</f>
        <v>747639.12034767831</v>
      </c>
      <c r="E52" s="168">
        <f>VLOOKUP($A52,Основные!$A$2:$I$126,3,FALSE)/VLOOKUP($A52,Основные!$A$2:$I$126,2,FALSE)</f>
        <v>39.951697127937344</v>
      </c>
      <c r="F52" s="145">
        <f>VLOOKUP($A52,Основные!$A$2:$K$126,10,FALSE)</f>
        <v>686.9</v>
      </c>
      <c r="G52" s="147">
        <v>3060.3</v>
      </c>
    </row>
    <row r="53" spans="1:7" ht="19.2" x14ac:dyDescent="0.3">
      <c r="A53" s="141" t="s">
        <v>90</v>
      </c>
      <c r="B53" s="145">
        <f>VLOOKUP($A53,занятые!$A$2:$G$108,7,FALSE)</f>
        <v>848.3</v>
      </c>
      <c r="C53" s="145">
        <f>VLOOKUP($A53,Доход!$A$2:$G$108,7,FALSE)</f>
        <v>36756</v>
      </c>
      <c r="D53" s="169">
        <f>VLOOKUP($A53,Основные!$A$2:$I$126,9,FALSE)</f>
        <v>859080.22092196648</v>
      </c>
      <c r="E53" s="168">
        <f>VLOOKUP($A53,Основные!$A$2:$I$126,3,FALSE)/VLOOKUP($A53,Основные!$A$2:$I$126,2,FALSE)</f>
        <v>14.783346806790622</v>
      </c>
      <c r="F53" s="145">
        <f>VLOOKUP($A53,Основные!$A$2:$K$126,10,FALSE)</f>
        <v>293.39999999999998</v>
      </c>
      <c r="G53" s="147">
        <v>1828.7</v>
      </c>
    </row>
    <row r="54" spans="1:7" ht="19.2" x14ac:dyDescent="0.3">
      <c r="A54" s="141" t="s">
        <v>91</v>
      </c>
      <c r="B54" s="145">
        <f>VLOOKUP($A54,занятые!$A$2:$G$108,7,FALSE)</f>
        <v>580.5</v>
      </c>
      <c r="C54" s="145">
        <f>VLOOKUP($A54,Доход!$A$2:$G$108,7,FALSE)</f>
        <v>36429</v>
      </c>
      <c r="D54" s="169">
        <f>VLOOKUP($A54,Основные!$A$2:$I$126,9,FALSE)</f>
        <v>479734.64930021844</v>
      </c>
      <c r="E54" s="168">
        <f>VLOOKUP($A54,Основные!$A$2:$I$126,3,FALSE)/VLOOKUP($A54,Основные!$A$2:$I$126,2,FALSE)</f>
        <v>28.481566820276498</v>
      </c>
      <c r="F54" s="145">
        <f>VLOOKUP($A54,Основные!$A$2:$K$126,10,FALSE)</f>
        <v>121.8</v>
      </c>
      <c r="G54" s="147">
        <v>1236.0999999999999</v>
      </c>
    </row>
    <row r="55" spans="1:7" ht="19.2" x14ac:dyDescent="0.3">
      <c r="A55" s="142" t="s">
        <v>92</v>
      </c>
      <c r="B55" s="145">
        <f>VLOOKUP($A55,занятые!$A$2:$G$108,7,FALSE)</f>
        <v>1646.3</v>
      </c>
      <c r="C55" s="145">
        <f>VLOOKUP($A55,Доход!$A$2:$G$108,7,FALSE)</f>
        <v>42701</v>
      </c>
      <c r="D55" s="169">
        <f>VLOOKUP($A55,Основные!$A$2:$I$126,9,FALSE)</f>
        <v>760278.79020397714</v>
      </c>
      <c r="E55" s="168">
        <f>VLOOKUP($A55,Основные!$A$2:$I$126,3,FALSE)/VLOOKUP($A55,Основные!$A$2:$I$126,2,FALSE)</f>
        <v>58.354477611940297</v>
      </c>
      <c r="F55" s="145">
        <f>VLOOKUP($A55,Основные!$A$2:$K$126,10,FALSE)</f>
        <v>516.6</v>
      </c>
      <c r="G55" s="147">
        <v>3127.8</v>
      </c>
    </row>
    <row r="56" spans="1:7" ht="19.2" x14ac:dyDescent="0.3">
      <c r="A56" s="142" t="s">
        <v>93</v>
      </c>
      <c r="B56" s="145">
        <f>VLOOKUP($A56,занятые!$A$2:$G$108,7,FALSE)</f>
        <v>1120.4000000000001</v>
      </c>
      <c r="C56" s="145">
        <f>VLOOKUP($A56,Доход!$A$2:$G$108,7,FALSE)</f>
        <v>33348</v>
      </c>
      <c r="D56" s="169">
        <f>VLOOKUP($A56,Основные!$A$2:$I$126,9,FALSE)</f>
        <v>500586.95287606912</v>
      </c>
      <c r="E56" s="168">
        <f>VLOOKUP($A56,Основные!$A$2:$I$126,3,FALSE)/VLOOKUP($A56,Основные!$A$2:$I$126,2,FALSE)</f>
        <v>23.569169960474305</v>
      </c>
      <c r="F56" s="145">
        <f>VLOOKUP($A56,Основные!$A$2:$K$126,10,FALSE)</f>
        <v>286.5</v>
      </c>
      <c r="G56" s="147">
        <v>2385.1999999999998</v>
      </c>
    </row>
    <row r="57" spans="1:7" ht="19.2" x14ac:dyDescent="0.3">
      <c r="A57" s="142" t="s">
        <v>94</v>
      </c>
      <c r="B57" s="145">
        <f>VLOOKUP($A57,занятые!$A$2:$G$108,7,FALSE)</f>
        <v>557.70000000000005</v>
      </c>
      <c r="C57" s="145">
        <f>VLOOKUP($A57,Доход!$A$2:$G$108,7,FALSE)</f>
        <v>35783</v>
      </c>
      <c r="D57" s="169">
        <f>VLOOKUP($A57,Основные!$A$2:$I$126,9,FALSE)</f>
        <v>502216.91678035475</v>
      </c>
      <c r="E57" s="168">
        <f>VLOOKUP($A57,Основные!$A$2:$I$126,3,FALSE)/VLOOKUP($A57,Основные!$A$2:$I$126,2,FALSE)</f>
        <v>31.526881720430104</v>
      </c>
      <c r="F57" s="145">
        <f>VLOOKUP($A57,Основные!$A$2:$K$126,10,FALSE)</f>
        <v>120.8</v>
      </c>
      <c r="G57" s="147">
        <v>1172.8</v>
      </c>
    </row>
    <row r="58" spans="1:7" ht="19.2" x14ac:dyDescent="0.3">
      <c r="A58" s="142" t="s">
        <v>97</v>
      </c>
      <c r="B58" s="145">
        <f>VLOOKUP($A58,занятые!$A$2:$G$108,7,FALSE)</f>
        <v>2095.1999999999998</v>
      </c>
      <c r="C58" s="145">
        <f>VLOOKUP($A58,Доход!$A$2:$G$108,7,FALSE)</f>
        <v>53413</v>
      </c>
      <c r="D58" s="169">
        <f>VLOOKUP($A58,Основные!$A$2:$I$126,9,FALSE)</f>
        <v>821512.3025552372</v>
      </c>
      <c r="E58" s="168">
        <f>VLOOKUP($A58,Основные!$A$2:$I$126,3,FALSE)/VLOOKUP($A58,Основные!$A$2:$I$126,2,FALSE)</f>
        <v>21.744078269824922</v>
      </c>
      <c r="F58" s="145">
        <f>VLOOKUP($A58,Основные!$A$2:$K$126,10,FALSE)</f>
        <v>720.4</v>
      </c>
      <c r="G58" s="147">
        <v>4222.7</v>
      </c>
    </row>
    <row r="59" spans="1:7" ht="19.2" x14ac:dyDescent="0.3">
      <c r="A59" s="142" t="s">
        <v>98</v>
      </c>
      <c r="B59" s="145">
        <f>VLOOKUP($A59,занятые!$A$2:$G$108,7,FALSE)</f>
        <v>2258.6</v>
      </c>
      <c r="C59" s="145">
        <f>VLOOKUP($A59,Доход!$A$2:$G$108,7,FALSE)</f>
        <v>69341</v>
      </c>
      <c r="D59" s="169">
        <f>VLOOKUP($A59,Основные!$A$2:$I$126,9,FALSE)</f>
        <v>3588979.1302559883</v>
      </c>
      <c r="E59" s="168">
        <f>VLOOKUP($A59,Основные!$A$2:$I$126,3,FALSE)/VLOOKUP($A59,Основные!$A$2:$I$126,2,FALSE)</f>
        <v>2.6572872558393663</v>
      </c>
      <c r="F59" s="145">
        <f>VLOOKUP($A59,Основные!$A$2:$K$126,10,FALSE)</f>
        <v>3356.6</v>
      </c>
      <c r="G59" s="147">
        <v>3890.8</v>
      </c>
    </row>
    <row r="60" spans="1:7" ht="38.4" x14ac:dyDescent="0.3">
      <c r="A60" s="142" t="s">
        <v>1069</v>
      </c>
      <c r="B60" s="145">
        <f>VLOOKUP($A60,занятые!$A$2:$G$108,7,FALSE)</f>
        <v>1101.9000000000001</v>
      </c>
      <c r="C60" s="145">
        <f>VLOOKUP($A60,Доход!$A$2:$G$108,7,FALSE)</f>
        <v>72634</v>
      </c>
      <c r="D60" s="169">
        <f>VLOOKUP($A60,Основные!$A$2:$I$126,9,FALSE)</f>
        <v>3918949.6419233829</v>
      </c>
      <c r="E60" s="168">
        <f>VLOOKUP($A60,Основные!$A$2:$I$126,3,FALSE)/VLOOKUP($A60,Основные!$A$2:$I$126,2,FALSE)</f>
        <v>3.289827973074047</v>
      </c>
      <c r="F60" s="145">
        <f>VLOOKUP($A60,Основные!$A$2:$K$126,10,FALSE)</f>
        <v>1552.8</v>
      </c>
      <c r="G60" s="147">
        <v>1759.4</v>
      </c>
    </row>
    <row r="61" spans="1:7" ht="38.4" x14ac:dyDescent="0.3">
      <c r="A61" s="142" t="s">
        <v>922</v>
      </c>
      <c r="B61" s="145">
        <f>VLOOKUP($A61,занятые!$A$2:$G$108,7,FALSE)</f>
        <v>747.4</v>
      </c>
      <c r="C61" s="145">
        <f>VLOOKUP($A61,Доход!$A$2:$G$108,7,FALSE)</f>
        <v>43350</v>
      </c>
      <c r="D61" s="169">
        <f>VLOOKUP($A61,Основные!$A$2:$I$126,9,FALSE)</f>
        <v>1064751.7642689117</v>
      </c>
      <c r="E61" s="168">
        <f>VLOOKUP($A61,Основные!$A$2:$I$126,3,FALSE)/VLOOKUP($A61,Основные!$A$2:$I$126,2,FALSE)</f>
        <v>10.089943785134292</v>
      </c>
      <c r="F61" s="145">
        <f>VLOOKUP($A61,Основные!$A$2:$K$126,10,FALSE)</f>
        <v>329.5</v>
      </c>
      <c r="G61" s="147">
        <v>1615.4</v>
      </c>
    </row>
    <row r="62" spans="1:7" ht="19.2" x14ac:dyDescent="0.3">
      <c r="A62" s="141" t="s">
        <v>103</v>
      </c>
      <c r="B62" s="145">
        <f>VLOOKUP($A62,занятые!$A$2:$G$108,7,FALSE)</f>
        <v>1786.3</v>
      </c>
      <c r="C62" s="145">
        <f>VLOOKUP($A62,Доход!$A$2:$G$108,7,FALSE)</f>
        <v>39703</v>
      </c>
      <c r="D62" s="169">
        <f>VLOOKUP($A62,Основные!$A$2:$I$126,9,FALSE)</f>
        <v>677307.26191177336</v>
      </c>
      <c r="E62" s="168">
        <f>VLOOKUP($A62,Основные!$A$2:$I$126,3,FALSE)/VLOOKUP($A62,Основные!$A$2:$I$126,2,FALSE)</f>
        <v>38.327313769751697</v>
      </c>
      <c r="F62" s="145">
        <f>VLOOKUP($A62,Основные!$A$2:$K$126,10,FALSE)</f>
        <v>446.1</v>
      </c>
      <c r="G62" s="147">
        <v>3395.8</v>
      </c>
    </row>
    <row r="63" spans="1:7" ht="19.2" x14ac:dyDescent="0.3">
      <c r="A63" s="142" t="s">
        <v>105</v>
      </c>
      <c r="B63" s="145">
        <f>VLOOKUP($A63,занятые!$A$2:$G$108,7,FALSE)</f>
        <v>80.5</v>
      </c>
      <c r="C63" s="145">
        <f>VLOOKUP($A63,Доход!$A$2:$G$108,7,FALSE)</f>
        <v>34817</v>
      </c>
      <c r="D63" s="169">
        <f>VLOOKUP($A63,Основные!$A$2:$I$126,9,FALSE)</f>
        <v>436432.63757115742</v>
      </c>
      <c r="E63" s="168">
        <f>VLOOKUP($A63,Основные!$A$2:$I$126,3,FALSE)/VLOOKUP($A63,Основные!$A$2:$I$126,2,FALSE)</f>
        <v>2.2691065662002154</v>
      </c>
      <c r="F63" s="145">
        <f>VLOOKUP($A63,Основные!$A$2:$K$126,10,FALSE)</f>
        <v>48.7</v>
      </c>
      <c r="G63" s="147">
        <v>210.8</v>
      </c>
    </row>
    <row r="64" spans="1:7" ht="19.2" x14ac:dyDescent="0.3">
      <c r="A64" s="142" t="s">
        <v>106</v>
      </c>
      <c r="B64" s="145">
        <f>VLOOKUP($A64,занятые!$A$2:$G$108,7,FALSE)</f>
        <v>112.3</v>
      </c>
      <c r="C64" s="145">
        <f>VLOOKUP($A64,Доход!$A$2:$G$108,7,FALSE)</f>
        <v>28934</v>
      </c>
      <c r="D64" s="169">
        <f>VLOOKUP($A64,Основные!$A$2:$I$126,9,FALSE)</f>
        <v>320000</v>
      </c>
      <c r="E64" s="168">
        <f>VLOOKUP($A64,Основные!$A$2:$I$126,3,FALSE)/VLOOKUP($A64,Основные!$A$2:$I$126,2,FALSE)</f>
        <v>2.0017793594306053</v>
      </c>
      <c r="F64" s="145">
        <f>VLOOKUP($A64,Основные!$A$2:$K$126,10,FALSE)</f>
        <v>25.4</v>
      </c>
      <c r="G64" s="147">
        <v>337.5</v>
      </c>
    </row>
    <row r="65" spans="1:7" ht="19.2" x14ac:dyDescent="0.3">
      <c r="A65" s="142" t="s">
        <v>107</v>
      </c>
      <c r="B65" s="145">
        <f>VLOOKUP($A65,занятые!$A$2:$G$108,7,FALSE)</f>
        <v>248.2</v>
      </c>
      <c r="C65" s="145">
        <f>VLOOKUP($A65,Доход!$A$2:$G$108,7,FALSE)</f>
        <v>34999</v>
      </c>
      <c r="D65" s="169">
        <f>VLOOKUP($A65,Основные!$A$2:$I$126,9,FALSE)</f>
        <v>660734.570238546</v>
      </c>
      <c r="E65" s="168">
        <f>VLOOKUP($A65,Основные!$A$2:$I$126,3,FALSE)/VLOOKUP($A65,Основные!$A$2:$I$126,2,FALSE)</f>
        <v>8.5746753246753258</v>
      </c>
      <c r="F65" s="145">
        <f>VLOOKUP($A65,Основные!$A$2:$K$126,10,FALSE)</f>
        <v>59.9</v>
      </c>
      <c r="G65" s="147">
        <v>528.20000000000005</v>
      </c>
    </row>
    <row r="66" spans="1:7" ht="19.2" x14ac:dyDescent="0.3">
      <c r="A66" s="142" t="s">
        <v>108</v>
      </c>
      <c r="B66" s="145">
        <f>VLOOKUP($A66,занятые!$A$2:$G$108,7,FALSE)</f>
        <v>1057.8</v>
      </c>
      <c r="C66" s="145">
        <f>VLOOKUP($A66,Доход!$A$2:$G$108,7,FALSE)</f>
        <v>36431</v>
      </c>
      <c r="D66" s="169">
        <f>VLOOKUP($A66,Основные!$A$2:$I$126,9,FALSE)</f>
        <v>446745.14253297402</v>
      </c>
      <c r="E66" s="168">
        <f>VLOOKUP($A66,Основные!$A$2:$I$126,3,FALSE)/VLOOKUP($A66,Основные!$A$2:$I$126,2,FALSE)</f>
        <v>12.59107142857143</v>
      </c>
      <c r="F66" s="145">
        <f>VLOOKUP($A66,Основные!$A$2:$K$126,10,FALSE)</f>
        <v>179.9</v>
      </c>
      <c r="G66" s="147">
        <v>2115.3000000000002</v>
      </c>
    </row>
    <row r="67" spans="1:7" ht="19.2" x14ac:dyDescent="0.3">
      <c r="A67" s="142" t="s">
        <v>109</v>
      </c>
      <c r="B67" s="145">
        <f>VLOOKUP($A67,занятые!$A$2:$G$108,7,FALSE)</f>
        <v>1409.4</v>
      </c>
      <c r="C67" s="145">
        <f>VLOOKUP($A67,Доход!$A$2:$G$108,7,FALSE)</f>
        <v>50380</v>
      </c>
      <c r="D67" s="169">
        <f>VLOOKUP($A67,Основные!$A$2:$I$126,9,FALSE)</f>
        <v>1166157.1975686026</v>
      </c>
      <c r="E67" s="168">
        <f>VLOOKUP($A67,Основные!$A$2:$I$126,3,FALSE)/VLOOKUP($A67,Основные!$A$2:$I$126,2,FALSE)</f>
        <v>1.2025097177623794</v>
      </c>
      <c r="F67" s="145">
        <f>VLOOKUP($A67,Основные!$A$2:$K$126,10,FALSE)</f>
        <v>926.4</v>
      </c>
      <c r="G67" s="147">
        <v>2846.1</v>
      </c>
    </row>
    <row r="68" spans="1:7" ht="19.2" x14ac:dyDescent="0.3">
      <c r="A68" s="142" t="s">
        <v>110</v>
      </c>
      <c r="B68" s="145">
        <f>VLOOKUP($A68,занятые!$A$2:$G$108,7,FALSE)</f>
        <v>1093.7</v>
      </c>
      <c r="C68" s="145">
        <f>VLOOKUP($A68,Доход!$A$2:$G$108,7,FALSE)</f>
        <v>42483</v>
      </c>
      <c r="D68" s="169">
        <f>VLOOKUP($A68,Основные!$A$2:$I$126,9,FALSE)</f>
        <v>1011370.9504398198</v>
      </c>
      <c r="E68" s="168">
        <f>VLOOKUP($A68,Основные!$A$2:$I$126,3,FALSE)/VLOOKUP($A68,Основные!$A$2:$I$126,2,FALSE)</f>
        <v>3.0078729994837379</v>
      </c>
      <c r="F68" s="145">
        <f>VLOOKUP($A68,Основные!$A$2:$K$126,10,FALSE)</f>
        <v>910.2</v>
      </c>
      <c r="G68" s="147">
        <v>2330.5</v>
      </c>
    </row>
    <row r="69" spans="1:7" ht="19.2" x14ac:dyDescent="0.3">
      <c r="A69" s="142" t="s">
        <v>111</v>
      </c>
      <c r="B69" s="145">
        <f>VLOOKUP($A69,занятые!$A$2:$G$108,7,FALSE)</f>
        <v>1148.0999999999999</v>
      </c>
      <c r="C69" s="145">
        <f>VLOOKUP($A69,Доход!$A$2:$G$108,7,FALSE)</f>
        <v>39408</v>
      </c>
      <c r="D69" s="169">
        <f>VLOOKUP($A69,Основные!$A$2:$I$126,9,FALSE)</f>
        <v>859206.34297601762</v>
      </c>
      <c r="E69" s="168">
        <f>VLOOKUP($A69,Основные!$A$2:$I$126,3,FALSE)/VLOOKUP($A69,Основные!$A$2:$I$126,2,FALSE)</f>
        <v>26.621734587251826</v>
      </c>
      <c r="F69" s="145">
        <f>VLOOKUP($A69,Основные!$A$2:$K$126,10,FALSE)</f>
        <v>414.7</v>
      </c>
      <c r="G69" s="147">
        <v>2547.6999999999998</v>
      </c>
    </row>
    <row r="70" spans="1:7" ht="19.2" x14ac:dyDescent="0.3">
      <c r="A70" s="142" t="s">
        <v>827</v>
      </c>
      <c r="B70" s="145">
        <f>VLOOKUP($A70,занятые!$A$2:$G$108,7,FALSE)</f>
        <v>1314.9</v>
      </c>
      <c r="C70" s="145">
        <f>VLOOKUP($A70,Доход!$A$2:$G$108,7,FALSE)</f>
        <v>49936</v>
      </c>
      <c r="D70" s="169">
        <f>VLOOKUP($A70,Основные!$A$2:$I$126,9,FALSE)</f>
        <v>695106.64993726485</v>
      </c>
      <c r="E70" s="168">
        <f>VLOOKUP($A70,Основные!$A$2:$I$126,3,FALSE)/VLOOKUP($A70,Основные!$A$2:$I$126,2,FALSE)</f>
        <v>15.688976377952756</v>
      </c>
      <c r="F70" s="145">
        <f>VLOOKUP($A70,Основные!$A$2:$K$126,10,FALSE)</f>
        <v>381</v>
      </c>
      <c r="G70" s="147">
        <v>2789.5</v>
      </c>
    </row>
    <row r="71" spans="1:7" ht="19.2" x14ac:dyDescent="0.3">
      <c r="A71" s="142" t="s">
        <v>113</v>
      </c>
      <c r="B71" s="145">
        <f>VLOOKUP($A71,занятые!$A$2:$G$108,7,FALSE)</f>
        <v>835.8</v>
      </c>
      <c r="C71" s="145">
        <f>VLOOKUP($A71,Доход!$A$2:$G$108,7,FALSE)</f>
        <v>40804</v>
      </c>
      <c r="D71" s="169">
        <f>VLOOKUP($A71,Основные!$A$2:$I$126,9,FALSE)</f>
        <v>520873.43930476869</v>
      </c>
      <c r="E71" s="168">
        <f>VLOOKUP($A71,Основные!$A$2:$I$126,3,FALSE)/VLOOKUP($A71,Основные!$A$2:$I$126,2,FALSE)</f>
        <v>12.885187810063785</v>
      </c>
      <c r="F71" s="145">
        <f>VLOOKUP($A71,Основные!$A$2:$K$126,10,FALSE)</f>
        <v>208</v>
      </c>
      <c r="G71" s="147">
        <v>1818.1</v>
      </c>
    </row>
    <row r="72" spans="1:7" ht="19.2" x14ac:dyDescent="0.3">
      <c r="A72" s="142" t="s">
        <v>114</v>
      </c>
      <c r="B72" s="145">
        <f>VLOOKUP($A72,занятые!$A$2:$G$108,7,FALSE)</f>
        <v>494.5</v>
      </c>
      <c r="C72" s="145">
        <f>VLOOKUP($A72,Доход!$A$2:$G$108,7,FALSE)</f>
        <v>41600</v>
      </c>
      <c r="D72" s="169">
        <f>VLOOKUP($A72,Основные!$A$2:$I$126,9,FALSE)</f>
        <v>775349.81790300924</v>
      </c>
      <c r="E72" s="168">
        <f>VLOOKUP($A72,Основные!$A$2:$I$126,3,FALSE)/VLOOKUP($A72,Основные!$A$2:$I$126,2,FALSE)</f>
        <v>3.3187022900763363</v>
      </c>
      <c r="F72" s="145">
        <f>VLOOKUP($A72,Основные!$A$2:$K$126,10,FALSE)</f>
        <v>148.5</v>
      </c>
      <c r="G72" s="147">
        <v>1043.4000000000001</v>
      </c>
    </row>
    <row r="73" spans="1:7" ht="19.2" x14ac:dyDescent="0.3">
      <c r="A73" s="141" t="s">
        <v>116</v>
      </c>
      <c r="B73" s="145">
        <f>VLOOKUP($A73,занятые!$A$2:$G$108,7,FALSE)</f>
        <v>376.8</v>
      </c>
      <c r="C73" s="145">
        <f>VLOOKUP($A73,Доход!$A$2:$G$108,7,FALSE)</f>
        <v>38412</v>
      </c>
      <c r="D73" s="169">
        <f>VLOOKUP($A73,Основные!$A$2:$I$126,9,FALSE)</f>
        <v>459923.86047947319</v>
      </c>
      <c r="E73" s="168">
        <f>VLOOKUP($A73,Основные!$A$2:$I$126,3,FALSE)/VLOOKUP($A73,Основные!$A$2:$I$126,2,FALSE)</f>
        <v>2.7665812695701679</v>
      </c>
      <c r="F73" s="145">
        <f>VLOOKUP($A73,Основные!$A$2:$K$126,10,FALSE)</f>
        <v>165.3</v>
      </c>
      <c r="G73" s="147">
        <v>971.9</v>
      </c>
    </row>
    <row r="74" spans="1:7" ht="28.8" x14ac:dyDescent="0.3">
      <c r="A74" s="142" t="s">
        <v>117</v>
      </c>
      <c r="B74" s="145">
        <f>VLOOKUP($A74,занятые!$A$2:$G$108,7,FALSE)</f>
        <v>526.70000000000005</v>
      </c>
      <c r="C74" s="145">
        <f>VLOOKUP($A74,Доход!$A$2:$G$108,7,FALSE)</f>
        <v>69031</v>
      </c>
      <c r="D74" s="169">
        <f>VLOOKUP($A74,Основные!$A$2:$I$126,9,FALSE)</f>
        <v>2021563.3423180594</v>
      </c>
      <c r="E74" s="168">
        <f>VLOOKUP($A74,Основные!$A$2:$I$126,3,FALSE)/VLOOKUP($A74,Основные!$A$2:$I$126,2,FALSE)</f>
        <v>0.32485811577752555</v>
      </c>
      <c r="F74" s="145">
        <f>VLOOKUP($A74,Основные!$A$2:$K$126,10,FALSE)</f>
        <v>739.5</v>
      </c>
      <c r="G74" s="147">
        <v>1001.7</v>
      </c>
    </row>
    <row r="75" spans="1:7" ht="19.2" x14ac:dyDescent="0.3">
      <c r="A75" s="142" t="s">
        <v>118</v>
      </c>
      <c r="B75" s="145">
        <f>VLOOKUP($A75,занятые!$A$2:$G$108,7,FALSE)</f>
        <v>427.4</v>
      </c>
      <c r="C75" s="145">
        <f>VLOOKUP($A75,Доход!$A$2:$G$108,7,FALSE)</f>
        <v>42758</v>
      </c>
      <c r="D75" s="169">
        <f>VLOOKUP($A75,Основные!$A$2:$I$126,9,FALSE)</f>
        <v>555668.42746850871</v>
      </c>
      <c r="E75" s="168">
        <f>VLOOKUP($A75,Основные!$A$2:$I$126,3,FALSE)/VLOOKUP($A75,Основные!$A$2:$I$126,2,FALSE)</f>
        <v>2.2792313035424869</v>
      </c>
      <c r="F75" s="145">
        <f>VLOOKUP($A75,Основные!$A$2:$K$126,10,FALSE)</f>
        <v>270.3</v>
      </c>
      <c r="G75" s="147">
        <v>984.4</v>
      </c>
    </row>
    <row r="76" spans="1:7" ht="19.2" x14ac:dyDescent="0.3">
      <c r="A76" s="142" t="s">
        <v>119</v>
      </c>
      <c r="B76" s="145">
        <f>VLOOKUP($A76,занятые!$A$2:$G$108,7,FALSE)</f>
        <v>161.4</v>
      </c>
      <c r="C76" s="145">
        <f>VLOOKUP($A76,Доход!$A$2:$G$108,7,FALSE)</f>
        <v>87054</v>
      </c>
      <c r="D76" s="169">
        <f>VLOOKUP($A76,Основные!$A$2:$I$126,9,FALSE)</f>
        <v>1235721.7030114227</v>
      </c>
      <c r="E76" s="168">
        <f>VLOOKUP($A76,Основные!$A$2:$I$126,3,FALSE)/VLOOKUP($A76,Основные!$A$2:$I$126,2,FALSE)</f>
        <v>0.62222700839974143</v>
      </c>
      <c r="F76" s="145">
        <f>VLOOKUP($A76,Основные!$A$2:$K$126,10,FALSE)</f>
        <v>128.19999999999999</v>
      </c>
      <c r="G76" s="147">
        <v>288.89999999999998</v>
      </c>
    </row>
    <row r="77" spans="1:7" ht="19.2" x14ac:dyDescent="0.3">
      <c r="A77" s="142" t="s">
        <v>120</v>
      </c>
      <c r="B77" s="145">
        <f>VLOOKUP($A77,занятые!$A$2:$G$108,7,FALSE)</f>
        <v>936.2</v>
      </c>
      <c r="C77" s="145">
        <f>VLOOKUP($A77,Доход!$A$2:$G$108,7,FALSE)</f>
        <v>54494</v>
      </c>
      <c r="D77" s="169">
        <f>VLOOKUP($A77,Основные!$A$2:$I$126,9,FALSE)</f>
        <v>851970.77059344552</v>
      </c>
      <c r="E77" s="168">
        <f>VLOOKUP($A77,Основные!$A$2:$I$126,3,FALSE)/VLOOKUP($A77,Основные!$A$2:$I$126,2,FALSE)</f>
        <v>10.96782027929569</v>
      </c>
      <c r="F77" s="145">
        <f>VLOOKUP($A77,Основные!$A$2:$K$126,10,FALSE)</f>
        <v>400.6</v>
      </c>
      <c r="G77" s="147">
        <v>1806.4</v>
      </c>
    </row>
    <row r="78" spans="1:7" ht="19.2" x14ac:dyDescent="0.3">
      <c r="A78" s="142" t="s">
        <v>121</v>
      </c>
      <c r="B78" s="145">
        <f>VLOOKUP($A78,занятые!$A$2:$G$108,7,FALSE)</f>
        <v>679.7</v>
      </c>
      <c r="C78" s="145">
        <f>VLOOKUP($A78,Доход!$A$2:$G$108,7,FALSE)</f>
        <v>58092</v>
      </c>
      <c r="D78" s="169">
        <f>VLOOKUP($A78,Основные!$A$2:$I$126,9,FALSE)</f>
        <v>835615.36655973713</v>
      </c>
      <c r="E78" s="168">
        <f>VLOOKUP($A78,Основные!$A$2:$I$126,3,FALSE)/VLOOKUP($A78,Основные!$A$2:$I$126,2,FALSE)</f>
        <v>1.6227780599288977</v>
      </c>
      <c r="F78" s="145">
        <f>VLOOKUP($A78,Основные!$A$2:$K$126,10,FALSE)</f>
        <v>418.7</v>
      </c>
      <c r="G78" s="147">
        <v>1278.0999999999999</v>
      </c>
    </row>
    <row r="79" spans="1:7" ht="19.2" x14ac:dyDescent="0.3">
      <c r="A79" s="142" t="s">
        <v>122</v>
      </c>
      <c r="B79" s="145">
        <f>VLOOKUP($A79,занятые!$A$2:$G$108,7,FALSE)</f>
        <v>399.9</v>
      </c>
      <c r="C79" s="145">
        <f>VLOOKUP($A79,Доход!$A$2:$G$108,7,FALSE)</f>
        <v>54055</v>
      </c>
      <c r="D79" s="169">
        <f>VLOOKUP($A79,Основные!$A$2:$I$126,9,FALSE)</f>
        <v>805225.96987068385</v>
      </c>
      <c r="E79" s="168">
        <f>VLOOKUP($A79,Основные!$A$2:$I$126,3,FALSE)/VLOOKUP($A79,Основные!$A$2:$I$126,2,FALSE)</f>
        <v>2.0726720088422219</v>
      </c>
      <c r="F79" s="145">
        <f>VLOOKUP($A79,Основные!$A$2:$K$126,10,FALSE)</f>
        <v>751.1</v>
      </c>
      <c r="G79" s="147">
        <v>750.1</v>
      </c>
    </row>
    <row r="80" spans="1:7" ht="19.2" x14ac:dyDescent="0.3">
      <c r="A80" s="142" t="s">
        <v>123</v>
      </c>
      <c r="B80" s="145">
        <f>VLOOKUP($A80,занятые!$A$2:$G$108,7,FALSE)</f>
        <v>84.5</v>
      </c>
      <c r="C80" s="145">
        <f>VLOOKUP($A80,Доход!$A$2:$G$108,7,FALSE)</f>
        <v>111157</v>
      </c>
      <c r="D80" s="169">
        <f>VLOOKUP($A80,Основные!$A$2:$I$126,9,FALSE)</f>
        <v>2368815.5922038984</v>
      </c>
      <c r="E80" s="168">
        <f>VLOOKUP($A80,Основные!$A$2:$I$126,3,FALSE)/VLOOKUP($A80,Основные!$A$2:$I$126,2,FALSE)</f>
        <v>0.28843243243243244</v>
      </c>
      <c r="F80" s="145">
        <f>VLOOKUP($A80,Основные!$A$2:$K$126,10,FALSE)</f>
        <v>97.1</v>
      </c>
      <c r="G80" s="147">
        <v>133.4</v>
      </c>
    </row>
    <row r="81" spans="1:7" ht="19.2" x14ac:dyDescent="0.3">
      <c r="A81" s="142" t="s">
        <v>124</v>
      </c>
      <c r="B81" s="145">
        <f>VLOOKUP($A81,занятые!$A$2:$G$108,7,FALSE)</f>
        <v>280.10000000000002</v>
      </c>
      <c r="C81" s="145">
        <f>VLOOKUP($A81,Доход!$A$2:$G$108,7,FALSE)</f>
        <v>87902</v>
      </c>
      <c r="D81" s="169">
        <f>VLOOKUP($A81,Основные!$A$2:$I$126,9,FALSE)</f>
        <v>3343531.4685314684</v>
      </c>
      <c r="E81" s="168">
        <f>VLOOKUP($A81,Основные!$A$2:$I$126,3,FALSE)/VLOOKUP($A81,Основные!$A$2:$I$126,2,FALSE)</f>
        <v>5.253731343283583</v>
      </c>
      <c r="F81" s="145">
        <f>VLOOKUP($A81,Основные!$A$2:$K$126,10,FALSE)</f>
        <v>305.39999999999998</v>
      </c>
      <c r="G81" s="147">
        <v>457.6</v>
      </c>
    </row>
    <row r="82" spans="1:7" ht="28.8" x14ac:dyDescent="0.3">
      <c r="A82" s="142" t="s">
        <v>125</v>
      </c>
      <c r="B82" s="145">
        <f>VLOOKUP($A82,занятые!$A$2:$G$108,7,FALSE)</f>
        <v>60.2</v>
      </c>
      <c r="C82" s="145">
        <f>VLOOKUP($A82,Доход!$A$2:$G$110,7,FALSE)</f>
        <v>43479</v>
      </c>
      <c r="D82" s="169">
        <f>VLOOKUP($A82,Основные!$A$2:$I$126,9,FALSE)</f>
        <v>555555.55555555539</v>
      </c>
      <c r="E82" s="168">
        <f>VLOOKUP($A82,Основные!$A$2:$I$126,3,FALSE)/VLOOKUP($A82,Основные!$A$2:$I$126,2,FALSE)</f>
        <v>4.0165289256198351</v>
      </c>
      <c r="F82" s="145">
        <f>VLOOKUP($A82,Основные!$A$2:$K$126,10,FALSE)</f>
        <v>29.3</v>
      </c>
      <c r="G82" s="147">
        <v>145.80000000000001</v>
      </c>
    </row>
    <row r="83" spans="1:7" ht="28.8" x14ac:dyDescent="0.3">
      <c r="A83" s="142" t="s">
        <v>126</v>
      </c>
      <c r="B83" s="145">
        <f>VLOOKUP($A83,занятые!$A$2:$G$108,7,FALSE)</f>
        <v>32</v>
      </c>
      <c r="C83" s="145">
        <f>VLOOKUP($A83,Доход!$A$2:$G$110,7,FALSE)</f>
        <v>156988</v>
      </c>
      <c r="D83" s="169">
        <f>VLOOKUP($A83,Основные!$A$2:$I$126,9,FALSE)</f>
        <v>2937500</v>
      </c>
      <c r="E83" s="168">
        <f>VLOOKUP($A83,Основные!$A$2:$I$126,3,FALSE)/VLOOKUP($A83,Основные!$A$2:$I$126,2,FALSE)</f>
        <v>6.6528066528066532E-2</v>
      </c>
      <c r="F83" s="145">
        <f>VLOOKUP($A83,Основные!$A$2:$K$126,10,FALSE)</f>
        <v>88.2</v>
      </c>
      <c r="G83" s="147">
        <v>48</v>
      </c>
    </row>
  </sheetData>
  <phoneticPr fontId="2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A501B-018E-4F53-97C5-49E896F06076}">
  <dimension ref="A1:W83"/>
  <sheetViews>
    <sheetView zoomScale="85" zoomScaleNormal="85" workbookViewId="0">
      <selection activeCell="E2" sqref="E2"/>
    </sheetView>
  </sheetViews>
  <sheetFormatPr defaultRowHeight="14.4" x14ac:dyDescent="0.3"/>
  <cols>
    <col min="1" max="1" width="18.33203125" customWidth="1"/>
    <col min="2" max="6" width="14.6640625" customWidth="1"/>
    <col min="7" max="7" width="16" style="144" bestFit="1" customWidth="1"/>
    <col min="8" max="8" width="20.6640625" style="144" bestFit="1" customWidth="1"/>
    <col min="9" max="9" width="12" style="144" bestFit="1" customWidth="1"/>
    <col min="10" max="10" width="16.88671875" style="144" bestFit="1" customWidth="1"/>
    <col min="11" max="11" width="12" style="144" bestFit="1" customWidth="1"/>
    <col min="13" max="13" width="20.88671875" customWidth="1"/>
    <col min="14" max="14" width="15.5546875" customWidth="1"/>
    <col min="15" max="15" width="22.6640625" customWidth="1"/>
    <col min="16" max="22" width="15.5546875" customWidth="1"/>
  </cols>
  <sheetData>
    <row r="1" spans="1:23" ht="57" x14ac:dyDescent="0.3">
      <c r="A1" s="148" t="s">
        <v>1072</v>
      </c>
      <c r="B1" s="149" t="s">
        <v>1193</v>
      </c>
      <c r="C1" s="149" t="s">
        <v>1214</v>
      </c>
      <c r="D1" s="149" t="s">
        <v>1195</v>
      </c>
      <c r="E1" s="149" t="s">
        <v>824</v>
      </c>
      <c r="F1" s="149" t="s">
        <v>1196</v>
      </c>
      <c r="G1" s="146" t="s">
        <v>1192</v>
      </c>
      <c r="H1" s="146" t="s">
        <v>1189</v>
      </c>
      <c r="I1" s="146" t="s">
        <v>1188</v>
      </c>
      <c r="J1" s="146" t="s">
        <v>1191</v>
      </c>
      <c r="K1" s="146" t="s">
        <v>1231</v>
      </c>
      <c r="M1" s="149" t="s">
        <v>1199</v>
      </c>
      <c r="N1" s="149" t="s">
        <v>1202</v>
      </c>
      <c r="O1" s="149" t="s">
        <v>822</v>
      </c>
      <c r="P1" s="149" t="s">
        <v>1203</v>
      </c>
      <c r="Q1" s="149" t="s">
        <v>824</v>
      </c>
      <c r="R1" s="149" t="s">
        <v>1196</v>
      </c>
      <c r="S1" s="146" t="s">
        <v>1192</v>
      </c>
      <c r="T1" s="146" t="s">
        <v>1189</v>
      </c>
      <c r="U1" s="146" t="s">
        <v>1188</v>
      </c>
      <c r="V1" s="146" t="s">
        <v>1190</v>
      </c>
      <c r="W1" s="146" t="s">
        <v>1191</v>
      </c>
    </row>
    <row r="2" spans="1:23" x14ac:dyDescent="0.3">
      <c r="A2" s="150" t="s">
        <v>7</v>
      </c>
      <c r="B2" s="151">
        <v>152</v>
      </c>
      <c r="C2" s="162">
        <f>IFERROR(VLOOKUP($A2,'спортивные сооружния'!A4:G112,7,FALSE)/'Экономические факторы'!G2*100,0)</f>
        <v>1.5326181115479443</v>
      </c>
      <c r="D2" s="162">
        <f>VLOOKUP($A2,библиотеки!A4:N116,14,FALSE)/'Экономические факторы'!G2*1000</f>
        <v>497.10135270207235</v>
      </c>
      <c r="E2" s="151">
        <f>VLOOKUP($A2,Газеты!$A$3:$G$111,7,FALSE)</f>
        <v>852</v>
      </c>
      <c r="F2" s="162">
        <f>'Культурные факторы'!F2/'Экономические факторы'!G2*1000</f>
        <v>39.648164190044646</v>
      </c>
      <c r="G2" s="163">
        <f>'Экономические факторы'!B2/'Экономические факторы'!G2*100</f>
        <v>50.996201772506154</v>
      </c>
      <c r="H2" s="147">
        <v>47257</v>
      </c>
      <c r="I2" s="164">
        <v>873592.32358232816</v>
      </c>
      <c r="J2" s="147">
        <f>'Экономические факторы'!F2/'Экономические факторы'!G2*1000</f>
        <v>141.40067968281465</v>
      </c>
      <c r="K2" s="147">
        <v>55.376383763837637</v>
      </c>
      <c r="M2" s="147">
        <v>1</v>
      </c>
      <c r="N2" s="165" t="str" cm="1">
        <f t="array" ref="N2">INDEX($A$2:$A$83,_xlfn.XMATCH(LARGE(B$2:B$83,ROW(N1)),B$2:B$83,0,1))</f>
        <v>г. Санкт-Петербург</v>
      </c>
      <c r="O2" s="165" t="str" cm="1">
        <f t="array" ref="O2">INDEX($A$2:$A$83,_xlfn.XMATCH(LARGE(C$2:C$83,ROW(O1)),C$2:C$83,0,1))</f>
        <v>Республика Хакасия</v>
      </c>
      <c r="P2" s="165" t="str" cm="1">
        <f t="array" ref="P2">INDEX($A$2:$A$83,_xlfn.XMATCH(LARGE(D$2:D$83,ROW(P1)),D$2:D$83,0,1))</f>
        <v>Костромская область</v>
      </c>
      <c r="Q2" s="165" t="str" cm="1">
        <f t="array" ref="Q2">INDEX($A$2:$A$83,_xlfn.XMATCH(LARGE(E$2:E$83,ROW(Q1)),E$2:E$83,0,1))</f>
        <v>Смоленская область</v>
      </c>
      <c r="R2" s="165" t="str" cm="1">
        <f t="array" ref="R2">INDEX($A$2:$A$83,_xlfn.XMATCH(LARGE(F$2:F$83,ROW(R1)),F$2:F$83,0,1))</f>
        <v>Чукотский автономный округ</v>
      </c>
      <c r="S2" s="161" t="str" cm="1">
        <f t="array" ref="S2">INDEX($A$2:$A$83,_xlfn.XMATCH(LARGE(G$2:G$83,ROW(S1)),G$2:G$83,0,1))</f>
        <v>Чукотский автономный округ</v>
      </c>
      <c r="T2" s="161" t="str" cm="1">
        <f t="array" ref="T2">INDEX($A$2:$A$83,_xlfn.XMATCH(LARGE(H$2:H$83,ROW(T1)),H$2:H$83,0,1))</f>
        <v>Чукотский автономный округ</v>
      </c>
      <c r="U2" s="161" t="str" cm="1">
        <f t="array" ref="U2">INDEX($A$2:$A$83,_xlfn.XMATCH(LARGE(I$2:I$83,ROW(U1)),I$2:I$83,0,1))</f>
        <v xml:space="preserve">Ханты-Мансийский автономный округ </v>
      </c>
      <c r="V2" s="161" t="str" cm="1">
        <f t="array" ref="V2">INDEX($A$2:$A$83,_xlfn.XMATCH(LARGE(K$2:K$83,ROW(V1)),K$2:K$83,0,1))</f>
        <v>г. Москва</v>
      </c>
      <c r="W2" s="161" t="str" cm="1">
        <f t="array" ref="W2">INDEX($A$2:$A$83,_xlfn.XMATCH(LARGE(J$2:J$83,ROW(W1)),J$2:J$83,0,1))</f>
        <v>Чукотский автономный округ</v>
      </c>
    </row>
    <row r="3" spans="1:23" x14ac:dyDescent="0.3">
      <c r="A3" s="150" t="s">
        <v>8</v>
      </c>
      <c r="B3" s="151">
        <v>173</v>
      </c>
      <c r="C3" s="162">
        <f>IFERROR(VLOOKUP($A3,'спортивные сооружния'!A5:G113,7,FALSE)/'Экономические факторы'!G3*100,0)</f>
        <v>1.5756302521008403</v>
      </c>
      <c r="D3" s="162">
        <f>VLOOKUP($A3,библиотеки!A5:N117,14,FALSE)/'Экономические факторы'!G3*1000</f>
        <v>426.2955182072829</v>
      </c>
      <c r="E3" s="151">
        <f>VLOOKUP($A3,Газеты!$A$3:$G$111,7,FALSE)</f>
        <v>234</v>
      </c>
      <c r="F3" s="162">
        <f>'Культурные факторы'!F3/'Экономические факторы'!G3*1000</f>
        <v>28.974089635854341</v>
      </c>
      <c r="G3" s="163">
        <f>'Экономические факторы'!B3/'Экономические факторы'!G3*100</f>
        <v>44.161414565826327</v>
      </c>
      <c r="H3" s="147">
        <v>40927</v>
      </c>
      <c r="I3" s="164">
        <v>480567.22689075628</v>
      </c>
      <c r="J3" s="147">
        <f>'Экономические факторы'!F3/'Экономические факторы'!G3*1000</f>
        <v>82.37044817927169</v>
      </c>
      <c r="K3" s="147">
        <v>32.733524355300865</v>
      </c>
      <c r="M3" s="147">
        <v>2</v>
      </c>
      <c r="N3" s="165" t="str" cm="1">
        <f t="array" ref="N3">INDEX($A$2:$A$83,_xlfn.XMATCH(LARGE(B$2:B$83,ROW(N2)),B$2:B$83,0,1))</f>
        <v>Республика Марий Эл</v>
      </c>
      <c r="O3" s="165" t="str" cm="1">
        <f t="array" ref="O3">INDEX($A$2:$A$83,_xlfn.XMATCH(LARGE(C$2:C$83,ROW(O2)),C$2:C$83,0,1))</f>
        <v>Республика Алтай</v>
      </c>
      <c r="P3" s="165" t="str" cm="1">
        <f t="array" ref="P3">INDEX($A$2:$A$83,_xlfn.XMATCH(LARGE(D$2:D$83,ROW(P2)),D$2:D$83,0,1))</f>
        <v>Кировская область</v>
      </c>
      <c r="Q3" s="165" t="str" cm="1">
        <f t="array" ref="Q3">INDEX($A$2:$A$83,_xlfn.XMATCH(LARGE(E$2:E$83,ROW(Q2)),E$2:E$83,0,1))</f>
        <v>г. Москва</v>
      </c>
      <c r="R3" s="165" t="str" cm="1">
        <f t="array" ref="R3">INDEX($A$2:$A$83,_xlfn.XMATCH(LARGE(F$2:F$83,ROW(R2)),F$2:F$83,0,1))</f>
        <v>Тюменская область без автономных округов</v>
      </c>
      <c r="S3" s="161" t="str" cm="1">
        <f t="array" ref="S3">INDEX($A$2:$A$83,_xlfn.XMATCH(LARGE(G$2:G$83,ROW(S2)),G$2:G$83,0,1))</f>
        <v>г. Москва</v>
      </c>
      <c r="T3" s="161" t="str" cm="1">
        <f t="array" ref="T3">INDEX($A$2:$A$83,_xlfn.XMATCH(LARGE(H$2:H$83,ROW(T2)),H$2:H$83,0,1))</f>
        <v>г. Москва</v>
      </c>
      <c r="U3" s="161" t="str" cm="1">
        <f t="array" ref="U3">INDEX($A$2:$A$83,_xlfn.XMATCH(LARGE(I$2:I$83,ROW(U2)),I$2:I$83,0,1))</f>
        <v>Тюменская область</v>
      </c>
      <c r="V3" s="161" t="str" cm="1">
        <f t="array" ref="V3">INDEX($A$2:$A$83,_xlfn.XMATCH(LARGE(K$2:K$83,ROW(V2)),K$2:K$83,0,1))</f>
        <v>г. Санкт-Петербург</v>
      </c>
      <c r="W3" s="161" t="str" cm="1">
        <f t="array" ref="W3">INDEX($A$2:$A$83,_xlfn.XMATCH(LARGE(J$2:J$83,ROW(W2)),J$2:J$83,0,1))</f>
        <v>Амурская область</v>
      </c>
    </row>
    <row r="4" spans="1:23" ht="22.8" x14ac:dyDescent="0.3">
      <c r="A4" s="150" t="s">
        <v>9</v>
      </c>
      <c r="B4" s="151">
        <v>78</v>
      </c>
      <c r="C4" s="162">
        <f>IFERROR(VLOOKUP($A4,'спортивные сооружния'!A6:G114,7,FALSE)/'Экономические факторы'!G4*100,0)</f>
        <v>2.1375677532636077</v>
      </c>
      <c r="D4" s="162">
        <f>VLOOKUP($A4,библиотеки!A6:N118,14,FALSE)/'Экономические факторы'!G4*1000</f>
        <v>383.99877853271244</v>
      </c>
      <c r="E4" s="151">
        <f>VLOOKUP($A4,Газеты!$A$3:$G$111,7,FALSE)</f>
        <v>552</v>
      </c>
      <c r="F4" s="162">
        <f>'Культурные факторы'!F4/'Экономические факторы'!G4*1000</f>
        <v>35.34620963432323</v>
      </c>
      <c r="G4" s="163">
        <f>'Экономические факторы'!B4/'Экономические факторы'!G4*100</f>
        <v>48.782349797694479</v>
      </c>
      <c r="H4" s="147">
        <v>38649</v>
      </c>
      <c r="I4" s="164">
        <v>596228.71974959911</v>
      </c>
      <c r="J4" s="147">
        <f>'Экономические факторы'!F4/'Экономические факторы'!G4*1000</f>
        <v>138.71287884571339</v>
      </c>
      <c r="K4" s="147">
        <v>45.013745704467354</v>
      </c>
      <c r="M4" s="147">
        <v>3</v>
      </c>
      <c r="N4" s="165" t="str" cm="1">
        <f t="array" ref="N4">INDEX($A$2:$A$83,_xlfn.XMATCH(LARGE(B$2:B$83,ROW(N3)),B$2:B$83,0,1))</f>
        <v>г. Москва</v>
      </c>
      <c r="O4" s="165" t="str" cm="1">
        <f t="array" ref="O4">INDEX($A$2:$A$83,_xlfn.XMATCH(LARGE(C$2:C$83,ROW(O3)),C$2:C$83,0,1))</f>
        <v>Амурская область</v>
      </c>
      <c r="P4" s="165" t="str" cm="1">
        <f t="array" ref="P4">INDEX($A$2:$A$83,_xlfn.XMATCH(LARGE(D$2:D$83,ROW(P3)),D$2:D$83,0,1))</f>
        <v>Чувашская Республика</v>
      </c>
      <c r="Q4" s="165" t="str" cm="1">
        <f t="array" ref="Q4">INDEX($A$2:$A$83,_xlfn.XMATCH(LARGE(E$2:E$83,ROW(Q3)),E$2:E$83,0,1))</f>
        <v>Республика Марий Эл</v>
      </c>
      <c r="R4" s="165" t="str" cm="1">
        <f t="array" ref="R4">INDEX($A$2:$A$83,_xlfn.XMATCH(LARGE(F$2:F$83,ROW(R3)),F$2:F$83,0,1))</f>
        <v>Сахалинская область</v>
      </c>
      <c r="S4" s="161" t="str" cm="1">
        <f t="array" ref="S4">INDEX($A$2:$A$83,_xlfn.XMATCH(LARGE(G$2:G$83,ROW(S3)),G$2:G$83,0,1))</f>
        <v>Магаданская область</v>
      </c>
      <c r="T4" s="161" t="str" cm="1">
        <f t="array" ref="T4">INDEX($A$2:$A$83,_xlfn.XMATCH(LARGE(H$2:H$83,ROW(T3)),H$2:H$83,0,1))</f>
        <v>Магаданская область</v>
      </c>
      <c r="U4" s="161" t="str" cm="1">
        <f t="array" ref="U4">INDEX($A$2:$A$83,_xlfn.XMATCH(LARGE(I$2:I$83,ROW(U3)),I$2:I$83,0,1))</f>
        <v>Сахалинская область</v>
      </c>
      <c r="V4" s="161" t="str" cm="1">
        <f t="array" ref="V4">INDEX($A$2:$A$83,_xlfn.XMATCH(LARGE(K$2:K$83,ROW(V3)),K$2:K$83,0,1))</f>
        <v>г. Севастополь</v>
      </c>
      <c r="W4" s="161" t="str" cm="1">
        <f t="array" ref="W4">INDEX($A$2:$A$83,_xlfn.XMATCH(LARGE(J$2:J$83,ROW(W3)),J$2:J$83,0,1))</f>
        <v xml:space="preserve">Ханты-Мансийский автономный округ </v>
      </c>
    </row>
    <row r="5" spans="1:23" x14ac:dyDescent="0.3">
      <c r="A5" s="150" t="s">
        <v>12</v>
      </c>
      <c r="B5" s="151">
        <v>228</v>
      </c>
      <c r="C5" s="162">
        <f>IFERROR(VLOOKUP($A5,'спортивные сооружния'!A7:G115,7,FALSE)/'Экономические факторы'!G5*100,0)</f>
        <v>0.43986979853963226</v>
      </c>
      <c r="D5" s="162">
        <f>VLOOKUP($A5,библиотеки!A7:N119,14,FALSE)/'Экономические факторы'!G5*1000</f>
        <v>342.2187032638339</v>
      </c>
      <c r="E5" s="151">
        <f>VLOOKUP($A5,Газеты!$A$3:$G$111,7,FALSE)</f>
        <v>480</v>
      </c>
      <c r="F5" s="162">
        <f>'Культурные факторы'!F5/'Экономические факторы'!G5*1000</f>
        <v>30.526964018650482</v>
      </c>
      <c r="G5" s="163">
        <f>'Экономические факторы'!B5/'Экономические факторы'!G5*100</f>
        <v>50.65540599982404</v>
      </c>
      <c r="H5" s="147">
        <v>45087</v>
      </c>
      <c r="I5" s="164">
        <v>606140.58238761325</v>
      </c>
      <c r="J5" s="147">
        <f>'Экономические факторы'!F5/'Экономические факторы'!G5*1000</f>
        <v>164.55529163367643</v>
      </c>
      <c r="K5" s="147">
        <v>43.551724137931032</v>
      </c>
    </row>
    <row r="6" spans="1:23" x14ac:dyDescent="0.3">
      <c r="A6" s="150" t="s">
        <v>13</v>
      </c>
      <c r="B6" s="151">
        <v>350</v>
      </c>
      <c r="C6" s="162">
        <f>IFERROR(VLOOKUP($A6,'спортивные сооружния'!A8:G116,7,FALSE)/'Экономические факторы'!G6*100,0)</f>
        <v>1.5454244397836407</v>
      </c>
      <c r="D6" s="162">
        <f>VLOOKUP($A6,библиотеки!A8:N120,14,FALSE)/'Экономические факторы'!G6*1000</f>
        <v>428.30334474003757</v>
      </c>
      <c r="E6" s="151">
        <f>VLOOKUP($A6,Газеты!$A$3:$G$111,7,FALSE)</f>
        <v>321</v>
      </c>
      <c r="F6" s="162">
        <f>'Культурные факторы'!F6/'Экономические факторы'!G6*1000</f>
        <v>28.038414836074619</v>
      </c>
      <c r="G6" s="163">
        <f>'Экономические факторы'!B6/'Экономические факторы'!G6*100</f>
        <v>46.60558560547522</v>
      </c>
      <c r="H6" s="147">
        <v>41108</v>
      </c>
      <c r="I6" s="164">
        <v>401810.35434374656</v>
      </c>
      <c r="J6" s="147">
        <f>'Экономические факторы'!F6/'Экономические факторы'!G6*1000</f>
        <v>74.511535489568388</v>
      </c>
      <c r="K6" s="147">
        <v>42.331775700934578</v>
      </c>
      <c r="N6" t="s">
        <v>1072</v>
      </c>
      <c r="O6" s="154">
        <v>1</v>
      </c>
      <c r="P6" s="154">
        <v>2</v>
      </c>
      <c r="Q6" s="154">
        <v>3</v>
      </c>
      <c r="R6" t="s">
        <v>1194</v>
      </c>
    </row>
    <row r="7" spans="1:23" x14ac:dyDescent="0.3">
      <c r="A7" s="150" t="s">
        <v>14</v>
      </c>
      <c r="B7" s="151">
        <v>205</v>
      </c>
      <c r="C7" s="162">
        <f>IFERROR(VLOOKUP($A7,'спортивные сооружния'!A9:G117,7,FALSE)/'Экономические факторы'!G7*100,0)</f>
        <v>1.4039685511044553</v>
      </c>
      <c r="D7" s="162">
        <f>VLOOKUP($A7,библиотеки!A9:N121,14,FALSE)/'Экономические факторы'!G7*1000</f>
        <v>535.38000748783224</v>
      </c>
      <c r="E7" s="151">
        <f>VLOOKUP($A7,Газеты!$A$3:$G$111,7,FALSE)</f>
        <v>622</v>
      </c>
      <c r="F7" s="162">
        <f>'Культурные факторы'!F7/'Экономические факторы'!G7*1000</f>
        <v>25.271433919880192</v>
      </c>
      <c r="G7" s="163">
        <f>'Экономические факторы'!B7/'Экономические факторы'!G7*100</f>
        <v>50.252714339198803</v>
      </c>
      <c r="H7" s="147">
        <v>44564</v>
      </c>
      <c r="I7" s="164">
        <v>649569.44964432798</v>
      </c>
      <c r="J7" s="147">
        <f>'Экономические факторы'!F7/'Экономические факторы'!G7*1000</f>
        <v>117.65256458255334</v>
      </c>
      <c r="K7" s="147">
        <v>35.852348993288594</v>
      </c>
      <c r="M7">
        <f>LARGE(C2:C83,1)</f>
        <v>3.9757667550170384</v>
      </c>
      <c r="N7" t="s">
        <v>31</v>
      </c>
      <c r="O7">
        <f t="shared" ref="O7:O21" si="0">COUNTIF($N$2:$R$2,N7)</f>
        <v>0</v>
      </c>
      <c r="P7">
        <f t="shared" ref="P7:P21" si="1">COUNTIF($N$3:$R$3,N7)</f>
        <v>1</v>
      </c>
      <c r="Q7">
        <f t="shared" ref="Q7:Q21" si="2">COUNTIF($N$4:$R$4,N7)</f>
        <v>1</v>
      </c>
      <c r="R7">
        <f t="shared" ref="R7:R21" si="3">O7*3+P7*2+Q7*1</f>
        <v>3</v>
      </c>
    </row>
    <row r="8" spans="1:23" x14ac:dyDescent="0.3">
      <c r="A8" s="150" t="s">
        <v>16</v>
      </c>
      <c r="B8" s="151">
        <v>257</v>
      </c>
      <c r="C8" s="162">
        <f>IFERROR(VLOOKUP($A8,'спортивные сооружния'!A10:G118,7,FALSE)/'Экономические факторы'!G8*100,0)</f>
        <v>1.0595090941197247</v>
      </c>
      <c r="D8" s="162">
        <f>VLOOKUP($A8,библиотеки!A10:N122,14,FALSE)/'Экономические факторы'!G8*1000</f>
        <v>762.84654776620175</v>
      </c>
      <c r="E8" s="151">
        <f>VLOOKUP($A8,Газеты!$A$3:$G$111,7,FALSE)</f>
        <v>386</v>
      </c>
      <c r="F8" s="162">
        <f>'Культурные факторы'!F8/'Экономические факторы'!G8*1000</f>
        <v>44.32279710400848</v>
      </c>
      <c r="G8" s="163">
        <f>'Экономические факторы'!B8/'Экономические факторы'!G8*100</f>
        <v>45.435281652834192</v>
      </c>
      <c r="H8" s="147">
        <v>43668</v>
      </c>
      <c r="I8" s="164">
        <v>487374.18329507328</v>
      </c>
      <c r="J8" s="147">
        <f>'Экономические факторы'!F8/'Экономические факторы'!G8*1000</f>
        <v>84.584142680558017</v>
      </c>
      <c r="K8" s="147">
        <v>9.4069767441860446</v>
      </c>
      <c r="N8" t="s">
        <v>126</v>
      </c>
      <c r="O8">
        <f t="shared" si="0"/>
        <v>1</v>
      </c>
      <c r="P8">
        <f t="shared" si="1"/>
        <v>0</v>
      </c>
      <c r="Q8">
        <f t="shared" si="2"/>
        <v>0</v>
      </c>
      <c r="R8">
        <f t="shared" si="3"/>
        <v>3</v>
      </c>
    </row>
    <row r="9" spans="1:23" x14ac:dyDescent="0.3">
      <c r="A9" s="150" t="s">
        <v>18</v>
      </c>
      <c r="B9" s="151">
        <v>234</v>
      </c>
      <c r="C9" s="162">
        <f>IFERROR(VLOOKUP($A9,'спортивные сооружния'!A11:G119,7,FALSE)/'Экономические факторы'!G9*100,0)</f>
        <v>0.84833631822037892</v>
      </c>
      <c r="D9" s="162">
        <f>VLOOKUP($A9,библиотеки!A11:N123,14,FALSE)/'Экономические факторы'!G9*1000</f>
        <v>503.34621547742478</v>
      </c>
      <c r="E9" s="151">
        <f>VLOOKUP($A9,Газеты!$A$3:$G$111,7,FALSE)</f>
        <v>394</v>
      </c>
      <c r="F9" s="162">
        <f>'Культурные факторы'!F9/'Экономические факторы'!G9*1000</f>
        <v>27.335281364878874</v>
      </c>
      <c r="G9" s="163">
        <f>'Экономические факторы'!B9/'Экономические факторы'!G9*100</f>
        <v>47.374870393062487</v>
      </c>
      <c r="H9" s="147">
        <v>43719</v>
      </c>
      <c r="I9" s="164">
        <v>627768.8754830804</v>
      </c>
      <c r="J9" s="147">
        <f>'Экономические факторы'!F9/'Экономические факторы'!G9*1000</f>
        <v>217.92817419172397</v>
      </c>
      <c r="K9" s="147">
        <v>35.363333333333337</v>
      </c>
      <c r="N9" t="s">
        <v>20</v>
      </c>
      <c r="O9">
        <f t="shared" si="0"/>
        <v>0</v>
      </c>
      <c r="P9">
        <f t="shared" si="1"/>
        <v>0</v>
      </c>
      <c r="Q9">
        <f t="shared" si="2"/>
        <v>0</v>
      </c>
      <c r="R9">
        <f t="shared" si="3"/>
        <v>0</v>
      </c>
    </row>
    <row r="10" spans="1:23" x14ac:dyDescent="0.3">
      <c r="A10" s="150" t="s">
        <v>19</v>
      </c>
      <c r="B10" s="151">
        <v>200</v>
      </c>
      <c r="C10" s="162">
        <f>IFERROR(VLOOKUP($A10,'спортивные сооружния'!A12:G120,7,FALSE)/'Экономические факторы'!G10*100,0)</f>
        <v>1.9707963809011915</v>
      </c>
      <c r="D10" s="162">
        <f>VLOOKUP($A10,библиотеки!A12:N124,14,FALSE)/'Экономические факторы'!G10*1000</f>
        <v>443.42918570276805</v>
      </c>
      <c r="E10" s="151">
        <f>VLOOKUP($A10,Газеты!$A$3:$G$111,7,FALSE)</f>
        <v>132</v>
      </c>
      <c r="F10" s="162">
        <f>'Культурные факторы'!F10/'Экономические факторы'!G10*1000</f>
        <v>39.236764310669173</v>
      </c>
      <c r="G10" s="163">
        <f>'Экономические факторы'!B10/'Экономические факторы'!G10*100</f>
        <v>50.676341485263819</v>
      </c>
      <c r="H10" s="147">
        <v>45458</v>
      </c>
      <c r="I10" s="164">
        <v>710382.51366120216</v>
      </c>
      <c r="J10" s="147">
        <f>'Экономические факторы'!F10/'Экономические факторы'!G10*1000</f>
        <v>167.69685568395593</v>
      </c>
      <c r="K10" s="147">
        <v>46.512499999999996</v>
      </c>
      <c r="N10" t="s">
        <v>57</v>
      </c>
      <c r="O10">
        <f t="shared" si="0"/>
        <v>1</v>
      </c>
      <c r="P10">
        <f t="shared" si="1"/>
        <v>0</v>
      </c>
      <c r="Q10">
        <f t="shared" si="2"/>
        <v>0</v>
      </c>
      <c r="R10">
        <f t="shared" si="3"/>
        <v>3</v>
      </c>
    </row>
    <row r="11" spans="1:23" x14ac:dyDescent="0.3">
      <c r="A11" s="150" t="s">
        <v>20</v>
      </c>
      <c r="B11" s="151">
        <v>104</v>
      </c>
      <c r="C11" s="162">
        <f>IFERROR(VLOOKUP($A11,'спортивные сооружния'!A13:G121,7,FALSE)/'Экономические факторы'!G11*100,0)</f>
        <v>1.3639568619745011</v>
      </c>
      <c r="D11" s="162">
        <f>VLOOKUP($A11,библиотеки!A13:N125,14,FALSE)/'Экономические факторы'!G11*1000</f>
        <v>171.65050339255373</v>
      </c>
      <c r="E11" s="151">
        <f>VLOOKUP($A11,Газеты!$A$3:$G$111,7,FALSE)</f>
        <v>198</v>
      </c>
      <c r="F11" s="162">
        <f>'Культурные факторы'!F11/'Экономические факторы'!G11*1000</f>
        <v>12.113786367366755</v>
      </c>
      <c r="G11" s="163">
        <f>'Экономические факторы'!B11/'Экономические факторы'!G11*100</f>
        <v>46.141042386693336</v>
      </c>
      <c r="H11" s="147">
        <v>64870</v>
      </c>
      <c r="I11" s="164">
        <v>892467.02807670529</v>
      </c>
      <c r="J11" s="147">
        <f>'Экономические факторы'!F11/'Экономические факторы'!G11*1000</f>
        <v>184.19197114884469</v>
      </c>
      <c r="K11" s="147">
        <v>195.28893905191873</v>
      </c>
      <c r="N11" t="s">
        <v>82</v>
      </c>
      <c r="O11">
        <f t="shared" si="0"/>
        <v>0</v>
      </c>
      <c r="P11">
        <f t="shared" si="1"/>
        <v>1</v>
      </c>
      <c r="Q11">
        <f t="shared" si="2"/>
        <v>1</v>
      </c>
      <c r="R11">
        <f t="shared" si="3"/>
        <v>3</v>
      </c>
    </row>
    <row r="12" spans="1:23" x14ac:dyDescent="0.3">
      <c r="A12" s="150" t="s">
        <v>21</v>
      </c>
      <c r="B12" s="151">
        <v>327</v>
      </c>
      <c r="C12" s="162">
        <f>IFERROR(VLOOKUP($A12,'спортивные сооружния'!A14:G122,7,FALSE)/'Экономические факторы'!G12*100,0)</f>
        <v>0.43321299638989169</v>
      </c>
      <c r="D12" s="162">
        <f>VLOOKUP($A12,библиотеки!A14:N126,14,FALSE)/'Экономические факторы'!G12*1000</f>
        <v>405.77617328519852</v>
      </c>
      <c r="E12" s="151">
        <f>VLOOKUP($A12,Газеты!$A$3:$G$111,7,FALSE)</f>
        <v>188</v>
      </c>
      <c r="F12" s="162">
        <f>'Культурные факторы'!F12/'Экономические факторы'!G12*1000</f>
        <v>34.223826714801447</v>
      </c>
      <c r="G12" s="163">
        <f>'Экономические факторы'!B12/'Экономические факторы'!G12*100</f>
        <v>43.537906137184116</v>
      </c>
      <c r="H12" s="147">
        <v>43730</v>
      </c>
      <c r="I12" s="164">
        <v>534296.02888086648</v>
      </c>
      <c r="J12" s="147">
        <f>'Экономические факторы'!F12/'Экономические факторы'!G12*1000</f>
        <v>84.332129963898907</v>
      </c>
      <c r="K12" s="147">
        <v>28.036437246963562</v>
      </c>
      <c r="N12" t="s">
        <v>23</v>
      </c>
      <c r="O12">
        <f t="shared" si="0"/>
        <v>1</v>
      </c>
      <c r="P12">
        <f t="shared" si="1"/>
        <v>0</v>
      </c>
      <c r="Q12">
        <f t="shared" si="2"/>
        <v>0</v>
      </c>
      <c r="R12">
        <f t="shared" si="3"/>
        <v>3</v>
      </c>
    </row>
    <row r="13" spans="1:23" x14ac:dyDescent="0.3">
      <c r="A13" s="150" t="s">
        <v>22</v>
      </c>
      <c r="B13" s="151">
        <v>264</v>
      </c>
      <c r="C13" s="162">
        <f>IFERROR(VLOOKUP($A13,'спортивные сооружния'!A15:G123,7,FALSE)/'Экономические факторы'!G13*100,0)</f>
        <v>1.2012566993162077</v>
      </c>
      <c r="D13" s="162">
        <f>VLOOKUP($A13,библиотеки!A15:N127,14,FALSE)/'Экономические факторы'!G13*1000</f>
        <v>502.67972648309001</v>
      </c>
      <c r="E13" s="151">
        <f>VLOOKUP($A13,Газеты!$A$3:$G$111,7,FALSE)</f>
        <v>408</v>
      </c>
      <c r="F13" s="162">
        <f>'Культурные факторы'!F13/'Экономические факторы'!G13*1000</f>
        <v>19.127702827573462</v>
      </c>
      <c r="G13" s="163">
        <f>'Экономические факторы'!B13/'Экономические факторы'!G13*100</f>
        <v>46.174459434485307</v>
      </c>
      <c r="H13" s="147">
        <v>39905</v>
      </c>
      <c r="I13" s="164">
        <v>571982.9975974866</v>
      </c>
      <c r="J13" s="147">
        <f>'Экономические факторы'!F13/'Экономические факторы'!G13*1000</f>
        <v>93.605618185178329</v>
      </c>
      <c r="K13" s="147">
        <v>27.328282828282827</v>
      </c>
      <c r="N13" s="155" t="s">
        <v>16</v>
      </c>
      <c r="O13" s="155">
        <f t="shared" si="0"/>
        <v>1</v>
      </c>
      <c r="P13" s="155">
        <f t="shared" si="1"/>
        <v>0</v>
      </c>
      <c r="Q13" s="155">
        <f t="shared" si="2"/>
        <v>0</v>
      </c>
      <c r="R13" s="155">
        <f t="shared" si="3"/>
        <v>3</v>
      </c>
    </row>
    <row r="14" spans="1:23" x14ac:dyDescent="0.3">
      <c r="A14" s="150" t="s">
        <v>23</v>
      </c>
      <c r="B14" s="151">
        <v>169</v>
      </c>
      <c r="C14" s="162">
        <f>IFERROR(VLOOKUP($A14,'спортивные сооружния'!A16:G124,7,FALSE)/'Экономические факторы'!G14*100,0)</f>
        <v>2.7777777777777777</v>
      </c>
      <c r="D14" s="162">
        <f>VLOOKUP($A14,библиотеки!A16:N128,14,FALSE)/'Экономические факторы'!G14*1000</f>
        <v>512.73148148148152</v>
      </c>
      <c r="E14" s="151">
        <f>VLOOKUP($A14,Газеты!$A$3:$G$111,7,FALSE)</f>
        <v>2592</v>
      </c>
      <c r="F14" s="162">
        <f>'Культурные факторы'!F14/'Экономические факторы'!G14*1000</f>
        <v>16.203703703703702</v>
      </c>
      <c r="G14" s="163">
        <f>'Экономические факторы'!B14/'Экономические факторы'!G14*100</f>
        <v>47.407407407407412</v>
      </c>
      <c r="H14" s="147">
        <v>42734</v>
      </c>
      <c r="I14" s="164">
        <v>559027.77777777787</v>
      </c>
      <c r="J14" s="147">
        <f>'Экономические факторы'!F14/'Экономические факторы'!G14*1000</f>
        <v>109.49074074074073</v>
      </c>
      <c r="K14" s="147">
        <v>17.349397590361448</v>
      </c>
      <c r="N14" t="s">
        <v>65</v>
      </c>
      <c r="O14">
        <f t="shared" si="0"/>
        <v>0</v>
      </c>
      <c r="P14">
        <f t="shared" si="1"/>
        <v>0</v>
      </c>
      <c r="Q14">
        <f t="shared" si="2"/>
        <v>0</v>
      </c>
      <c r="R14">
        <f t="shared" si="3"/>
        <v>0</v>
      </c>
    </row>
    <row r="15" spans="1:23" x14ac:dyDescent="0.3">
      <c r="A15" s="150" t="s">
        <v>24</v>
      </c>
      <c r="B15" s="151">
        <v>255</v>
      </c>
      <c r="C15" s="162">
        <f>IFERROR(VLOOKUP($A15,'спортивные сооружния'!A17:G125,7,FALSE)/'Экономические факторы'!G15*100,0)</f>
        <v>2.1959636097458959</v>
      </c>
      <c r="D15" s="162">
        <f>VLOOKUP($A15,библиотеки!A17:N129,14,FALSE)/'Экономические факторы'!G15*1000</f>
        <v>529.1226602530586</v>
      </c>
      <c r="E15" s="151">
        <f>VLOOKUP($A15,Газеты!$A$3:$G$111,7,FALSE)</f>
        <v>154</v>
      </c>
      <c r="F15" s="162">
        <f>'Культурные факторы'!F15/'Экономические факторы'!G15*1000</f>
        <v>51.134581198368714</v>
      </c>
      <c r="G15" s="163">
        <f>'Экономические факторы'!B15/'Экономические факторы'!G15*100</f>
        <v>48.091603053435115</v>
      </c>
      <c r="H15" s="147">
        <v>39229</v>
      </c>
      <c r="I15" s="164">
        <v>495660.35762835928</v>
      </c>
      <c r="J15" s="147">
        <f>'Экономические факторы'!F15/'Экономические факторы'!G15*1000</f>
        <v>96.622398828819414</v>
      </c>
      <c r="K15" s="147">
        <v>27.718840579710143</v>
      </c>
      <c r="N15" t="s">
        <v>88</v>
      </c>
      <c r="O15">
        <f t="shared" si="0"/>
        <v>0</v>
      </c>
      <c r="P15">
        <f t="shared" si="1"/>
        <v>1</v>
      </c>
      <c r="Q15">
        <f t="shared" si="2"/>
        <v>0</v>
      </c>
      <c r="R15">
        <f t="shared" si="3"/>
        <v>2</v>
      </c>
    </row>
    <row r="16" spans="1:23" x14ac:dyDescent="0.3">
      <c r="A16" s="150" t="s">
        <v>25</v>
      </c>
      <c r="B16" s="151">
        <v>350</v>
      </c>
      <c r="C16" s="162">
        <f>IFERROR(VLOOKUP($A16,'спортивные сооружния'!A18:G126,7,FALSE)/'Экономические факторы'!G16*100,0)</f>
        <v>1.4170209218971408</v>
      </c>
      <c r="D16" s="162">
        <f>VLOOKUP($A16,библиотеки!A18:N130,14,FALSE)/'Экономические факторы'!G16*1000</f>
        <v>465.94982078853042</v>
      </c>
      <c r="E16" s="151">
        <f>VLOOKUP($A16,Газеты!$A$3:$G$111,7,FALSE)</f>
        <v>307</v>
      </c>
      <c r="F16" s="162">
        <f>'Культурные факторы'!F16/'Экономические факторы'!G16*1000</f>
        <v>46.261565391347837</v>
      </c>
      <c r="G16" s="163">
        <f>'Экономические факторы'!B16/'Экономические факторы'!G16*100</f>
        <v>48.195382178878056</v>
      </c>
      <c r="H16" s="147">
        <v>41274</v>
      </c>
      <c r="I16" s="164">
        <v>524297.74110194214</v>
      </c>
      <c r="J16" s="147">
        <f>'Экономические факторы'!F16/'Экономические факторы'!G16*1000</f>
        <v>117.69609068933899</v>
      </c>
      <c r="K16" s="147">
        <v>14.248218527315915</v>
      </c>
      <c r="N16" t="s">
        <v>124</v>
      </c>
      <c r="O16">
        <f t="shared" si="0"/>
        <v>0</v>
      </c>
      <c r="P16">
        <f t="shared" si="1"/>
        <v>0</v>
      </c>
      <c r="Q16">
        <f t="shared" si="2"/>
        <v>1</v>
      </c>
      <c r="R16">
        <f t="shared" si="3"/>
        <v>1</v>
      </c>
    </row>
    <row r="17" spans="1:18" x14ac:dyDescent="0.3">
      <c r="A17" s="150" t="s">
        <v>26</v>
      </c>
      <c r="B17" s="151">
        <v>237</v>
      </c>
      <c r="C17" s="162">
        <f>IFERROR(VLOOKUP($A17,'спортивные сооружния'!A19:G127,7,FALSE)/'Экономические факторы'!G17*100,0)</f>
        <v>1.1555978519475223</v>
      </c>
      <c r="D17" s="162">
        <f>VLOOKUP($A17,библиотеки!A19:N131,14,FALSE)/'Экономические факторы'!G17*1000</f>
        <v>307.25307592957654</v>
      </c>
      <c r="E17" s="151">
        <f>VLOOKUP($A17,Газеты!$A$3:$G$111,7,FALSE)</f>
        <v>191</v>
      </c>
      <c r="F17" s="162">
        <f>'Культурные факторы'!F17/'Экономические факторы'!G17*1000</f>
        <v>21.276595744680854</v>
      </c>
      <c r="G17" s="163">
        <f>'Экономические факторы'!B17/'Экономические факторы'!G17*100</f>
        <v>50.050982258174159</v>
      </c>
      <c r="H17" s="147">
        <v>42375</v>
      </c>
      <c r="I17" s="164">
        <v>682482.49609136023</v>
      </c>
      <c r="J17" s="147">
        <f>'Экономические факторы'!F17/'Экономические факторы'!G17*1000</f>
        <v>159.81238528991912</v>
      </c>
      <c r="K17" s="147">
        <v>57.24124513618677</v>
      </c>
      <c r="N17" t="s">
        <v>70</v>
      </c>
      <c r="O17">
        <f t="shared" si="0"/>
        <v>0</v>
      </c>
      <c r="P17">
        <f t="shared" si="1"/>
        <v>0</v>
      </c>
      <c r="Q17">
        <f t="shared" si="2"/>
        <v>0</v>
      </c>
      <c r="R17">
        <f t="shared" si="3"/>
        <v>0</v>
      </c>
    </row>
    <row r="18" spans="1:18" x14ac:dyDescent="0.3">
      <c r="A18" s="150" t="s">
        <v>28</v>
      </c>
      <c r="B18" s="151">
        <v>287</v>
      </c>
      <c r="C18" s="162">
        <f>IFERROR(VLOOKUP($A18,'спортивные сооружния'!A20:G128,7,FALSE)/'Экономические факторы'!G18*100,0)</f>
        <v>0.67362748400134731</v>
      </c>
      <c r="D18" s="162">
        <f>VLOOKUP($A18,библиотеки!A20:N132,14,FALSE)/'Экономические факторы'!G18*1000</f>
        <v>379.75749410575952</v>
      </c>
      <c r="E18" s="151">
        <f>VLOOKUP($A18,Газеты!$A$3:$G$111,7,FALSE)</f>
        <v>509</v>
      </c>
      <c r="F18" s="162">
        <f>'Культурные факторы'!F18/'Экономические факторы'!G18*1000</f>
        <v>38.733580330077466</v>
      </c>
      <c r="G18" s="163">
        <f>'Экономические факторы'!B18/'Экономические факторы'!G18*100</f>
        <v>50.412596833950829</v>
      </c>
      <c r="H18" s="147">
        <v>46684</v>
      </c>
      <c r="I18" s="164">
        <v>629841.69754125969</v>
      </c>
      <c r="J18" s="147">
        <f>'Экономические факторы'!F18/'Экономические факторы'!G18*1000</f>
        <v>114.34826540922872</v>
      </c>
      <c r="K18" s="147">
        <v>32.806629834254139</v>
      </c>
      <c r="N18" t="s">
        <v>86</v>
      </c>
      <c r="O18">
        <f t="shared" si="0"/>
        <v>0</v>
      </c>
      <c r="P18">
        <f t="shared" si="1"/>
        <v>0</v>
      </c>
      <c r="Q18">
        <f t="shared" si="2"/>
        <v>1</v>
      </c>
      <c r="R18">
        <f t="shared" si="3"/>
        <v>1</v>
      </c>
    </row>
    <row r="19" spans="1:18" x14ac:dyDescent="0.3">
      <c r="A19" s="150" t="s">
        <v>31</v>
      </c>
      <c r="B19" s="151">
        <v>538</v>
      </c>
      <c r="C19" s="162">
        <f>IFERROR(VLOOKUP($A19,'спортивные сооружния'!A21:G129,7,FALSE)/'Экономические факторы'!G19*100,0)</f>
        <v>0.22053567354636572</v>
      </c>
      <c r="D19" s="162">
        <f>VLOOKUP($A19,библиотеки!A21:N133,14,FALSE)/'Экономические факторы'!G19*1000</f>
        <v>108.82294787753428</v>
      </c>
      <c r="E19" s="151">
        <f>VLOOKUP($A19,Газеты!$A$3:$G$111,7,FALSE)</f>
        <v>2383</v>
      </c>
      <c r="F19" s="162">
        <f>'Культурные факторы'!F19/'Экономические факторы'!G19*1000</f>
        <v>8.3651462379655983E-2</v>
      </c>
      <c r="G19" s="163">
        <f>'Экономические факторы'!B19/'Экономические факторы'!G19*100</f>
        <v>65.530274224703049</v>
      </c>
      <c r="H19" s="147">
        <v>117103</v>
      </c>
      <c r="I19" s="164">
        <v>2167865.6709607751</v>
      </c>
      <c r="J19" s="147">
        <f>'Экономические факторы'!F19/'Экономические факторы'!G19*1000</f>
        <v>513.86332871982847</v>
      </c>
      <c r="K19" s="147">
        <v>5057.6153846153838</v>
      </c>
      <c r="N19" t="s">
        <v>98</v>
      </c>
      <c r="O19">
        <f t="shared" si="0"/>
        <v>0</v>
      </c>
      <c r="P19">
        <f t="shared" si="1"/>
        <v>0</v>
      </c>
      <c r="Q19">
        <f t="shared" si="2"/>
        <v>0</v>
      </c>
      <c r="R19">
        <f t="shared" si="3"/>
        <v>0</v>
      </c>
    </row>
    <row r="20" spans="1:18" x14ac:dyDescent="0.3">
      <c r="A20" s="150" t="s">
        <v>36</v>
      </c>
      <c r="B20" s="151">
        <v>375</v>
      </c>
      <c r="C20" s="162">
        <f>IFERROR(VLOOKUP($A20,'спортивные сооружния'!A22:G130,7,FALSE)/'Экономические факторы'!G20*100,0)</f>
        <v>0.57262836419163965</v>
      </c>
      <c r="D20" s="162">
        <f>VLOOKUP($A20,библиотеки!A22:N134,14,FALSE)/'Экономические факторы'!G20*1000</f>
        <v>318.76312273334605</v>
      </c>
      <c r="E20" s="151">
        <f>VLOOKUP($A20,Газеты!$A$3:$G$111,7,FALSE)</f>
        <v>564</v>
      </c>
      <c r="F20" s="162">
        <f>'Культурные факторы'!F20/'Экономические факторы'!G20*1000</f>
        <v>8.5894254628745941</v>
      </c>
      <c r="G20" s="163">
        <f>'Экономические факторы'!B20/'Экономические факторы'!G20*100</f>
        <v>44.874976140484826</v>
      </c>
      <c r="H20" s="147">
        <v>53068</v>
      </c>
      <c r="I20" s="164">
        <v>746325.63466310361</v>
      </c>
      <c r="J20" s="147">
        <f>'Экономические факторы'!F20/'Экономические факторы'!G20*1000</f>
        <v>197.74766176751288</v>
      </c>
      <c r="K20" s="147">
        <v>2.9024930747922437</v>
      </c>
      <c r="N20" t="s">
        <v>123</v>
      </c>
      <c r="O20">
        <f t="shared" si="0"/>
        <v>0</v>
      </c>
      <c r="P20">
        <f t="shared" si="1"/>
        <v>0</v>
      </c>
      <c r="Q20">
        <f t="shared" si="2"/>
        <v>0</v>
      </c>
      <c r="R20">
        <f t="shared" si="3"/>
        <v>0</v>
      </c>
    </row>
    <row r="21" spans="1:18" x14ac:dyDescent="0.3">
      <c r="A21" s="150" t="s">
        <v>38</v>
      </c>
      <c r="B21" s="151">
        <v>279</v>
      </c>
      <c r="C21" s="162">
        <f>IFERROR(VLOOKUP($A21,'спортивные сооружния'!A23:G131,7,FALSE)/'Экономические факторы'!G21*100,0)</f>
        <v>0.97141271162919796</v>
      </c>
      <c r="D21" s="162">
        <f>VLOOKUP($A21,библиотеки!A23:N135,14,FALSE)/'Экономические факторы'!G21*1000</f>
        <v>480.15542603386064</v>
      </c>
      <c r="E21" s="151">
        <f>VLOOKUP($A21,Газеты!$A$3:$G$111,7,FALSE)</f>
        <v>770</v>
      </c>
      <c r="F21" s="162">
        <f>'Культурные факторы'!F21/'Экономические факторы'!G21*1000</f>
        <v>40.105467665834027</v>
      </c>
      <c r="G21" s="163">
        <f>'Экономические факторы'!B21/'Экономические факторы'!G21*100</f>
        <v>46.572300860394115</v>
      </c>
      <c r="H21" s="147">
        <v>56152</v>
      </c>
      <c r="I21" s="164">
        <v>1354426.8665001388</v>
      </c>
      <c r="J21" s="147">
        <f>'Экономические факторы'!F21/'Экономические факторы'!G21*1000</f>
        <v>178.46239245073548</v>
      </c>
      <c r="K21" s="147">
        <v>1.7288867562380039</v>
      </c>
      <c r="N21" t="s">
        <v>1069</v>
      </c>
      <c r="O21">
        <f t="shared" si="0"/>
        <v>0</v>
      </c>
      <c r="P21">
        <f t="shared" si="1"/>
        <v>0</v>
      </c>
      <c r="Q21">
        <f t="shared" si="2"/>
        <v>0</v>
      </c>
      <c r="R21">
        <f t="shared" si="3"/>
        <v>0</v>
      </c>
    </row>
    <row r="22" spans="1:18" ht="22.8" x14ac:dyDescent="0.3">
      <c r="A22" s="150" t="s">
        <v>40</v>
      </c>
      <c r="B22" s="151">
        <v>256</v>
      </c>
      <c r="C22" s="162">
        <f>IFERROR(VLOOKUP($A22,'спортивные сооружния'!A24:G132,7,FALSE)/'Экономические факторы'!G22*100,0)</f>
        <v>0.70133253181043975</v>
      </c>
      <c r="D22" s="162">
        <f>VLOOKUP($A22,библиотеки!A24:N136,14,FALSE)/'Экономические факторы'!G22*1000</f>
        <v>424.80713355375212</v>
      </c>
      <c r="E22" s="151">
        <f>VLOOKUP($A22,Газеты!$A$3:$G$111,7,FALSE)</f>
        <v>1250</v>
      </c>
      <c r="F22" s="162">
        <f>'Культурные факторы'!F22/'Экономические факторы'!G22*1000</f>
        <v>31.760344654844204</v>
      </c>
      <c r="G22" s="163">
        <f>'Экономические факторы'!B22/'Экономические факторы'!G22*100</f>
        <v>46.137661556958221</v>
      </c>
      <c r="H22" s="147">
        <v>58967</v>
      </c>
      <c r="I22" s="164">
        <v>1190261.4968440034</v>
      </c>
      <c r="J22" s="147">
        <f>'Экономические факторы'!F22/'Экономические факторы'!G22*1000</f>
        <v>206.39214507564373</v>
      </c>
      <c r="K22" s="147">
        <v>1.6919816918121717</v>
      </c>
    </row>
    <row r="23" spans="1:18" ht="34.200000000000003" x14ac:dyDescent="0.3">
      <c r="A23" s="150" t="s">
        <v>45</v>
      </c>
      <c r="B23" s="151">
        <v>267</v>
      </c>
      <c r="C23" s="162">
        <f>IFERROR(VLOOKUP($A23,'спортивные сооружния'!A25:G133,7,FALSE)/'Экономические факторы'!G23*100,0)</f>
        <v>0.73229417303065181</v>
      </c>
      <c r="D23" s="162">
        <f>VLOOKUP($A23,библиотеки!A25:N137,14,FALSE)/'Экономические факторы'!G23*1000</f>
        <v>428.91515848938172</v>
      </c>
      <c r="E23" s="151">
        <f>VLOOKUP($A23,Газеты!$A$3:$G$111,7,FALSE)</f>
        <v>1250</v>
      </c>
      <c r="F23" s="162">
        <f>'Культурные факторы'!F23/'Экономические факторы'!G23*1000</f>
        <v>31.27942253373784</v>
      </c>
      <c r="G23" s="163">
        <f>'Экономические факторы'!B23/'Экономические факторы'!G23*100</f>
        <v>44.962862224082016</v>
      </c>
      <c r="H23" s="147">
        <v>55952</v>
      </c>
      <c r="I23" s="164">
        <v>732294.17303065176</v>
      </c>
      <c r="J23" s="147">
        <f>'Экономические факторы'!F23/'Экономические факторы'!G23*1000</f>
        <v>125.22230358824146</v>
      </c>
      <c r="K23" s="147">
        <v>2.3139675623335751</v>
      </c>
    </row>
    <row r="24" spans="1:18" x14ac:dyDescent="0.3">
      <c r="A24" s="150" t="s">
        <v>47</v>
      </c>
      <c r="B24" s="151">
        <v>264</v>
      </c>
      <c r="C24" s="162">
        <f>IFERROR(VLOOKUP($A24,'спортивные сооружния'!A26:G134,7,FALSE)/'Экономические факторы'!G24*100,0)</f>
        <v>0.98091671125378976</v>
      </c>
      <c r="D24" s="162">
        <f>VLOOKUP($A24,библиотеки!A26:N138,14,FALSE)/'Экономические факторы'!G24*1000</f>
        <v>497.59229534510428</v>
      </c>
      <c r="E24" s="151">
        <f>VLOOKUP($A24,Газеты!$A$3:$G$111,7,FALSE)</f>
        <v>1061</v>
      </c>
      <c r="F24" s="162">
        <f>'Культурные факторы'!F24/'Экономические факторы'!G24*1000</f>
        <v>29.516675584091313</v>
      </c>
      <c r="G24" s="163">
        <f>'Экономические факторы'!B24/'Экономические факторы'!G24*100</f>
        <v>44.872480827537004</v>
      </c>
      <c r="H24" s="147">
        <v>42708</v>
      </c>
      <c r="I24" s="164">
        <v>913144.28393080074</v>
      </c>
      <c r="J24" s="147">
        <f>'Экономические факторы'!F24/'Экономические факторы'!G24*1000</f>
        <v>150.52612805421793</v>
      </c>
      <c r="K24" s="147">
        <v>7.7605536332179934</v>
      </c>
    </row>
    <row r="25" spans="1:18" ht="22.8" x14ac:dyDescent="0.3">
      <c r="A25" s="150" t="s">
        <v>1064</v>
      </c>
      <c r="B25" s="151">
        <v>211</v>
      </c>
      <c r="C25" s="162">
        <f>IFERROR(VLOOKUP($A25,'спортивные сооружния'!A27:G135,7,FALSE)/'Экономические факторы'!G25*100,0)</f>
        <v>0.5803269174968565</v>
      </c>
      <c r="D25" s="162">
        <f>VLOOKUP($A25,библиотеки!A27:N139,14,FALSE)/'Экономические факторы'!G25*1000</f>
        <v>260.17990134442397</v>
      </c>
      <c r="E25" s="151">
        <f>VLOOKUP($A25,Газеты!$A$3:$G$111,7,FALSE)</f>
        <v>319</v>
      </c>
      <c r="F25" s="162">
        <f>'Культурные факторы'!F25/'Экономические факторы'!G25*1000</f>
        <v>44.588451494341811</v>
      </c>
      <c r="G25" s="163">
        <f>'Экономические факторы'!B25/'Экономические факторы'!G25*100</f>
        <v>50.227294709352933</v>
      </c>
      <c r="H25" s="147">
        <v>43543</v>
      </c>
      <c r="I25" s="164">
        <v>713802.10852113354</v>
      </c>
      <c r="J25" s="147">
        <f>'Экономические факторы'!F25/'Экономические факторы'!G25*1000</f>
        <v>189.57345971563979</v>
      </c>
      <c r="K25" s="147">
        <v>68.47019867549669</v>
      </c>
    </row>
    <row r="26" spans="1:18" ht="22.8" x14ac:dyDescent="0.3">
      <c r="A26" s="150" t="s">
        <v>51</v>
      </c>
      <c r="B26" s="151">
        <v>126</v>
      </c>
      <c r="C26" s="162">
        <f>IFERROR(VLOOKUP($A26,'спортивные сооружния'!A28:G136,7,FALSE)/'Экономические факторы'!G26*100,0)</f>
        <v>0.98241477551822376</v>
      </c>
      <c r="D26" s="162">
        <f>VLOOKUP($A26,библиотеки!A28:N140,14,FALSE)/'Экономические факторы'!G26*1000</f>
        <v>202.86865114451322</v>
      </c>
      <c r="E26" s="151">
        <f>VLOOKUP($A26,Газеты!$A$3:$G$111,7,FALSE)</f>
        <v>130</v>
      </c>
      <c r="F26" s="162">
        <f>'Культурные факторы'!F26/'Экономические факторы'!G26*1000</f>
        <v>29.718046959426268</v>
      </c>
      <c r="G26" s="163">
        <f>'Экономические факторы'!B26/'Экономические факторы'!G26*100</f>
        <v>44.282346006483934</v>
      </c>
      <c r="H26" s="147">
        <v>45989</v>
      </c>
      <c r="I26" s="164">
        <v>814421.84890460758</v>
      </c>
      <c r="J26" s="147">
        <f>'Экономические факторы'!F26/'Экономические факторы'!G26*1000</f>
        <v>336.77178504764714</v>
      </c>
      <c r="K26" s="147">
        <v>24.264600715137068</v>
      </c>
    </row>
    <row r="27" spans="1:18" x14ac:dyDescent="0.3">
      <c r="A27" s="150" t="s">
        <v>52</v>
      </c>
      <c r="B27" s="151">
        <v>214</v>
      </c>
      <c r="C27" s="162">
        <f>IFERROR(VLOOKUP($A27,'спортивные сооружния'!A29:G137,7,FALSE)/'Экономические факторы'!G27*100,0)</f>
        <v>0.91407678244972579</v>
      </c>
      <c r="D27" s="162">
        <f>VLOOKUP($A27,библиотеки!A29:N141,14,FALSE)/'Экономические факторы'!G27*1000</f>
        <v>612.4314442413164</v>
      </c>
      <c r="E27" s="151">
        <f>VLOOKUP($A27,Газеты!$A$3:$G$111,7,FALSE)</f>
        <v>837</v>
      </c>
      <c r="F27" s="162">
        <f>'Культурные факторы'!F27/'Экономические факторы'!G27*1000</f>
        <v>11.121267519804997</v>
      </c>
      <c r="G27" s="163">
        <f>'Экономические факторы'!B27/'Экономические факторы'!G27*100</f>
        <v>47.714808043875685</v>
      </c>
      <c r="H27" s="147">
        <v>75786</v>
      </c>
      <c r="I27" s="164">
        <v>1750457.038391225</v>
      </c>
      <c r="J27" s="147">
        <f>'Экономические факторы'!F27/'Экономические факторы'!G27*1000</f>
        <v>406.61182205971966</v>
      </c>
      <c r="K27" s="147">
        <v>4.5300207039337472</v>
      </c>
    </row>
    <row r="28" spans="1:18" x14ac:dyDescent="0.3">
      <c r="A28" s="150" t="s">
        <v>53</v>
      </c>
      <c r="B28" s="151">
        <v>115</v>
      </c>
      <c r="C28" s="162">
        <f>IFERROR(VLOOKUP($A28,'спортивные сооружния'!A30:G138,7,FALSE)/'Экономические факторы'!G28*100,0)</f>
        <v>0.3500175008750438</v>
      </c>
      <c r="D28" s="162">
        <f>VLOOKUP($A28,библиотеки!A30:N142,14,FALSE)/'Экономические факторы'!G28*1000</f>
        <v>581.02905145257262</v>
      </c>
      <c r="E28" s="151">
        <f>VLOOKUP($A28,Газеты!$A$3:$G$111,7,FALSE)</f>
        <v>717</v>
      </c>
      <c r="F28" s="162">
        <f>'Культурные факторы'!F28/'Экономические факторы'!G28*1000</f>
        <v>28.701435071753586</v>
      </c>
      <c r="G28" s="163">
        <f>'Экономические факторы'!B28/'Экономические факторы'!G28*100</f>
        <v>47.917395869793495</v>
      </c>
      <c r="H28" s="147">
        <v>38903</v>
      </c>
      <c r="I28" s="164">
        <v>666783.33916695835</v>
      </c>
      <c r="J28" s="147">
        <f>'Экономические факторы'!F28/'Экономические факторы'!G28*1000</f>
        <v>132.13160658032902</v>
      </c>
      <c r="K28" s="147">
        <v>10.48440366972477</v>
      </c>
    </row>
    <row r="29" spans="1:18" x14ac:dyDescent="0.3">
      <c r="A29" s="150" t="s">
        <v>55</v>
      </c>
      <c r="B29" s="151">
        <v>204</v>
      </c>
      <c r="C29" s="162">
        <f>IFERROR(VLOOKUP($A29,'спортивные сооружния'!A31:G139,7,FALSE)/'Экономические факторы'!G29*100,0)</f>
        <v>1.2046119428669764</v>
      </c>
      <c r="D29" s="162">
        <f>VLOOKUP($A29,библиотеки!A31:N143,14,FALSE)/'Экономические факторы'!G29*1000</f>
        <v>323.52435036998793</v>
      </c>
      <c r="E29" s="151">
        <f>VLOOKUP($A29,Газеты!$A$3:$G$111,7,FALSE)</f>
        <v>353</v>
      </c>
      <c r="F29" s="162">
        <f>'Культурные факторы'!F29/'Экономические факторы'!G29*1000</f>
        <v>20.650490449148165</v>
      </c>
      <c r="G29" s="163">
        <f>'Экономические факторы'!B29/'Экономические факторы'!G29*100</f>
        <v>49.079332300808808</v>
      </c>
      <c r="H29" s="147">
        <v>39898</v>
      </c>
      <c r="I29" s="164">
        <v>443985.54465668561</v>
      </c>
      <c r="J29" s="147">
        <f>'Экономические факторы'!F29/'Экономические факторы'!G29*1000</f>
        <v>81.91361211495439</v>
      </c>
      <c r="K29" s="147">
        <v>10.489169675090253</v>
      </c>
    </row>
    <row r="30" spans="1:18" x14ac:dyDescent="0.3">
      <c r="A30" s="150" t="s">
        <v>57</v>
      </c>
      <c r="B30" s="151">
        <v>822</v>
      </c>
      <c r="C30" s="162">
        <f>IFERROR(VLOOKUP($A30,'спортивные сооружния'!A32:G140,7,FALSE)/'Экономические факторы'!G30*100,0)</f>
        <v>0.16077744828325413</v>
      </c>
      <c r="D30" s="162">
        <f>VLOOKUP($A30,библиотеки!A32:N144,14,FALSE)/'Экономические факторы'!G30*1000</f>
        <v>169.88817035263853</v>
      </c>
      <c r="E30" s="151">
        <f>VLOOKUP($A30,Газеты!$A$3:$G$111,7,FALSE)</f>
        <v>1313</v>
      </c>
      <c r="F30" s="162">
        <f>'Культурные факторы'!F30/'Экономические факторы'!G30*1000</f>
        <v>6.2881846439672735</v>
      </c>
      <c r="G30" s="163">
        <f>'Экономические факторы'!B30/'Экономические факторы'!G30*100</f>
        <v>60.629175747615136</v>
      </c>
      <c r="H30" s="147">
        <v>72037</v>
      </c>
      <c r="I30" s="164">
        <v>1994712.2083675731</v>
      </c>
      <c r="J30" s="147">
        <f>'Экономические факторы'!F30/'Экономические факторы'!G30*1000</f>
        <v>213.5839079638429</v>
      </c>
      <c r="K30" s="147">
        <v>3998.428571428572</v>
      </c>
    </row>
    <row r="31" spans="1:18" x14ac:dyDescent="0.3">
      <c r="A31" s="150" t="s">
        <v>61</v>
      </c>
      <c r="B31" s="151">
        <v>181</v>
      </c>
      <c r="C31" s="162">
        <f>IFERROR(VLOOKUP($A31,'спортивные сооружния'!A33:G141,7,FALSE)/'Экономические факторы'!G31*100,0)</f>
        <v>0.59928086296444261</v>
      </c>
      <c r="D31" s="162">
        <f>VLOOKUP($A31,библиотеки!A33:N145,14,FALSE)/'Экономические факторы'!G31*1000</f>
        <v>359.56851777866564</v>
      </c>
      <c r="E31" s="151">
        <f>VLOOKUP($A31,Газеты!$A$3:$G$111,7,FALSE)</f>
        <v>186</v>
      </c>
      <c r="F31" s="162">
        <f>'Культурные факторы'!F31/'Экономические факторы'!G31*1000</f>
        <v>9.7882540950858967</v>
      </c>
      <c r="G31" s="163">
        <f>'Экономические факторы'!B31/'Экономические факторы'!G31*100</f>
        <v>31.302437075509388</v>
      </c>
      <c r="H31" s="147">
        <v>42684</v>
      </c>
      <c r="I31" s="164">
        <v>393527.76667998405</v>
      </c>
      <c r="J31" s="147">
        <f>'Экономические факторы'!F31/'Экономические факторы'!G31*1000</f>
        <v>123.05233719536555</v>
      </c>
      <c r="K31" s="147">
        <v>64.179487179487182</v>
      </c>
    </row>
    <row r="32" spans="1:18" x14ac:dyDescent="0.3">
      <c r="A32" s="150" t="s">
        <v>63</v>
      </c>
      <c r="B32" s="151">
        <v>228</v>
      </c>
      <c r="C32" s="162">
        <f>IFERROR(VLOOKUP($A32,'спортивные сооружния'!A34:G142,7,FALSE)/'Экономические факторы'!G32*100,0)</f>
        <v>1.5710919088766693</v>
      </c>
      <c r="D32" s="162">
        <f>VLOOKUP($A32,библиотеки!A34:N146,14,FALSE)/'Экономические факторы'!G32*1000</f>
        <v>259.75386226760935</v>
      </c>
      <c r="E32" s="151">
        <f>VLOOKUP($A32,Газеты!$A$3:$G$111,7,FALSE)</f>
        <v>136</v>
      </c>
      <c r="F32" s="162">
        <f>'Культурные факторы'!F32/'Экономические факторы'!G32*1000</f>
        <v>35.454307410316844</v>
      </c>
      <c r="G32" s="163">
        <f>'Экономические факторы'!B32/'Экономические факторы'!G32*100</f>
        <v>46.640481801518725</v>
      </c>
      <c r="H32" s="147">
        <v>32875</v>
      </c>
      <c r="I32" s="164">
        <v>343545.43074103165</v>
      </c>
      <c r="J32" s="147">
        <f>'Экономические факторы'!F32/'Экономические факторы'!G32*1000</f>
        <v>142.0790782927468</v>
      </c>
      <c r="K32" s="147">
        <v>73.160919540229884</v>
      </c>
    </row>
    <row r="33" spans="1:11" x14ac:dyDescent="0.3">
      <c r="A33" s="150" t="s">
        <v>65</v>
      </c>
      <c r="B33" s="151">
        <v>103</v>
      </c>
      <c r="C33" s="162">
        <f>IFERROR(VLOOKUP($A33,'спортивные сооружния'!A35:G143,7,FALSE)/'Экономические факторы'!G33*100,0)</f>
        <v>1.4057946168352478</v>
      </c>
      <c r="D33" s="162">
        <f>VLOOKUP($A33,библиотеки!A35:N147,14,FALSE)/'Экономические факторы'!G33*1000</f>
        <v>263.84364820846906</v>
      </c>
      <c r="E33" s="151">
        <f>VLOOKUP($A33,Газеты!$A$3:$G$111,7,FALSE)</f>
        <v>230</v>
      </c>
      <c r="F33" s="162">
        <f>'Культурные факторы'!F33/'Экономические факторы'!G33*1000</f>
        <v>32.813303617349561</v>
      </c>
      <c r="G33" s="163">
        <f>'Экономические факторы'!B33/'Экономические факторы'!G33*100</f>
        <v>49.854277387279275</v>
      </c>
      <c r="H33" s="147">
        <v>54627</v>
      </c>
      <c r="I33" s="164">
        <v>737870.73547059833</v>
      </c>
      <c r="J33" s="147">
        <f>'Экономические факторы'!F33/'Экономические факторы'!G33*1000</f>
        <v>147.53985942053833</v>
      </c>
      <c r="K33" s="147">
        <v>77.258278145695371</v>
      </c>
    </row>
    <row r="34" spans="1:11" x14ac:dyDescent="0.3">
      <c r="A34" s="150" t="s">
        <v>66</v>
      </c>
      <c r="B34" s="151">
        <v>283</v>
      </c>
      <c r="C34" s="162">
        <f>IFERROR(VLOOKUP($A34,'спортивные сооружния'!A36:G144,7,FALSE)/'Экономические факторы'!G34*100,0)</f>
        <v>0.84530853761623004</v>
      </c>
      <c r="D34" s="162">
        <f>VLOOKUP($A34,библиотеки!A36:N148,14,FALSE)/'Экономические факторы'!G34*1000</f>
        <v>427.93744716821641</v>
      </c>
      <c r="E34" s="151">
        <f>VLOOKUP($A34,Газеты!$A$3:$G$111,7,FALSE)</f>
        <v>104</v>
      </c>
      <c r="F34" s="162">
        <f>'Культурные факторы'!F34/'Экономические факторы'!G34*1000</f>
        <v>14.792899408284025</v>
      </c>
      <c r="G34" s="163">
        <f>'Экономические факторы'!B34/'Экономические факторы'!G34*100</f>
        <v>49.323753169907022</v>
      </c>
      <c r="H34" s="147">
        <v>36593</v>
      </c>
      <c r="I34" s="164">
        <v>808326.28909551993</v>
      </c>
      <c r="J34" s="147">
        <f>'Экономические факторы'!F34/'Экономические факторы'!G34*1000</f>
        <v>92.455621301775153</v>
      </c>
      <c r="K34" s="147">
        <v>19.314285714285713</v>
      </c>
    </row>
    <row r="35" spans="1:11" ht="22.8" x14ac:dyDescent="0.3">
      <c r="A35" s="150" t="s">
        <v>67</v>
      </c>
      <c r="B35" s="151">
        <v>214</v>
      </c>
      <c r="C35" s="162">
        <f>IFERROR(VLOOKUP($A35,'спортивные сооружния'!A37:G145,7,FALSE)/'Экономические факторы'!G35*100,0)</f>
        <v>1.4263009902604018</v>
      </c>
      <c r="D35" s="162">
        <f>VLOOKUP($A35,библиотеки!A37:N149,14,FALSE)/'Экономические факторы'!G35*1000</f>
        <v>301.15326622926767</v>
      </c>
      <c r="E35" s="151">
        <f>VLOOKUP($A35,Газеты!$A$3:$G$111,7,FALSE)</f>
        <v>156</v>
      </c>
      <c r="F35" s="162">
        <f>'Культурные факторы'!F35/'Экономические факторы'!G35*1000</f>
        <v>31.908390724968413</v>
      </c>
      <c r="G35" s="163">
        <f>'Экономические факторы'!B35/'Экономические факторы'!G35*100</f>
        <v>48.090794245894287</v>
      </c>
      <c r="H35" s="147">
        <v>35575</v>
      </c>
      <c r="I35" s="164">
        <v>496352.74461061979</v>
      </c>
      <c r="J35" s="147">
        <f>'Экономические факторы'!F35/'Экономические факторы'!G35*1000</f>
        <v>118.74974530339458</v>
      </c>
      <c r="K35" s="147">
        <v>21.735163861824624</v>
      </c>
    </row>
    <row r="36" spans="1:11" x14ac:dyDescent="0.3">
      <c r="A36" s="150" t="s">
        <v>70</v>
      </c>
      <c r="B36" s="151">
        <v>204</v>
      </c>
      <c r="C36" s="162">
        <f>IFERROR(VLOOKUP($A36,'спортивные сооружния'!A38:G146,7,FALSE)/'Экономические факторы'!G36*100,0)</f>
        <v>1.3485851896447922</v>
      </c>
      <c r="D36" s="162">
        <f>VLOOKUP($A36,библиотеки!A38:N150,14,FALSE)/'Экономические факторы'!G36*1000</f>
        <v>416.61649608669478</v>
      </c>
      <c r="E36" s="151">
        <f>VLOOKUP($A36,Газеты!$A$3:$G$111,7,FALSE)</f>
        <v>310</v>
      </c>
      <c r="F36" s="162">
        <f>'Культурные факторы'!F36/'Экономические факторы'!G36*1000</f>
        <v>14.28055388320289</v>
      </c>
      <c r="G36" s="163">
        <f>'Экономические факторы'!B36/'Экономические факторы'!G36*100</f>
        <v>50.38169777242625</v>
      </c>
      <c r="H36" s="147">
        <v>46840</v>
      </c>
      <c r="I36" s="164">
        <v>560144.49127031909</v>
      </c>
      <c r="J36" s="147">
        <f>'Экономические факторы'!F36/'Экономические факторы'!G36*1000</f>
        <v>155.01505117399159</v>
      </c>
      <c r="K36" s="147">
        <v>41.113861386138616</v>
      </c>
    </row>
    <row r="37" spans="1:11" x14ac:dyDescent="0.3">
      <c r="A37" s="150" t="s">
        <v>71</v>
      </c>
      <c r="B37" s="151">
        <v>358</v>
      </c>
      <c r="C37" s="162">
        <f>IFERROR(VLOOKUP($A37,'спортивные сооружния'!A39:G147,7,FALSE)/'Экономические факторы'!G37*100,0)</f>
        <v>0.53437833986462413</v>
      </c>
      <c r="D37" s="162">
        <f>VLOOKUP($A37,библиотеки!A39:N151,14,FALSE)/'Экономические факторы'!G37*1000</f>
        <v>267.18916993231204</v>
      </c>
      <c r="E37" s="151">
        <f>VLOOKUP($A37,Газеты!$A$3:$G$111,7,FALSE)</f>
        <v>195</v>
      </c>
      <c r="F37" s="162">
        <f>'Культурные факторы'!F37/'Экономические факторы'!G37*1000</f>
        <v>8.5500534378339861</v>
      </c>
      <c r="G37" s="163">
        <f>'Экономические факторы'!B37/'Экономические факторы'!G37*100</f>
        <v>44.780904880655505</v>
      </c>
      <c r="H37" s="147">
        <v>39968</v>
      </c>
      <c r="I37" s="164">
        <v>409690.06056287856</v>
      </c>
      <c r="J37" s="147">
        <f>'Экономические факторы'!F37/'Экономические факторы'!G37*1000</f>
        <v>96.188101175632355</v>
      </c>
      <c r="K37" s="147">
        <v>623.77777777777771</v>
      </c>
    </row>
    <row r="38" spans="1:11" x14ac:dyDescent="0.3">
      <c r="A38" s="150" t="s">
        <v>74</v>
      </c>
      <c r="B38" s="151">
        <v>122</v>
      </c>
      <c r="C38" s="162">
        <f>IFERROR(VLOOKUP($A38,'спортивные сооружния'!A40:G148,7,FALSE)/'Экономические факторы'!G38*100,0)</f>
        <v>0.40220283398304557</v>
      </c>
      <c r="D38" s="162">
        <f>VLOOKUP($A38,библиотеки!A40:N152,14,FALSE)/'Экономические факторы'!G38*1000</f>
        <v>286.80155930944869</v>
      </c>
      <c r="E38" s="151">
        <f>VLOOKUP($A38,Газеты!$A$3:$G$111,7,FALSE)</f>
        <v>56</v>
      </c>
      <c r="F38" s="162">
        <f>'Культурные факторы'!F38/'Экономические факторы'!G38*1000</f>
        <v>8.1678113978095404</v>
      </c>
      <c r="G38" s="163">
        <f>'Экономические факторы'!B38/'Экономические факторы'!G38*100</f>
        <v>38.06076356661098</v>
      </c>
      <c r="H38" s="147">
        <v>39686</v>
      </c>
      <c r="I38" s="164">
        <v>282470.14417424664</v>
      </c>
      <c r="J38" s="147">
        <f>'Экономические факторы'!F38/'Экономические факторы'!G38*1000</f>
        <v>108.47101045727369</v>
      </c>
      <c r="K38" s="147">
        <v>64.258449304174945</v>
      </c>
    </row>
    <row r="39" spans="1:11" ht="34.200000000000003" x14ac:dyDescent="0.3">
      <c r="A39" s="152" t="s">
        <v>76</v>
      </c>
      <c r="B39" s="151">
        <v>210</v>
      </c>
      <c r="C39" s="162">
        <f>IFERROR(VLOOKUP($A39,'спортивные сооружния'!A41:G149,7,FALSE)/'Экономические факторы'!G39*100,0)</f>
        <v>1.2147984538928769</v>
      </c>
      <c r="D39" s="162">
        <f>VLOOKUP($A39,библиотеки!A41:N153,14,FALSE)/'Экономические факторы'!G39*1000</f>
        <v>278.29928216454999</v>
      </c>
      <c r="E39" s="151">
        <f>VLOOKUP($A39,Газеты!$A$3:$G$111,7,FALSE)</f>
        <v>49</v>
      </c>
      <c r="F39" s="162">
        <f>'Культурные факторы'!F39/'Экономические факторы'!G39*1000</f>
        <v>2.8713418001104363</v>
      </c>
      <c r="G39" s="163">
        <f>'Экономические факторы'!B39/'Экономические факторы'!G39*100</f>
        <v>42.628382109331859</v>
      </c>
      <c r="H39" s="147">
        <v>38948</v>
      </c>
      <c r="I39" s="164">
        <v>286029.81778023188</v>
      </c>
      <c r="J39" s="147">
        <f>'Экономические факторы'!F39/'Экономические факторы'!G39*1000</f>
        <v>75.427940364439536</v>
      </c>
      <c r="K39" s="147">
        <v>72.44</v>
      </c>
    </row>
    <row r="40" spans="1:11" ht="34.200000000000003" x14ac:dyDescent="0.3">
      <c r="A40" s="150" t="s">
        <v>77</v>
      </c>
      <c r="B40" s="151">
        <v>99</v>
      </c>
      <c r="C40" s="162">
        <f>IFERROR(VLOOKUP($A40,'спортивные сооружния'!A42:G150,7,FALSE)/'Экономические факторы'!G40*100,0)</f>
        <v>0.85415332052103354</v>
      </c>
      <c r="D40" s="162">
        <f>VLOOKUP($A40,библиотеки!A42:N154,14,FALSE)/'Экономические факторы'!G40*1000</f>
        <v>439.88896006833227</v>
      </c>
      <c r="E40" s="151">
        <f>VLOOKUP($A40,Газеты!$A$3:$G$111,7,FALSE)</f>
        <v>95</v>
      </c>
      <c r="F40" s="162">
        <f>'Культурные факторы'!F40/'Экономические факторы'!G40*1000</f>
        <v>14.093529788597053</v>
      </c>
      <c r="G40" s="163">
        <f>'Экономические факторы'!B40/'Экономические факторы'!G40*100</f>
        <v>40.145206064488576</v>
      </c>
      <c r="H40" s="147">
        <v>25619</v>
      </c>
      <c r="I40" s="164">
        <v>269058.29596412554</v>
      </c>
      <c r="J40" s="147">
        <f>'Экономические факторы'!F40/'Экономические факторы'!G40*1000</f>
        <v>61.712577407644666</v>
      </c>
      <c r="K40" s="147">
        <v>32.748251748251747</v>
      </c>
    </row>
    <row r="41" spans="1:11" ht="22.8" x14ac:dyDescent="0.3">
      <c r="A41" s="150" t="s">
        <v>1066</v>
      </c>
      <c r="B41" s="151">
        <v>317</v>
      </c>
      <c r="C41" s="162">
        <f>IFERROR(VLOOKUP($A41,'спортивные сооружния'!A43:G151,7,FALSE)/'Экономические факторы'!G41*100,0)</f>
        <v>1.7675651789659745</v>
      </c>
      <c r="D41" s="162">
        <f>VLOOKUP($A41,библиотеки!A43:N155,14,FALSE)/'Экономические факторы'!G41*1000</f>
        <v>194.43216968625717</v>
      </c>
      <c r="E41" s="151">
        <f>VLOOKUP($A41,Газеты!$A$3:$G$111,7,FALSE)</f>
        <v>85</v>
      </c>
      <c r="F41" s="162">
        <f>'Культурные факторы'!F41/'Экономические факторы'!G41*1000</f>
        <v>24.304021210782146</v>
      </c>
      <c r="G41" s="163">
        <f>'Экономические факторы'!B41/'Экономические факторы'!G41*100</f>
        <v>40.388864339372518</v>
      </c>
      <c r="H41" s="147">
        <v>35276</v>
      </c>
      <c r="I41" s="164">
        <v>318161.7322138754</v>
      </c>
      <c r="J41" s="147">
        <f>'Экономические факторы'!F41/'Экономические факторы'!G41*1000</f>
        <v>64.074237737516569</v>
      </c>
      <c r="K41" s="147">
        <v>84.862499999999997</v>
      </c>
    </row>
    <row r="42" spans="1:11" ht="22.8" x14ac:dyDescent="0.3">
      <c r="A42" s="150" t="s">
        <v>78</v>
      </c>
      <c r="B42" s="151">
        <v>154</v>
      </c>
      <c r="C42" s="162">
        <f>IFERROR(VLOOKUP($A42,'спортивные сооружния'!A44:G152,7,FALSE)/'Экономические факторы'!G42*100,0)</f>
        <v>0.83714340910554452</v>
      </c>
      <c r="D42" s="162">
        <f>VLOOKUP($A42,библиотеки!A44:N156,14,FALSE)/'Экономические факторы'!G42*1000</f>
        <v>227.96058986412518</v>
      </c>
      <c r="E42" s="151">
        <f>VLOOKUP($A42,Газеты!$A$3:$G$111,7,FALSE)</f>
        <v>28</v>
      </c>
      <c r="F42" s="162">
        <f>'Культурные факторы'!F42/'Экономические факторы'!G42*1000</f>
        <v>5.7956082168845375</v>
      </c>
      <c r="G42" s="163">
        <f>'Экономические факторы'!B42/'Экономические факторы'!G42*100</f>
        <v>36.654002189451994</v>
      </c>
      <c r="H42" s="147">
        <v>35920</v>
      </c>
      <c r="I42" s="164">
        <v>202846.28759095885</v>
      </c>
      <c r="J42" s="147">
        <f>'Экономические факторы'!F42/'Экономические факторы'!G42*1000</f>
        <v>105.22248695988151</v>
      </c>
      <c r="K42" s="147">
        <v>95.85802469135804</v>
      </c>
    </row>
    <row r="43" spans="1:11" x14ac:dyDescent="0.3">
      <c r="A43" s="150" t="s">
        <v>79</v>
      </c>
      <c r="B43" s="151">
        <v>117</v>
      </c>
      <c r="C43" s="162">
        <f>IFERROR(VLOOKUP($A43,'спортивные сооружния'!A45:G153,7,FALSE)/'Экономические факторы'!G43*100,0)</f>
        <v>1.3859533626693463</v>
      </c>
      <c r="D43" s="162">
        <f>VLOOKUP($A43,библиотеки!A45:N157,14,FALSE)/'Экономические факторы'!G43*1000</f>
        <v>345.10238730466722</v>
      </c>
      <c r="E43" s="151">
        <f>VLOOKUP($A43,Газеты!$A$3:$G$111,7,FALSE)</f>
        <v>173</v>
      </c>
      <c r="F43" s="162">
        <f>'Культурные факторы'!F43/'Экономические факторы'!G43*1000</f>
        <v>27.060739406118984</v>
      </c>
      <c r="G43" s="163">
        <f>'Экономические факторы'!B43/'Экономические факторы'!G43*100</f>
        <v>46.581892519316732</v>
      </c>
      <c r="H43" s="147">
        <v>32930</v>
      </c>
      <c r="I43" s="164">
        <v>415786.00880080386</v>
      </c>
      <c r="J43" s="147">
        <f>'Экономические факторы'!F43/'Экономические факторы'!G43*1000</f>
        <v>115.96964762135754</v>
      </c>
      <c r="K43" s="147">
        <v>43.596676737160116</v>
      </c>
    </row>
    <row r="44" spans="1:11" ht="22.8" x14ac:dyDescent="0.3">
      <c r="A44" s="150" t="s">
        <v>81</v>
      </c>
      <c r="B44" s="151">
        <v>257</v>
      </c>
      <c r="C44" s="162">
        <f>IFERROR(VLOOKUP($A44,'спортивные сооружния'!A46:G154,7,FALSE)/'Экономические факторы'!G44*100,0)</f>
        <v>0.61511207341977703</v>
      </c>
      <c r="D44" s="162">
        <f>VLOOKUP($A44,библиотеки!A46:N158,14,FALSE)/'Экономические факторы'!G44*1000</f>
        <v>587.30900770120309</v>
      </c>
      <c r="E44" s="151">
        <f>VLOOKUP($A44,Газеты!$A$3:$G$111,7,FALSE)</f>
        <v>278</v>
      </c>
      <c r="F44" s="162">
        <f>'Культурные факторы'!F44/'Экономические факторы'!G44*1000</f>
        <v>42.984031690574021</v>
      </c>
      <c r="G44" s="163">
        <f>'Экономические факторы'!B44/'Экономические факторы'!G44*100</f>
        <v>42.565755480648569</v>
      </c>
      <c r="H44" s="147">
        <v>40022</v>
      </c>
      <c r="I44" s="164">
        <v>551878.55227222398</v>
      </c>
      <c r="J44" s="147">
        <f>'Экономические факторы'!F44/'Экономические факторы'!G44*1000</f>
        <v>152.5477942081047</v>
      </c>
      <c r="K44" s="147">
        <v>28.441567529741079</v>
      </c>
    </row>
    <row r="45" spans="1:11" x14ac:dyDescent="0.3">
      <c r="A45" s="150" t="s">
        <v>82</v>
      </c>
      <c r="B45" s="151">
        <v>561</v>
      </c>
      <c r="C45" s="162">
        <f>IFERROR(VLOOKUP($A45,'спортивные сооружния'!A47:G155,7,FALSE)/'Экономические факторы'!G45*100,0)</f>
        <v>1.1943863839952225</v>
      </c>
      <c r="D45" s="162">
        <f>VLOOKUP($A45,библиотеки!A47:N159,14,FALSE)/'Экономические факторы'!G45*1000</f>
        <v>473.27560465810694</v>
      </c>
      <c r="E45" s="151">
        <f>VLOOKUP($A45,Газеты!$A$3:$G$111,7,FALSE)</f>
        <v>1618</v>
      </c>
      <c r="F45" s="162">
        <f>'Культурные факторы'!F45/'Экономические факторы'!G45*1000</f>
        <v>32.994923857868024</v>
      </c>
      <c r="G45" s="163">
        <f>'Экономические факторы'!B45/'Экономические факторы'!G45*100</f>
        <v>41.90803224843237</v>
      </c>
      <c r="H45" s="147">
        <v>31013</v>
      </c>
      <c r="I45" s="164">
        <v>391161.54075843544</v>
      </c>
      <c r="J45" s="147">
        <f>'Экономические факторы'!F45/'Экономические факторы'!G45*1000</f>
        <v>77.933711555688276</v>
      </c>
      <c r="K45" s="147">
        <v>28.623931623931625</v>
      </c>
    </row>
    <row r="46" spans="1:11" x14ac:dyDescent="0.3">
      <c r="A46" s="150" t="s">
        <v>83</v>
      </c>
      <c r="B46" s="151">
        <v>324</v>
      </c>
      <c r="C46" s="162">
        <f>IFERROR(VLOOKUP($A46,'спортивные сооружния'!A48:G156,7,FALSE)/'Экономические факторы'!G46*100,0)</f>
        <v>0.78339208773991387</v>
      </c>
      <c r="D46" s="162">
        <f>VLOOKUP($A46,библиотеки!A48:N160,14,FALSE)/'Экономические факторы'!G46*1000</f>
        <v>531.40096618357495</v>
      </c>
      <c r="E46" s="151">
        <f>VLOOKUP($A46,Газеты!$A$3:$G$111,7,FALSE)</f>
        <v>225</v>
      </c>
      <c r="F46" s="162">
        <f>'Культурные факторы'!F46/'Экономические факторы'!G46*1000</f>
        <v>30.813422117769946</v>
      </c>
      <c r="G46" s="163">
        <f>'Экономические факторы'!B46/'Экономические факторы'!G46*100</f>
        <v>48.217783000391698</v>
      </c>
      <c r="H46" s="147">
        <v>30647</v>
      </c>
      <c r="I46" s="164">
        <v>447839.1434913174</v>
      </c>
      <c r="J46" s="147">
        <f>'Экономические факторы'!F46/'Экономические факторы'!G46*1000</f>
        <v>96.748922835879355</v>
      </c>
      <c r="K46" s="147">
        <v>29.344827586206893</v>
      </c>
    </row>
    <row r="47" spans="1:11" x14ac:dyDescent="0.3">
      <c r="A47" s="150" t="s">
        <v>84</v>
      </c>
      <c r="B47" s="151">
        <v>341</v>
      </c>
      <c r="C47" s="162">
        <f>IFERROR(VLOOKUP($A47,'спортивные сооружния'!A49:G157,7,FALSE)/'Экономические факторы'!G47*100,0)</f>
        <v>1.1491381463902073</v>
      </c>
      <c r="D47" s="162">
        <f>VLOOKUP($A47,библиотеки!A49:N161,14,FALSE)/'Экономические факторы'!G47*1000</f>
        <v>444.91631276542591</v>
      </c>
      <c r="E47" s="151">
        <f>VLOOKUP($A47,Газеты!$A$3:$G$111,7,FALSE)</f>
        <v>349</v>
      </c>
      <c r="F47" s="162">
        <f>'Культурные факторы'!F47/'Экономические факторы'!G47*1000</f>
        <v>36.722458156382714</v>
      </c>
      <c r="G47" s="163">
        <f>'Экономические факторы'!B47/'Экономические факторы'!G47*100</f>
        <v>50.874344241818633</v>
      </c>
      <c r="H47" s="147">
        <v>52524</v>
      </c>
      <c r="I47" s="164">
        <v>1043967.0247314514</v>
      </c>
      <c r="J47" s="147">
        <f>'Экономические факторы'!F47/'Экономические факторы'!G47*1000</f>
        <v>294.87884086934804</v>
      </c>
      <c r="K47" s="147">
        <v>59.041297935103245</v>
      </c>
    </row>
    <row r="48" spans="1:11" ht="22.8" x14ac:dyDescent="0.3">
      <c r="A48" s="150" t="s">
        <v>85</v>
      </c>
      <c r="B48" s="151">
        <v>312</v>
      </c>
      <c r="C48" s="162">
        <f>IFERROR(VLOOKUP($A48,'спортивные сооружния'!A50:G158,7,FALSE)/'Экономические факторы'!G48*100,0)</f>
        <v>1.7426460337376275</v>
      </c>
      <c r="D48" s="162">
        <f>VLOOKUP($A48,библиотеки!A50:N162,14,FALSE)/'Экономические факторы'!G48*1000</f>
        <v>443.32915098285241</v>
      </c>
      <c r="E48" s="151">
        <f>VLOOKUP($A48,Газеты!$A$3:$G$111,7,FALSE)</f>
        <v>520</v>
      </c>
      <c r="F48" s="162">
        <f>'Культурные факторы'!F48/'Экономические факторы'!G48*1000</f>
        <v>38.96556531437335</v>
      </c>
      <c r="G48" s="163">
        <f>'Экономические факторы'!B48/'Экономические факторы'!G48*100</f>
        <v>47.504530879687721</v>
      </c>
      <c r="H48" s="147">
        <v>38939</v>
      </c>
      <c r="I48" s="164">
        <v>673358.4274362193</v>
      </c>
      <c r="J48" s="147">
        <f>'Экономические факторы'!F48/'Экономические факторы'!G48*1000</f>
        <v>115.92081416422698</v>
      </c>
      <c r="K48" s="147">
        <v>34.076009501187642</v>
      </c>
    </row>
    <row r="49" spans="1:11" ht="22.8" x14ac:dyDescent="0.3">
      <c r="A49" s="150" t="s">
        <v>86</v>
      </c>
      <c r="B49" s="151">
        <v>388</v>
      </c>
      <c r="C49" s="162">
        <f>IFERROR(VLOOKUP($A49,'спортивные сооружния'!A51:G159,7,FALSE)/'Экономические факторы'!G49*100,0)</f>
        <v>1.0281895296032901</v>
      </c>
      <c r="D49" s="162">
        <f>VLOOKUP($A49,библиотеки!A51:N163,14,FALSE)/'Экономические факторы'!G49*1000</f>
        <v>704.30982777825375</v>
      </c>
      <c r="E49" s="151">
        <f>VLOOKUP($A49,Газеты!$A$3:$G$111,7,FALSE)</f>
        <v>509</v>
      </c>
      <c r="F49" s="162">
        <f>'Культурные факторы'!F49/'Экономические факторы'!G49*1000</f>
        <v>27.332704995287468</v>
      </c>
      <c r="G49" s="163">
        <f>'Экономические факторы'!B49/'Экономические факторы'!G49*100</f>
        <v>43.586667809099481</v>
      </c>
      <c r="H49" s="147">
        <v>34129</v>
      </c>
      <c r="I49" s="164">
        <v>429269.1286093737</v>
      </c>
      <c r="J49" s="147">
        <f>'Экономические факторы'!F49/'Экономические факторы'!G49*1000</f>
        <v>105.73215662753836</v>
      </c>
      <c r="K49" s="147">
        <v>63.775956284152997</v>
      </c>
    </row>
    <row r="50" spans="1:11" x14ac:dyDescent="0.3">
      <c r="A50" s="150" t="s">
        <v>87</v>
      </c>
      <c r="B50" s="151">
        <v>349</v>
      </c>
      <c r="C50" s="162">
        <f>IFERROR(VLOOKUP($A50,'спортивные сооружния'!A52:G160,7,FALSE)/'Экономические факторы'!G50*100,0)</f>
        <v>1.0018835410571874</v>
      </c>
      <c r="D50" s="162">
        <f>VLOOKUP($A50,библиотеки!A52:N164,14,FALSE)/'Экономические факторы'!G50*1000</f>
        <v>454.05362080711734</v>
      </c>
      <c r="E50" s="151">
        <f>VLOOKUP($A50,Газеты!$A$3:$G$111,7,FALSE)</f>
        <v>370</v>
      </c>
      <c r="F50" s="162">
        <f>'Культурные факторы'!F50/'Экономические факторы'!G50*1000</f>
        <v>39.113533442872601</v>
      </c>
      <c r="G50" s="163">
        <f>'Экономические факторы'!B50/'Экономические факторы'!G50*100</f>
        <v>45.910311385404547</v>
      </c>
      <c r="H50" s="147">
        <v>45639</v>
      </c>
      <c r="I50" s="164">
        <v>802709.09309501864</v>
      </c>
      <c r="J50" s="147">
        <f>'Экономические факторы'!F50/'Экономические факторы'!G50*1000</f>
        <v>192.92269466597202</v>
      </c>
      <c r="K50" s="147">
        <v>15.576154806491887</v>
      </c>
    </row>
    <row r="51" spans="1:11" x14ac:dyDescent="0.3">
      <c r="A51" s="150" t="s">
        <v>88</v>
      </c>
      <c r="B51" s="151">
        <v>236</v>
      </c>
      <c r="C51" s="162">
        <f>IFERROR(VLOOKUP($A51,'спортивные сооружния'!A53:G161,7,FALSE)/'Экономические факторы'!G51*100,0)</f>
        <v>2.1240817771484202</v>
      </c>
      <c r="D51" s="162">
        <f>VLOOKUP($A51,библиотеки!A53:N165,14,FALSE)/'Экономические факторы'!G51*1000</f>
        <v>734.57828126382867</v>
      </c>
      <c r="E51" s="151">
        <f>VLOOKUP($A51,Газеты!$A$3:$G$111,7,FALSE)</f>
        <v>605</v>
      </c>
      <c r="F51" s="162">
        <f>'Культурные факторы'!F51/'Экономические факторы'!G51*1000</f>
        <v>45.225241171785115</v>
      </c>
      <c r="G51" s="163">
        <f>'Экономические факторы'!B51/'Экономические факторы'!G51*100</f>
        <v>46.906805912027608</v>
      </c>
      <c r="H51" s="147">
        <v>38277</v>
      </c>
      <c r="I51" s="164">
        <v>491193.91096557211</v>
      </c>
      <c r="J51" s="147">
        <f>'Экономические факторы'!F51/'Экономические факторы'!G51*1000</f>
        <v>93.990618638817594</v>
      </c>
      <c r="K51" s="147">
        <v>9.3845514950166109</v>
      </c>
    </row>
    <row r="52" spans="1:11" ht="22.8" x14ac:dyDescent="0.3">
      <c r="A52" s="150" t="s">
        <v>89</v>
      </c>
      <c r="B52" s="151">
        <v>317</v>
      </c>
      <c r="C52" s="162">
        <f>IFERROR(VLOOKUP($A52,'спортивные сооружния'!A54:G162,7,FALSE)/'Экономические факторы'!G52*100,0)</f>
        <v>1.3724144691696891</v>
      </c>
      <c r="D52" s="162">
        <f>VLOOKUP($A52,библиотеки!A54:N166,14,FALSE)/'Экономические факторы'!G52*1000</f>
        <v>440.80645688331202</v>
      </c>
      <c r="E52" s="151">
        <f>VLOOKUP($A52,Газеты!$A$3:$G$111,7,FALSE)</f>
        <v>1201</v>
      </c>
      <c r="F52" s="162">
        <f>'Культурные факторы'!F52/'Экономические факторы'!G52*1000</f>
        <v>31.859621605724925</v>
      </c>
      <c r="G52" s="163">
        <f>'Экономические факторы'!B52/'Экономические факторы'!G52*100</f>
        <v>54.259386334673067</v>
      </c>
      <c r="H52" s="147">
        <v>50601</v>
      </c>
      <c r="I52" s="164">
        <v>747639.12034767831</v>
      </c>
      <c r="J52" s="147">
        <f>'Экономические факторы'!F52/'Экономические факторы'!G52*1000</f>
        <v>224.45511877920464</v>
      </c>
      <c r="K52" s="147">
        <v>39.951697127937344</v>
      </c>
    </row>
    <row r="53" spans="1:11" x14ac:dyDescent="0.3">
      <c r="A53" s="152" t="s">
        <v>90</v>
      </c>
      <c r="B53" s="151">
        <v>220</v>
      </c>
      <c r="C53" s="162">
        <f>IFERROR(VLOOKUP($A53,'спортивные сооружния'!A55:G163,7,FALSE)/'Экономические факторы'!G53*100,0)</f>
        <v>1.9139279269426368</v>
      </c>
      <c r="D53" s="162">
        <f>VLOOKUP($A53,библиотеки!A55:N167,14,FALSE)/'Экономические факторы'!G53*1000</f>
        <v>475.74779898288398</v>
      </c>
      <c r="E53" s="151">
        <f>VLOOKUP($A53,Газеты!$A$3:$G$111,7,FALSE)</f>
        <v>291</v>
      </c>
      <c r="F53" s="162">
        <f>'Культурные факторы'!F53/'Экономические факторы'!G53*1000</f>
        <v>33.630447859134904</v>
      </c>
      <c r="G53" s="163">
        <f>'Экономические факторы'!B53/'Экономические факторы'!G53*100</f>
        <v>46.388144583583966</v>
      </c>
      <c r="H53" s="147">
        <v>36756</v>
      </c>
      <c r="I53" s="164">
        <v>859080.22092196648</v>
      </c>
      <c r="J53" s="147">
        <f>'Экономические факторы'!F53/'Экономические факторы'!G53*1000</f>
        <v>160.44184393284846</v>
      </c>
      <c r="K53" s="147">
        <v>14.783346806790622</v>
      </c>
    </row>
    <row r="54" spans="1:11" x14ac:dyDescent="0.3">
      <c r="A54" s="152" t="s">
        <v>91</v>
      </c>
      <c r="B54" s="151">
        <v>175</v>
      </c>
      <c r="C54" s="162">
        <f>IFERROR(VLOOKUP($A54,'спортивные сооружния'!A56:G164,7,FALSE)/'Экономические факторы'!G54*100,0)</f>
        <v>2.0224900897985605</v>
      </c>
      <c r="D54" s="162">
        <f>VLOOKUP($A54,библиотеки!A56:N168,14,FALSE)/'Экономические факторы'!G54*1000</f>
        <v>491.86958983900979</v>
      </c>
      <c r="E54" s="151">
        <f>VLOOKUP($A54,Газеты!$A$3:$G$111,7,FALSE)</f>
        <v>455</v>
      </c>
      <c r="F54" s="162">
        <f>'Культурные факторы'!F54/'Экономические факторы'!G54*1000</f>
        <v>31.146347382897826</v>
      </c>
      <c r="G54" s="163">
        <f>'Экономические факторы'!B54/'Экономические факторы'!G54*100</f>
        <v>46.962219885122565</v>
      </c>
      <c r="H54" s="147">
        <v>36429</v>
      </c>
      <c r="I54" s="164">
        <v>479734.64930021844</v>
      </c>
      <c r="J54" s="147">
        <f>'Экономические факторы'!F54/'Экономические факторы'!G54*1000</f>
        <v>98.535717174985848</v>
      </c>
      <c r="K54" s="147">
        <v>28.481566820276498</v>
      </c>
    </row>
    <row r="55" spans="1:11" x14ac:dyDescent="0.3">
      <c r="A55" s="150" t="s">
        <v>92</v>
      </c>
      <c r="B55" s="151">
        <v>277</v>
      </c>
      <c r="C55" s="162">
        <f>IFERROR(VLOOKUP($A55,'спортивные сооружния'!A57:G165,7,FALSE)/'Экономические факторы'!G55*100,0)</f>
        <v>1.2468827930174562</v>
      </c>
      <c r="D55" s="162">
        <f>VLOOKUP($A55,библиотеки!A57:N169,14,FALSE)/'Экономические факторы'!G55*1000</f>
        <v>326.10780740456545</v>
      </c>
      <c r="E55" s="151">
        <f>VLOOKUP($A55,Газеты!$A$3:$G$111,7,FALSE)</f>
        <v>285</v>
      </c>
      <c r="F55" s="162">
        <f>'Культурные факторы'!F55/'Экономические факторы'!G55*1000</f>
        <v>29.893215678751837</v>
      </c>
      <c r="G55" s="163">
        <f>'Экономические факторы'!B55/'Экономические факторы'!G55*100</f>
        <v>52.634439542170206</v>
      </c>
      <c r="H55" s="147">
        <v>42701</v>
      </c>
      <c r="I55" s="164">
        <v>760278.79020397714</v>
      </c>
      <c r="J55" s="147">
        <f>'Экономические факторы'!F55/'Экономические факторы'!G55*1000</f>
        <v>165.1640130443123</v>
      </c>
      <c r="K55" s="147">
        <v>58.354477611940297</v>
      </c>
    </row>
    <row r="56" spans="1:11" x14ac:dyDescent="0.3">
      <c r="A56" s="150" t="s">
        <v>93</v>
      </c>
      <c r="B56" s="151">
        <v>266</v>
      </c>
      <c r="C56" s="162">
        <f>IFERROR(VLOOKUP($A56,'спортивные сооружния'!A58:G166,7,FALSE)/'Экономические факторы'!G56*100,0)</f>
        <v>1.0062049304041591</v>
      </c>
      <c r="D56" s="162">
        <f>VLOOKUP($A56,библиотеки!A58:N170,14,FALSE)/'Экономические факторы'!G56*1000</f>
        <v>384.03488177092072</v>
      </c>
      <c r="E56" s="151">
        <f>VLOOKUP($A56,Газеты!$A$3:$G$111,7,FALSE)</f>
        <v>405</v>
      </c>
      <c r="F56" s="162">
        <f>'Культурные факторы'!F56/'Экономические факторы'!G56*1000</f>
        <v>21.298004360221366</v>
      </c>
      <c r="G56" s="163">
        <f>'Экономические факторы'!B56/'Экономические факторы'!G56*100</f>
        <v>46.973000167700832</v>
      </c>
      <c r="H56" s="147">
        <v>33348</v>
      </c>
      <c r="I56" s="164">
        <v>500586.95287606912</v>
      </c>
      <c r="J56" s="147">
        <f>'Экономические факторы'!F56/'Экономические факторы'!G56*1000</f>
        <v>120.11571356699649</v>
      </c>
      <c r="K56" s="147">
        <v>23.569169960474305</v>
      </c>
    </row>
    <row r="57" spans="1:11" x14ac:dyDescent="0.3">
      <c r="A57" s="150" t="s">
        <v>94</v>
      </c>
      <c r="B57" s="151">
        <v>189</v>
      </c>
      <c r="C57" s="162">
        <f>IFERROR(VLOOKUP($A57,'спортивные сооружния'!A59:G167,7,FALSE)/'Экономические факторы'!G57*100,0)</f>
        <v>1.4495225102319238</v>
      </c>
      <c r="D57" s="162">
        <f>VLOOKUP($A57,библиотеки!A59:N171,14,FALSE)/'Экономические факторы'!G57*1000</f>
        <v>416.95088676671213</v>
      </c>
      <c r="E57" s="151">
        <f>VLOOKUP($A57,Газеты!$A$3:$G$111,7,FALSE)</f>
        <v>1143</v>
      </c>
      <c r="F57" s="162">
        <f>'Культурные факторы'!F57/'Экономические факторы'!G57*1000</f>
        <v>34.703274215552526</v>
      </c>
      <c r="G57" s="163">
        <f>'Экономические факторы'!B57/'Экономические факторы'!G57*100</f>
        <v>47.552864938608465</v>
      </c>
      <c r="H57" s="147">
        <v>35783</v>
      </c>
      <c r="I57" s="164">
        <v>502216.91678035475</v>
      </c>
      <c r="J57" s="147">
        <f>'Экономические факторы'!F57/'Экономические факторы'!G57*1000</f>
        <v>103.00136425648023</v>
      </c>
      <c r="K57" s="147">
        <v>31.526881720430104</v>
      </c>
    </row>
    <row r="58" spans="1:11" ht="22.8" x14ac:dyDescent="0.3">
      <c r="A58" s="153" t="s">
        <v>97</v>
      </c>
      <c r="B58" s="151">
        <v>325</v>
      </c>
      <c r="C58" s="162">
        <f>IFERROR(VLOOKUP($A58,'спортивные сооружния'!A60:G168,7,FALSE)/'Экономические факторы'!G58*100,0)</f>
        <v>1.065668884836716</v>
      </c>
      <c r="D58" s="162">
        <f>VLOOKUP($A58,библиотеки!A60:N172,14,FALSE)/'Экономические факторы'!G58*1000</f>
        <v>298.8609183697634</v>
      </c>
      <c r="E58" s="151">
        <f>VLOOKUP($A58,Газеты!$A$3:$G$111,7,FALSE)</f>
        <v>375</v>
      </c>
      <c r="F58" s="162">
        <f>'Культурные факторы'!F58/'Экономические факторы'!G58*1000</f>
        <v>8.6674402633386229</v>
      </c>
      <c r="G58" s="163">
        <f>'Экономические факторы'!B58/'Экономические факторы'!G58*100</f>
        <v>49.617543277997491</v>
      </c>
      <c r="H58" s="147">
        <v>53413</v>
      </c>
      <c r="I58" s="164">
        <v>821512.3025552372</v>
      </c>
      <c r="J58" s="147">
        <f>'Экономические факторы'!F58/'Экономические факторы'!G58*1000</f>
        <v>170.60174769697116</v>
      </c>
      <c r="K58" s="147">
        <v>21.744078269824922</v>
      </c>
    </row>
    <row r="59" spans="1:11" x14ac:dyDescent="0.3">
      <c r="A59" s="153" t="s">
        <v>98</v>
      </c>
      <c r="B59" s="151">
        <v>200</v>
      </c>
      <c r="C59" s="162">
        <f>IFERROR(VLOOKUP($A59,'спортивные сооружния'!A61:G169,7,FALSE)/'Экономические факторы'!G59*100,0)</f>
        <v>0.5654364141050684</v>
      </c>
      <c r="D59" s="162">
        <f>VLOOKUP($A59,библиотеки!A61:N173,14,FALSE)/'Экономические факторы'!G59*1000</f>
        <v>369.84681813508791</v>
      </c>
      <c r="E59" s="151">
        <f>VLOOKUP($A59,Газеты!$A$3:$G$111,7,FALSE)</f>
        <v>204</v>
      </c>
      <c r="F59" s="162">
        <f>'Культурные факторы'!F59/'Экономические факторы'!G59*1000</f>
        <v>46.314382646242414</v>
      </c>
      <c r="G59" s="163">
        <f>'Экономические факторы'!B59/'Экономические факторы'!G59*100</f>
        <v>58.049758404441242</v>
      </c>
      <c r="H59" s="147">
        <v>69341</v>
      </c>
      <c r="I59" s="164">
        <v>3588979.1302559883</v>
      </c>
      <c r="J59" s="147">
        <f>'Экономические факторы'!F59/'Экономические факторы'!G59*1000</f>
        <v>862.70175799321464</v>
      </c>
      <c r="K59" s="147">
        <v>2.6572872558393663</v>
      </c>
    </row>
    <row r="60" spans="1:11" ht="22.8" x14ac:dyDescent="0.3">
      <c r="A60" s="153" t="s">
        <v>1069</v>
      </c>
      <c r="B60" s="151">
        <v>162</v>
      </c>
      <c r="C60" s="162">
        <f>IFERROR(VLOOKUP($A60,'спортивные сооружния'!A62:G170,7,FALSE)/'Экономические факторы'!G60*100,0)</f>
        <v>0.22735023303398885</v>
      </c>
      <c r="D60" s="162">
        <f>VLOOKUP($A60,библиотеки!A62:N174,14,FALSE)/'Экономические факторы'!G60*1000</f>
        <v>259.17926565874728</v>
      </c>
      <c r="E60" s="151">
        <f>VLOOKUP($A60,Газеты!$A$3:$G$111,7,FALSE)</f>
        <v>222</v>
      </c>
      <c r="F60" s="162">
        <f>'Культурные факторы'!F60/'Экономические факторы'!G60*1000</f>
        <v>27.850403546663635</v>
      </c>
      <c r="G60" s="163">
        <f>'Экономические факторы'!B60/'Экономические факторы'!G60*100</f>
        <v>62.629305445038085</v>
      </c>
      <c r="H60" s="147">
        <v>72634</v>
      </c>
      <c r="I60" s="164">
        <v>3918949.6419233829</v>
      </c>
      <c r="J60" s="147">
        <f>'Экономические факторы'!F60/'Экономические факторы'!G60*1000</f>
        <v>882.57360463794464</v>
      </c>
      <c r="K60" s="147">
        <v>3.289827973074047</v>
      </c>
    </row>
    <row r="61" spans="1:11" ht="34.200000000000003" x14ac:dyDescent="0.3">
      <c r="A61" s="150" t="s">
        <v>922</v>
      </c>
      <c r="B61" s="151">
        <v>304</v>
      </c>
      <c r="C61" s="162">
        <f>IFERROR(VLOOKUP($A61,'спортивные сооружния'!A63:G171,7,FALSE)/'Экономические факторы'!G61*100,0)</f>
        <v>1.1142751021418844</v>
      </c>
      <c r="D61" s="162">
        <f>VLOOKUP($A61,библиотеки!A63:N175,14,FALSE)/'Экономические факторы'!G61*1000</f>
        <v>506.37612975114519</v>
      </c>
      <c r="E61" s="151">
        <f>VLOOKUP($A61,Газеты!$A$3:$G$111,7,FALSE)</f>
        <v>193</v>
      </c>
      <c r="F61" s="162">
        <f>'Культурные факторы'!F61/'Экономические факторы'!G61*1000</f>
        <v>62.461309892286735</v>
      </c>
      <c r="G61" s="163">
        <f>'Экономические факторы'!B61/'Экономические факторы'!G61*100</f>
        <v>46.26717840782468</v>
      </c>
      <c r="H61" s="147">
        <v>43350</v>
      </c>
      <c r="I61" s="164">
        <v>1064751.7642689117</v>
      </c>
      <c r="J61" s="147">
        <f>'Экономические факторы'!F61/'Экономические факторы'!G61*1000</f>
        <v>203.97424786430605</v>
      </c>
      <c r="K61" s="147">
        <v>10.089943785134292</v>
      </c>
    </row>
    <row r="62" spans="1:11" x14ac:dyDescent="0.3">
      <c r="A62" s="152" t="s">
        <v>103</v>
      </c>
      <c r="B62" s="151">
        <v>225</v>
      </c>
      <c r="C62" s="162">
        <f>IFERROR(VLOOKUP($A62,'спортивные сооружния'!A64:G172,7,FALSE)/'Экономические факторы'!G62*100,0)</f>
        <v>1.0895812474232875</v>
      </c>
      <c r="D62" s="162">
        <f>VLOOKUP($A62,библиотеки!A64:N176,14,FALSE)/'Экономические факторы'!G62*1000</f>
        <v>325.69644855409626</v>
      </c>
      <c r="E62" s="151">
        <f>VLOOKUP($A62,Газеты!$A$3:$G$111,7,FALSE)</f>
        <v>450</v>
      </c>
      <c r="F62" s="162">
        <f>'Культурные факторы'!F62/'Экономические факторы'!G62*1000</f>
        <v>41.256846692973674</v>
      </c>
      <c r="G62" s="163">
        <f>'Экономические факторы'!B62/'Экономические факторы'!G62*100</f>
        <v>52.603215737086984</v>
      </c>
      <c r="H62" s="147">
        <v>39703</v>
      </c>
      <c r="I62" s="164">
        <v>677307.26191177336</v>
      </c>
      <c r="J62" s="147">
        <f>'Экономические факторы'!F62/'Экономические факторы'!G62*1000</f>
        <v>131.36816066906178</v>
      </c>
      <c r="K62" s="147">
        <v>38.327313769751697</v>
      </c>
    </row>
    <row r="63" spans="1:11" x14ac:dyDescent="0.3">
      <c r="A63" s="150" t="s">
        <v>105</v>
      </c>
      <c r="B63" s="151">
        <v>135</v>
      </c>
      <c r="C63" s="162">
        <f>IFERROR(VLOOKUP($A63,'спортивные сооружния'!A65:G173,7,FALSE)/'Экономические факторы'!G63*100,0)</f>
        <v>3.795066413662239</v>
      </c>
      <c r="D63" s="162">
        <f>VLOOKUP($A63,библиотеки!A65:N177,14,FALSE)/'Экономические факторы'!G63*1000</f>
        <v>569.25996204933585</v>
      </c>
      <c r="E63" s="151">
        <f>VLOOKUP($A63,Газеты!$A$3:$G$111,7,FALSE)</f>
        <v>318</v>
      </c>
      <c r="F63" s="162">
        <f>'Культурные факторы'!F63/'Экономические факторы'!G63*1000</f>
        <v>47.438330170777981</v>
      </c>
      <c r="G63" s="163">
        <f>'Экономические факторы'!B63/'Экономические факторы'!G63*100</f>
        <v>38.187855787476281</v>
      </c>
      <c r="H63" s="147">
        <v>34817</v>
      </c>
      <c r="I63" s="164">
        <v>436432.63757115742</v>
      </c>
      <c r="J63" s="147">
        <f>'Экономические факторы'!F63/'Экономические факторы'!G63*1000</f>
        <v>231.02466793168881</v>
      </c>
      <c r="K63" s="147">
        <v>2.2691065662002154</v>
      </c>
    </row>
    <row r="64" spans="1:11" x14ac:dyDescent="0.3">
      <c r="A64" s="150" t="s">
        <v>106</v>
      </c>
      <c r="B64" s="151">
        <v>420</v>
      </c>
      <c r="C64" s="162">
        <f>IFERROR(VLOOKUP($A64,'спортивные сооружния'!A66:G174,7,FALSE)/'Экономические факторы'!G64*100,0)</f>
        <v>2.9629629629629632</v>
      </c>
      <c r="D64" s="162">
        <f>VLOOKUP($A64,библиотеки!A66:N178,14,FALSE)/'Экономические факторы'!G64*1000</f>
        <v>411.85185185185185</v>
      </c>
      <c r="E64" s="151">
        <f>VLOOKUP($A64,Газеты!$A$3:$G$111,7,FALSE)</f>
        <v>73</v>
      </c>
      <c r="F64" s="162">
        <f>'Культурные факторы'!F64/'Экономические факторы'!G64*1000</f>
        <v>49.481481481481481</v>
      </c>
      <c r="G64" s="163">
        <f>'Экономические факторы'!B64/'Экономические факторы'!G64*100</f>
        <v>33.274074074074072</v>
      </c>
      <c r="H64" s="147">
        <v>28934</v>
      </c>
      <c r="I64" s="164">
        <v>320000</v>
      </c>
      <c r="J64" s="147">
        <f>'Экономические факторы'!F64/'Экономические факторы'!G64*1000</f>
        <v>75.259259259259267</v>
      </c>
      <c r="K64" s="147">
        <v>2.0017793594306053</v>
      </c>
    </row>
    <row r="65" spans="1:11" x14ac:dyDescent="0.3">
      <c r="A65" s="150" t="s">
        <v>107</v>
      </c>
      <c r="B65" s="151">
        <v>258</v>
      </c>
      <c r="C65" s="162">
        <f>IFERROR(VLOOKUP($A65,'спортивные сооружния'!A67:G175,7,FALSE)/'Экономические факторы'!G65*100,0)</f>
        <v>3.9757667550170384</v>
      </c>
      <c r="D65" s="162">
        <f>VLOOKUP($A65,библиотеки!A67:N179,14,FALSE)/'Экономические факторы'!G65*1000</f>
        <v>350.24611889435818</v>
      </c>
      <c r="E65" s="151">
        <f>VLOOKUP($A65,Газеты!$A$3:$G$111,7,FALSE)</f>
        <v>788</v>
      </c>
      <c r="F65" s="162">
        <f>'Культурные факторы'!F65/'Экономические факторы'!G65*1000</f>
        <v>41.461567588034825</v>
      </c>
      <c r="G65" s="163">
        <f>'Экономические факторы'!B65/'Экономические факторы'!G65*100</f>
        <v>46.98977659977281</v>
      </c>
      <c r="H65" s="147">
        <v>34999</v>
      </c>
      <c r="I65" s="164">
        <v>660734.570238546</v>
      </c>
      <c r="J65" s="147">
        <f>'Экономические факторы'!F65/'Экономические факторы'!G65*1000</f>
        <v>113.40401363120029</v>
      </c>
      <c r="K65" s="147">
        <v>8.5746753246753258</v>
      </c>
    </row>
    <row r="66" spans="1:11" x14ac:dyDescent="0.3">
      <c r="A66" s="150" t="s">
        <v>108</v>
      </c>
      <c r="B66" s="151">
        <v>234</v>
      </c>
      <c r="C66" s="162">
        <f>IFERROR(VLOOKUP($A66,'спортивные сооружния'!A68:G176,7,FALSE)/'Экономические факторы'!G66*100,0)</f>
        <v>2.3164562946154206</v>
      </c>
      <c r="D66" s="162">
        <f>VLOOKUP($A66,библиотеки!A68:N180,14,FALSE)/'Экономические факторы'!G66*1000</f>
        <v>439.65394979435536</v>
      </c>
      <c r="E66" s="151">
        <f>VLOOKUP($A66,Газеты!$A$3:$G$111,7,FALSE)</f>
        <v>294</v>
      </c>
      <c r="F66" s="162">
        <f>'Культурные факторы'!F66/'Экономические факторы'!G66*1000</f>
        <v>46.234576655793504</v>
      </c>
      <c r="G66" s="163">
        <f>'Экономические факторы'!B66/'Экономические факторы'!G66*100</f>
        <v>50.007091192738621</v>
      </c>
      <c r="H66" s="147">
        <v>36431</v>
      </c>
      <c r="I66" s="164">
        <v>446745.14253297402</v>
      </c>
      <c r="J66" s="147">
        <f>'Экономические факторы'!F66/'Экономические факторы'!G66*1000</f>
        <v>85.047038245166164</v>
      </c>
      <c r="K66" s="147">
        <v>12.59107142857143</v>
      </c>
    </row>
    <row r="67" spans="1:11" x14ac:dyDescent="0.3">
      <c r="A67" s="150" t="s">
        <v>109</v>
      </c>
      <c r="B67" s="151">
        <v>385</v>
      </c>
      <c r="C67" s="162">
        <f>IFERROR(VLOOKUP($A67,'спортивные сооружния'!A69:G177,7,FALSE)/'Экономические факторы'!G67*100,0)</f>
        <v>0.56217279786374341</v>
      </c>
      <c r="D67" s="162">
        <f>VLOOKUP($A67,библиотеки!A69:N181,14,FALSE)/'Экономические факторы'!G67*1000</f>
        <v>466.95478022557188</v>
      </c>
      <c r="E67" s="151">
        <f>VLOOKUP($A67,Газеты!$A$3:$G$111,7,FALSE)</f>
        <v>314</v>
      </c>
      <c r="F67" s="162">
        <f>'Культурные факторы'!F67/'Экономические факторы'!G67*1000</f>
        <v>37.735849056603776</v>
      </c>
      <c r="G67" s="163">
        <f>'Экономические факторы'!B67/'Экономические факторы'!G67*100</f>
        <v>49.520396331822496</v>
      </c>
      <c r="H67" s="147">
        <v>50380</v>
      </c>
      <c r="I67" s="164">
        <v>1166157.1975686026</v>
      </c>
      <c r="J67" s="147">
        <f>'Экономические факторы'!F67/'Экономические факторы'!G67*1000</f>
        <v>325.49804996310746</v>
      </c>
      <c r="K67" s="147">
        <v>1.2025097177623794</v>
      </c>
    </row>
    <row r="68" spans="1:11" x14ac:dyDescent="0.3">
      <c r="A68" s="150" t="s">
        <v>110</v>
      </c>
      <c r="B68" s="151">
        <v>251</v>
      </c>
      <c r="C68" s="162">
        <f>IFERROR(VLOOKUP($A68,'спортивные сооружния'!A70:G178,7,FALSE)/'Экономические факторы'!G68*100,0)</f>
        <v>1.0298219266251878</v>
      </c>
      <c r="D68" s="162">
        <f>VLOOKUP($A68,библиотеки!A70:N182,14,FALSE)/'Экономические факторы'!G68*1000</f>
        <v>311.95022527354644</v>
      </c>
      <c r="E68" s="151">
        <f>VLOOKUP($A68,Газеты!$A$3:$G$111,7,FALSE)</f>
        <v>354</v>
      </c>
      <c r="F68" s="162">
        <f>'Культурные факторы'!F68/'Экономические факторы'!G68*1000</f>
        <v>34.284488307230205</v>
      </c>
      <c r="G68" s="163">
        <f>'Экономические факторы'!B68/'Экономические факторы'!G68*100</f>
        <v>46.929843381248659</v>
      </c>
      <c r="H68" s="147">
        <v>42483</v>
      </c>
      <c r="I68" s="164">
        <v>1011370.9504398198</v>
      </c>
      <c r="J68" s="147">
        <f>'Экономические факторы'!F68/'Экономические факторы'!G68*1000</f>
        <v>390.55996567260246</v>
      </c>
      <c r="K68" s="147">
        <v>3.0078729994837379</v>
      </c>
    </row>
    <row r="69" spans="1:11" x14ac:dyDescent="0.3">
      <c r="A69" s="150" t="s">
        <v>111</v>
      </c>
      <c r="B69" s="151">
        <v>178</v>
      </c>
      <c r="C69" s="162">
        <f>IFERROR(VLOOKUP($A69,'спортивные сооружния'!A71:G179,7,FALSE)/'Экономические факторы'!G69*100,0)</f>
        <v>1.0205283196608705</v>
      </c>
      <c r="D69" s="162">
        <f>VLOOKUP($A69,библиотеки!A71:N183,14,FALSE)/'Экономические факторы'!G69*1000</f>
        <v>388.58578325548535</v>
      </c>
      <c r="E69" s="151">
        <f>VLOOKUP($A69,Газеты!$A$3:$G$111,7,FALSE)</f>
        <v>122</v>
      </c>
      <c r="F69" s="162">
        <f>'Культурные факторы'!F69/'Экономические факторы'!G69*1000</f>
        <v>40.781881697217102</v>
      </c>
      <c r="G69" s="163">
        <f>'Экономические факторы'!B69/'Экономические факторы'!G69*100</f>
        <v>45.064175530870983</v>
      </c>
      <c r="H69" s="147">
        <v>39408</v>
      </c>
      <c r="I69" s="164">
        <v>859206.34297601762</v>
      </c>
      <c r="J69" s="147">
        <f>'Экономические факторы'!F69/'Экономические факторы'!G69*1000</f>
        <v>162.77426698590887</v>
      </c>
      <c r="K69" s="147">
        <v>26.621734587251826</v>
      </c>
    </row>
    <row r="70" spans="1:11" ht="22.8" x14ac:dyDescent="0.3">
      <c r="A70" s="150" t="s">
        <v>112</v>
      </c>
      <c r="B70" s="151">
        <v>394</v>
      </c>
      <c r="C70" s="162">
        <f>IFERROR(VLOOKUP($A70,'спортивные сооружния'!A72:G180,7,FALSE)/'Экономические факторы'!G70*100,0)</f>
        <v>0.86036924179960572</v>
      </c>
      <c r="D70" s="162">
        <f>VLOOKUP($A70,библиотеки!A72:N184,14,FALSE)/'Экономические факторы'!G70*1000</f>
        <v>311.88385015235701</v>
      </c>
      <c r="E70" s="151">
        <f>VLOOKUP($A70,Газеты!$A$3:$G$111,7,FALSE)</f>
        <v>363</v>
      </c>
      <c r="F70" s="162">
        <f>'Культурные факторы'!F70/'Экономические факторы'!G70*1000</f>
        <v>38.393977415307404</v>
      </c>
      <c r="G70" s="163">
        <f>'Экономические факторы'!B70/'Экономические факторы'!G70*100</f>
        <v>47.137479835095895</v>
      </c>
      <c r="H70" s="147">
        <v>49936</v>
      </c>
      <c r="I70" s="164">
        <v>695106.64993726485</v>
      </c>
      <c r="J70" s="147">
        <f>'Экономические факторы'!F70/'Экономические факторы'!G70*1000</f>
        <v>136.5836171356874</v>
      </c>
      <c r="K70" s="147">
        <v>15.688976377952756</v>
      </c>
    </row>
    <row r="71" spans="1:11" x14ac:dyDescent="0.3">
      <c r="A71" s="150" t="s">
        <v>113</v>
      </c>
      <c r="B71" s="151">
        <v>342</v>
      </c>
      <c r="C71" s="162">
        <f>IFERROR(VLOOKUP($A71,'спортивные сооружния'!A73:G181,7,FALSE)/'Экономические факторы'!G71*100,0)</f>
        <v>2.1450965293438209</v>
      </c>
      <c r="D71" s="162">
        <f>VLOOKUP($A71,библиотеки!A73:N185,14,FALSE)/'Экономические факторы'!G71*1000</f>
        <v>441.11985039326771</v>
      </c>
      <c r="E71" s="151">
        <f>VLOOKUP($A71,Газеты!$A$3:$G$111,7,FALSE)</f>
        <v>266</v>
      </c>
      <c r="F71" s="162">
        <f>'Культурные факторы'!F71/'Экономические факторы'!G71*1000</f>
        <v>36.961663274847375</v>
      </c>
      <c r="G71" s="163">
        <f>'Экономические факторы'!B71/'Экономические факторы'!G71*100</f>
        <v>45.971068698091415</v>
      </c>
      <c r="H71" s="147">
        <v>40804</v>
      </c>
      <c r="I71" s="164">
        <v>520873.43930476869</v>
      </c>
      <c r="J71" s="147">
        <f>'Экономические факторы'!F71/'Экономические факторы'!G71*1000</f>
        <v>114.40514823167044</v>
      </c>
      <c r="K71" s="147">
        <v>12.885187810063785</v>
      </c>
    </row>
    <row r="72" spans="1:11" x14ac:dyDescent="0.3">
      <c r="A72" s="150" t="s">
        <v>114</v>
      </c>
      <c r="B72" s="151">
        <v>278</v>
      </c>
      <c r="C72" s="162">
        <f>IFERROR(VLOOKUP($A72,'спортивные сооружния'!A74:G182,7,FALSE)/'Экономические факторы'!G72*100,0)</f>
        <v>1.3417672992141076</v>
      </c>
      <c r="D72" s="162">
        <f>VLOOKUP($A72,библиотеки!A74:N186,14,FALSE)/'Экономические факторы'!G72*1000</f>
        <v>415.94786275637335</v>
      </c>
      <c r="E72" s="151">
        <f>VLOOKUP($A72,Газеты!$A$3:$G$111,7,FALSE)</f>
        <v>416</v>
      </c>
      <c r="F72" s="162">
        <f>'Культурные факторы'!F72/'Экономические факторы'!G72*1000</f>
        <v>41.019743147402714</v>
      </c>
      <c r="G72" s="163">
        <f>'Экономические факторы'!B72/'Экономические факторы'!G72*100</f>
        <v>47.393137818669729</v>
      </c>
      <c r="H72" s="147">
        <v>41600</v>
      </c>
      <c r="I72" s="164">
        <v>775349.81790300924</v>
      </c>
      <c r="J72" s="147">
        <f>'Экономические факторы'!F72/'Экономические факторы'!G72*1000</f>
        <v>142.32317423806785</v>
      </c>
      <c r="K72" s="147">
        <v>3.3187022900763363</v>
      </c>
    </row>
    <row r="73" spans="1:11" x14ac:dyDescent="0.3">
      <c r="A73" s="152" t="s">
        <v>116</v>
      </c>
      <c r="B73" s="151">
        <v>263</v>
      </c>
      <c r="C73" s="162">
        <f>IFERROR(VLOOKUP($A73,'спортивные сооружния'!A75:G183,7,FALSE)/'Экономические факторы'!G73*100,0)</f>
        <v>1.9549336351476492</v>
      </c>
      <c r="D73" s="162">
        <f>VLOOKUP($A73,библиотеки!A75:N187,14,FALSE)/'Экономические факторы'!G73*1000</f>
        <v>496.96470830332339</v>
      </c>
      <c r="E73" s="151">
        <f>VLOOKUP($A73,Газеты!$A$3:$G$111,7,FALSE)</f>
        <v>342</v>
      </c>
      <c r="F73" s="162">
        <f>'Культурные факторы'!F73/'Экономические факторы'!G73*1000</f>
        <v>32.719415577734331</v>
      </c>
      <c r="G73" s="163">
        <f>'Экономические факторы'!B73/'Экономические факторы'!G73*100</f>
        <v>38.76942072229653</v>
      </c>
      <c r="H73" s="147">
        <v>38412</v>
      </c>
      <c r="I73" s="164">
        <v>459923.86047947319</v>
      </c>
      <c r="J73" s="147">
        <f>'Экономические факторы'!F73/'Экономические факторы'!G73*1000</f>
        <v>170.07922625784548</v>
      </c>
      <c r="K73" s="147">
        <v>2.7665812695701679</v>
      </c>
    </row>
    <row r="74" spans="1:11" ht="22.8" x14ac:dyDescent="0.3">
      <c r="A74" s="150" t="s">
        <v>117</v>
      </c>
      <c r="B74" s="151">
        <v>242</v>
      </c>
      <c r="C74" s="162">
        <f>IFERROR(VLOOKUP($A74,'спортивные сооружния'!A76:G184,7,FALSE)/'Экономические факторы'!G74*100,0)</f>
        <v>2.3959269242288106</v>
      </c>
      <c r="D74" s="162">
        <f>VLOOKUP($A74,библиотеки!A76:N188,14,FALSE)/'Экономические факторы'!G74*1000</f>
        <v>442.24817809723464</v>
      </c>
      <c r="E74" s="151">
        <f>VLOOKUP($A74,Газеты!$A$3:$G$111,7,FALSE)</f>
        <v>135</v>
      </c>
      <c r="F74" s="162">
        <f>'Культурные факторы'!F74/'Экономические факторы'!G74*1000</f>
        <v>34.441449535789154</v>
      </c>
      <c r="G74" s="163">
        <f>'Экономические факторы'!B74/'Экономические факторы'!G74*100</f>
        <v>52.580612957971454</v>
      </c>
      <c r="H74" s="147">
        <v>69031</v>
      </c>
      <c r="I74" s="164">
        <v>2021563.3423180594</v>
      </c>
      <c r="J74" s="147">
        <f>'Экономические факторы'!F74/'Экономические факторы'!G74*1000</f>
        <v>738.24498352800242</v>
      </c>
      <c r="K74" s="147">
        <v>0.32485811577752555</v>
      </c>
    </row>
    <row r="75" spans="1:11" x14ac:dyDescent="0.3">
      <c r="A75" s="150" t="s">
        <v>118</v>
      </c>
      <c r="B75" s="151">
        <v>276</v>
      </c>
      <c r="C75" s="162">
        <f>IFERROR(VLOOKUP($A75,'спортивные сооружния'!A77:G185,7,FALSE)/'Экономические факторы'!G75*100,0)</f>
        <v>1.2190166598943519</v>
      </c>
      <c r="D75" s="162">
        <f>VLOOKUP($A75,библиотеки!A77:N189,14,FALSE)/'Экономические факторы'!G75*1000</f>
        <v>473.38480292563997</v>
      </c>
      <c r="E75" s="151">
        <f>VLOOKUP($A75,Газеты!$A$3:$G$111,7,FALSE)</f>
        <v>163</v>
      </c>
      <c r="F75" s="162">
        <f>'Культурные факторы'!F75/'Экономические факторы'!G75*1000</f>
        <v>37.789516456724911</v>
      </c>
      <c r="G75" s="163">
        <f>'Экономические факторы'!B75/'Экономические факторы'!G75*100</f>
        <v>43.417310036570498</v>
      </c>
      <c r="H75" s="147">
        <v>42758</v>
      </c>
      <c r="I75" s="164">
        <v>555668.42746850871</v>
      </c>
      <c r="J75" s="147">
        <f>'Экономические факторы'!F75/'Экономические факторы'!G75*1000</f>
        <v>274.58350264120281</v>
      </c>
      <c r="K75" s="147">
        <v>2.2792313035424869</v>
      </c>
    </row>
    <row r="76" spans="1:11" x14ac:dyDescent="0.3">
      <c r="A76" s="150" t="s">
        <v>119</v>
      </c>
      <c r="B76" s="151">
        <v>271</v>
      </c>
      <c r="C76" s="162">
        <f>IFERROR(VLOOKUP($A76,'спортивные сооружния'!A78:G186,7,FALSE)/'Экономические факторы'!G76*100,0)</f>
        <v>0.34614053305642095</v>
      </c>
      <c r="D76" s="162">
        <f>VLOOKUP($A76,библиотеки!A78:N190,14,FALSE)/'Экономические факторы'!G76*1000</f>
        <v>526.13361024575977</v>
      </c>
      <c r="E76" s="151">
        <f>VLOOKUP($A76,Газеты!$A$3:$G$111,7,FALSE)</f>
        <v>487</v>
      </c>
      <c r="F76" s="162">
        <f>'Культурные факторы'!F76/'Экономические факторы'!G76*1000</f>
        <v>44.652128764278302</v>
      </c>
      <c r="G76" s="163">
        <f>'Экономические факторы'!B76/'Экономические факторы'!G76*100</f>
        <v>55.867082035306339</v>
      </c>
      <c r="H76" s="147">
        <v>87054</v>
      </c>
      <c r="I76" s="164">
        <v>1235721.7030114227</v>
      </c>
      <c r="J76" s="147">
        <f>'Экономические факторы'!F76/'Экономические факторы'!G76*1000</f>
        <v>443.7521633783316</v>
      </c>
      <c r="K76" s="147">
        <v>0.62222700839974143</v>
      </c>
    </row>
    <row r="77" spans="1:11" x14ac:dyDescent="0.3">
      <c r="A77" s="150" t="s">
        <v>120</v>
      </c>
      <c r="B77" s="151">
        <v>318</v>
      </c>
      <c r="C77" s="162">
        <f>IFERROR(VLOOKUP($A77,'спортивные сооружния'!A79:G187,7,FALSE)/'Экономические факторы'!G77*100,0)</f>
        <v>1.328609388839681</v>
      </c>
      <c r="D77" s="162">
        <f>VLOOKUP($A77,библиотеки!A79:N191,14,FALSE)/'Экономические факторы'!G77*1000</f>
        <v>293.95482728077945</v>
      </c>
      <c r="E77" s="151">
        <f>VLOOKUP($A77,Газеты!$A$3:$G$111,7,FALSE)</f>
        <v>150</v>
      </c>
      <c r="F77" s="162">
        <f>'Культурные факторы'!F77/'Экономические факторы'!G77*1000</f>
        <v>51.040744021257751</v>
      </c>
      <c r="G77" s="163">
        <f>'Экономические факторы'!B77/'Экономические факторы'!G77*100</f>
        <v>51.826837909654564</v>
      </c>
      <c r="H77" s="147">
        <v>54494</v>
      </c>
      <c r="I77" s="164">
        <v>851970.77059344552</v>
      </c>
      <c r="J77" s="147">
        <f>'Экономические факторы'!F77/'Экономические факторы'!G77*1000</f>
        <v>221.76705048715678</v>
      </c>
      <c r="K77" s="147">
        <v>10.96782027929569</v>
      </c>
    </row>
    <row r="78" spans="1:11" x14ac:dyDescent="0.3">
      <c r="A78" s="150" t="s">
        <v>121</v>
      </c>
      <c r="B78" s="151">
        <v>246</v>
      </c>
      <c r="C78" s="162">
        <f>IFERROR(VLOOKUP($A78,'спортивные сооружния'!A80:G188,7,FALSE)/'Экономические факторы'!G78*100,0)</f>
        <v>1.2518582270557859</v>
      </c>
      <c r="D78" s="162">
        <f>VLOOKUP($A78,библиотеки!A80:N192,14,FALSE)/'Экономические факторы'!G78*1000</f>
        <v>263.67263907362491</v>
      </c>
      <c r="E78" s="151">
        <f>VLOOKUP($A78,Газеты!$A$3:$G$111,7,FALSE)</f>
        <v>193</v>
      </c>
      <c r="F78" s="162">
        <f>'Культурные факторы'!F78/'Экономические факторы'!G78*1000</f>
        <v>31.531179093967612</v>
      </c>
      <c r="G78" s="163">
        <f>'Экономические факторы'!B78/'Экономические факторы'!G78*100</f>
        <v>53.18050230811361</v>
      </c>
      <c r="H78" s="147">
        <v>58092</v>
      </c>
      <c r="I78" s="164">
        <v>835615.36655973713</v>
      </c>
      <c r="J78" s="147">
        <f>'Экономические факторы'!F78/'Экономические факторы'!G78*1000</f>
        <v>327.59564979266099</v>
      </c>
      <c r="K78" s="147">
        <v>1.6227780599288977</v>
      </c>
    </row>
    <row r="79" spans="1:11" x14ac:dyDescent="0.3">
      <c r="A79" s="150" t="s">
        <v>122</v>
      </c>
      <c r="B79" s="151">
        <v>172</v>
      </c>
      <c r="C79" s="162">
        <f>IFERROR(VLOOKUP($A79,'спортивные сооружния'!A81:G189,7,FALSE)/'Экономические факторы'!G79*100,0)</f>
        <v>3.4662045060658579</v>
      </c>
      <c r="D79" s="162">
        <f>VLOOKUP($A79,библиотеки!A81:N193,14,FALSE)/'Экономические факторы'!G79*1000</f>
        <v>299.9600053326223</v>
      </c>
      <c r="E79" s="151">
        <f>VLOOKUP($A79,Газеты!$A$3:$G$111,7,FALSE)</f>
        <v>208</v>
      </c>
      <c r="F79" s="162">
        <f>'Культурные факторы'!F79/'Экономические факторы'!G79*1000</f>
        <v>26.26316491134515</v>
      </c>
      <c r="G79" s="163">
        <f>'Экономические факторы'!B79/'Экономические факторы'!G79*100</f>
        <v>53.312891614451395</v>
      </c>
      <c r="H79" s="147">
        <v>54055</v>
      </c>
      <c r="I79" s="164">
        <v>805225.96987068385</v>
      </c>
      <c r="J79" s="147">
        <f>'Экономические факторы'!F79/'Экономические факторы'!G79*1000</f>
        <v>1001.3331555792562</v>
      </c>
      <c r="K79" s="147">
        <v>2.0726720088422219</v>
      </c>
    </row>
    <row r="80" spans="1:11" x14ac:dyDescent="0.3">
      <c r="A80" s="150" t="s">
        <v>123</v>
      </c>
      <c r="B80" s="151">
        <v>350</v>
      </c>
      <c r="C80" s="162">
        <f>IFERROR(VLOOKUP($A80,'спортивные сооружния'!A82:G190,7,FALSE)/'Экономические факторы'!G80*100,0)</f>
        <v>0.7496251874062968</v>
      </c>
      <c r="D80" s="162">
        <f>VLOOKUP($A80,библиотеки!A82:N194,14,FALSE)/'Экономические факторы'!G80*1000</f>
        <v>562.21889055472263</v>
      </c>
      <c r="E80" s="151">
        <f>VLOOKUP($A80,Газеты!$A$3:$G$111,7,FALSE)</f>
        <v>280</v>
      </c>
      <c r="F80" s="162">
        <f>'Культурные факторы'!F80/'Экономические факторы'!G80*1000</f>
        <v>54.722638680659664</v>
      </c>
      <c r="G80" s="163">
        <f>'Экономические факторы'!B80/'Экономические факторы'!G80*100</f>
        <v>63.343328335832084</v>
      </c>
      <c r="H80" s="147">
        <v>111157</v>
      </c>
      <c r="I80" s="164">
        <v>2368815.5922038984</v>
      </c>
      <c r="J80" s="147">
        <f>'Экономические факторы'!F80/'Экономические факторы'!G80*1000</f>
        <v>727.88605697151422</v>
      </c>
      <c r="K80" s="147">
        <v>0.28843243243243244</v>
      </c>
    </row>
    <row r="81" spans="1:11" x14ac:dyDescent="0.3">
      <c r="A81" s="150" t="s">
        <v>124</v>
      </c>
      <c r="B81" s="151">
        <v>246</v>
      </c>
      <c r="C81" s="162">
        <f>IFERROR(VLOOKUP($A81,'спортивные сооружния'!A83:G191,7,FALSE)/'Экономические факторы'!G81*100,0)</f>
        <v>0.65559440559440563</v>
      </c>
      <c r="D81" s="162">
        <f>VLOOKUP($A81,библиотеки!A83:N195,14,FALSE)/'Экономические факторы'!G81*1000</f>
        <v>467.65734265734267</v>
      </c>
      <c r="E81" s="151">
        <f>VLOOKUP($A81,Газеты!$A$3:$G$111,7,FALSE)</f>
        <v>160</v>
      </c>
      <c r="F81" s="162">
        <f>'Культурные факторы'!F81/'Экономические факторы'!G81*1000</f>
        <v>59.659090909090907</v>
      </c>
      <c r="G81" s="163">
        <f>'Экономические факторы'!B81/'Экономические факторы'!G81*100</f>
        <v>61.210664335664333</v>
      </c>
      <c r="H81" s="147">
        <v>87902</v>
      </c>
      <c r="I81" s="164">
        <v>3343531.4685314684</v>
      </c>
      <c r="J81" s="147">
        <f>'Экономические факторы'!F81/'Экономические факторы'!G81*1000</f>
        <v>667.39510489510474</v>
      </c>
      <c r="K81" s="147">
        <v>5.253731343283583</v>
      </c>
    </row>
    <row r="82" spans="1:11" ht="22.8" x14ac:dyDescent="0.3">
      <c r="A82" s="150" t="s">
        <v>125</v>
      </c>
      <c r="B82" s="151">
        <v>138</v>
      </c>
      <c r="C82" s="162">
        <f>IFERROR(VLOOKUP($A82,'спортивные сооружния'!A84:G192,7,FALSE)/'Экономические факторы'!G82*100,0)</f>
        <v>1.3717421124828533</v>
      </c>
      <c r="D82" s="162">
        <f>VLOOKUP($A82,библиотеки!A84:N196,14,FALSE)/'Экономические факторы'!G82*1000</f>
        <v>384.08779149519887</v>
      </c>
      <c r="E82" s="151">
        <f>VLOOKUP($A82,Газеты!$A$3:$G$111,7,FALSE)</f>
        <v>173</v>
      </c>
      <c r="F82" s="162">
        <f>'Культурные факторы'!F82/'Экономические факторы'!G82*1000</f>
        <v>56.241426611796975</v>
      </c>
      <c r="G82" s="163">
        <f>'Экономические факторы'!B82/'Экономические факторы'!G82*100</f>
        <v>41.289437585733879</v>
      </c>
      <c r="H82" s="147">
        <v>43479</v>
      </c>
      <c r="I82" s="164">
        <v>555555.55555555539</v>
      </c>
      <c r="J82" s="147">
        <f>'Экономические факторы'!F82/'Экономические факторы'!G82*1000</f>
        <v>200.960219478738</v>
      </c>
      <c r="K82" s="147">
        <v>4.0165289256198351</v>
      </c>
    </row>
    <row r="83" spans="1:11" ht="22.8" x14ac:dyDescent="0.3">
      <c r="A83" s="152" t="s">
        <v>126</v>
      </c>
      <c r="B83" s="151">
        <v>0</v>
      </c>
      <c r="C83" s="162">
        <f>IFERROR(VLOOKUP($A83,'спортивные сооружния'!A85:G193,7,FALSE)/'Экономические факторы'!G83*100,0)</f>
        <v>0</v>
      </c>
      <c r="D83" s="162">
        <f>VLOOKUP($A83,библиотеки!A85:N197,14,FALSE)/'Экономические факторы'!G83*1000</f>
        <v>541.66666666666663</v>
      </c>
      <c r="E83" s="151">
        <f>VLOOKUP($A83,Газеты!$A$3:$G$111,7,FALSE)</f>
        <v>108</v>
      </c>
      <c r="F83" s="162">
        <f>'Культурные факторы'!F83/'Экономические факторы'!G83*1000</f>
        <v>87.500000000000014</v>
      </c>
      <c r="G83" s="163">
        <f>'Экономические факторы'!B83/'Экономические факторы'!G83*100</f>
        <v>66.666666666666657</v>
      </c>
      <c r="H83" s="147">
        <v>156988</v>
      </c>
      <c r="I83" s="164">
        <v>2937500</v>
      </c>
      <c r="J83" s="147">
        <f>'Экономические факторы'!F83/'Экономические факторы'!G83*1000</f>
        <v>1837.5000000000002</v>
      </c>
      <c r="K83" s="147">
        <v>6.6528066528066532E-2</v>
      </c>
    </row>
  </sheetData>
  <sortState xmlns:xlrd2="http://schemas.microsoft.com/office/spreadsheetml/2017/richdata2" ref="N7:R21">
    <sortCondition descending="1" ref="R7:R21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8123E-11ED-4403-AD91-E7C49C164751}">
  <dimension ref="A1:K80"/>
  <sheetViews>
    <sheetView topLeftCell="BE1" workbookViewId="0">
      <selection activeCell="G73" sqref="G73"/>
    </sheetView>
  </sheetViews>
  <sheetFormatPr defaultRowHeight="14.4" x14ac:dyDescent="0.3"/>
  <cols>
    <col min="2" max="11" width="13.109375" customWidth="1"/>
  </cols>
  <sheetData>
    <row r="1" spans="1:11" x14ac:dyDescent="0.3">
      <c r="A1" s="148" t="s">
        <v>1072</v>
      </c>
      <c r="B1" s="149" t="s">
        <v>1218</v>
      </c>
      <c r="C1" s="149" t="s">
        <v>1219</v>
      </c>
      <c r="D1" s="149" t="s">
        <v>1220</v>
      </c>
      <c r="E1" s="149" t="s">
        <v>1221</v>
      </c>
      <c r="F1" s="149" t="s">
        <v>1222</v>
      </c>
      <c r="G1" s="146" t="s">
        <v>1223</v>
      </c>
      <c r="H1" s="146" t="s">
        <v>1224</v>
      </c>
      <c r="I1" s="146" t="s">
        <v>1225</v>
      </c>
      <c r="J1" s="146" t="s">
        <v>1226</v>
      </c>
      <c r="K1" s="146" t="s">
        <v>1227</v>
      </c>
    </row>
    <row r="2" spans="1:11" ht="34.200000000000003" x14ac:dyDescent="0.3">
      <c r="A2" s="150" t="s">
        <v>7</v>
      </c>
      <c r="B2" s="170">
        <v>152</v>
      </c>
      <c r="C2" s="170">
        <v>41.533950822949286</v>
      </c>
      <c r="D2" s="171">
        <v>497.10135270207235</v>
      </c>
      <c r="E2" s="170">
        <v>852</v>
      </c>
      <c r="F2" s="171">
        <v>39.648164190044646</v>
      </c>
      <c r="G2" s="172">
        <v>50.996201772506154</v>
      </c>
      <c r="H2" s="173">
        <v>47257</v>
      </c>
      <c r="I2" s="174">
        <v>873592.32358232816</v>
      </c>
      <c r="J2" s="172">
        <v>141.40067968281465</v>
      </c>
      <c r="K2" s="173">
        <v>55.376383763837637</v>
      </c>
    </row>
    <row r="3" spans="1:11" ht="22.8" x14ac:dyDescent="0.3">
      <c r="A3" s="150" t="s">
        <v>8</v>
      </c>
      <c r="B3" s="170">
        <v>173</v>
      </c>
      <c r="C3" s="170">
        <v>54.989495798319318</v>
      </c>
      <c r="D3" s="171">
        <v>426.2955182072829</v>
      </c>
      <c r="E3" s="170">
        <v>234</v>
      </c>
      <c r="F3" s="171">
        <v>28.974089635854341</v>
      </c>
      <c r="G3" s="172">
        <v>44.161414565826327</v>
      </c>
      <c r="H3" s="173">
        <v>40927</v>
      </c>
      <c r="I3" s="174">
        <v>480567.22689075628</v>
      </c>
      <c r="J3" s="172">
        <v>82.37044817927169</v>
      </c>
      <c r="K3" s="173">
        <v>32.733524355300865</v>
      </c>
    </row>
    <row r="4" spans="1:11" ht="34.200000000000003" x14ac:dyDescent="0.3">
      <c r="A4" s="150" t="s">
        <v>9</v>
      </c>
      <c r="B4" s="170">
        <v>78</v>
      </c>
      <c r="C4" s="170">
        <v>62.203221619970996</v>
      </c>
      <c r="D4" s="171">
        <v>383.99877853271244</v>
      </c>
      <c r="E4" s="170">
        <v>552</v>
      </c>
      <c r="F4" s="171">
        <v>35.34620963432323</v>
      </c>
      <c r="G4" s="172">
        <v>48.782349797694479</v>
      </c>
      <c r="H4" s="173">
        <v>38649</v>
      </c>
      <c r="I4" s="174">
        <v>596228.71974959911</v>
      </c>
      <c r="J4" s="172">
        <v>138.71287884571339</v>
      </c>
      <c r="K4" s="173">
        <v>45.013745704467354</v>
      </c>
    </row>
    <row r="5" spans="1:11" ht="34.200000000000003" x14ac:dyDescent="0.3">
      <c r="A5" s="150" t="s">
        <v>12</v>
      </c>
      <c r="B5" s="170">
        <v>228</v>
      </c>
      <c r="C5" s="170">
        <v>22.961203483768806</v>
      </c>
      <c r="D5" s="171">
        <v>342.2187032638339</v>
      </c>
      <c r="E5" s="170">
        <v>480</v>
      </c>
      <c r="F5" s="171">
        <v>30.526964018650482</v>
      </c>
      <c r="G5" s="172">
        <v>50.65540599982404</v>
      </c>
      <c r="H5" s="173">
        <v>45087</v>
      </c>
      <c r="I5" s="174">
        <v>606140.58238761325</v>
      </c>
      <c r="J5" s="172">
        <v>164.55529163367643</v>
      </c>
      <c r="K5" s="173">
        <v>43.551724137931032</v>
      </c>
    </row>
    <row r="6" spans="1:11" ht="34.200000000000003" x14ac:dyDescent="0.3">
      <c r="A6" s="150" t="s">
        <v>13</v>
      </c>
      <c r="B6" s="170">
        <v>350</v>
      </c>
      <c r="C6" s="170">
        <v>33.072083011369905</v>
      </c>
      <c r="D6" s="171">
        <v>428.30334474003757</v>
      </c>
      <c r="E6" s="170">
        <v>321</v>
      </c>
      <c r="F6" s="171">
        <v>28.038414836074619</v>
      </c>
      <c r="G6" s="172">
        <v>46.60558560547522</v>
      </c>
      <c r="H6" s="173">
        <v>41108</v>
      </c>
      <c r="I6" s="174">
        <v>401810.35434374656</v>
      </c>
      <c r="J6" s="172">
        <v>74.511535489568388</v>
      </c>
      <c r="K6" s="173">
        <v>42.331775700934578</v>
      </c>
    </row>
    <row r="7" spans="1:11" ht="22.8" x14ac:dyDescent="0.3">
      <c r="A7" s="150" t="s">
        <v>14</v>
      </c>
      <c r="B7" s="170">
        <v>205</v>
      </c>
      <c r="C7" s="170">
        <v>41.838262822912768</v>
      </c>
      <c r="D7" s="171">
        <v>535.38000748783224</v>
      </c>
      <c r="E7" s="170">
        <v>622</v>
      </c>
      <c r="F7" s="171">
        <v>25.271433919880192</v>
      </c>
      <c r="G7" s="172">
        <v>50.252714339198803</v>
      </c>
      <c r="H7" s="173">
        <v>44564</v>
      </c>
      <c r="I7" s="174">
        <v>649569.44964432798</v>
      </c>
      <c r="J7" s="172">
        <v>117.65256458255334</v>
      </c>
      <c r="K7" s="173">
        <v>35.852348993288594</v>
      </c>
    </row>
    <row r="8" spans="1:11" ht="34.200000000000003" x14ac:dyDescent="0.3">
      <c r="A8" s="150" t="s">
        <v>16</v>
      </c>
      <c r="B8" s="170">
        <v>257</v>
      </c>
      <c r="C8" s="170">
        <v>63.782447466007433</v>
      </c>
      <c r="D8" s="171">
        <v>762.84654776620175</v>
      </c>
      <c r="E8" s="170">
        <v>386</v>
      </c>
      <c r="F8" s="171">
        <v>44.32279710400848</v>
      </c>
      <c r="G8" s="172">
        <v>45.435281652834192</v>
      </c>
      <c r="H8" s="173">
        <v>43668</v>
      </c>
      <c r="I8" s="174">
        <v>487374.18329507328</v>
      </c>
      <c r="J8" s="172">
        <v>84.584142680558017</v>
      </c>
      <c r="K8" s="173">
        <v>9.4069767441860446</v>
      </c>
    </row>
    <row r="9" spans="1:11" ht="22.8" x14ac:dyDescent="0.3">
      <c r="A9" s="150" t="s">
        <v>18</v>
      </c>
      <c r="B9" s="170">
        <v>234</v>
      </c>
      <c r="C9" s="170">
        <v>25.450089546611366</v>
      </c>
      <c r="D9" s="171">
        <v>503.34621547742478</v>
      </c>
      <c r="E9" s="170">
        <v>394</v>
      </c>
      <c r="F9" s="171">
        <v>27.335281364878874</v>
      </c>
      <c r="G9" s="172">
        <v>47.374870393062487</v>
      </c>
      <c r="H9" s="173">
        <v>43719</v>
      </c>
      <c r="I9" s="174">
        <v>627768.8754830804</v>
      </c>
      <c r="J9" s="172">
        <v>217.92817419172397</v>
      </c>
      <c r="K9" s="173">
        <v>35.363333333333337</v>
      </c>
    </row>
    <row r="10" spans="1:11" ht="22.8" x14ac:dyDescent="0.3">
      <c r="A10" s="150" t="s">
        <v>19</v>
      </c>
      <c r="B10" s="170">
        <v>200</v>
      </c>
      <c r="C10" s="170">
        <v>47.299113141628602</v>
      </c>
      <c r="D10" s="171">
        <v>443.42918570276805</v>
      </c>
      <c r="E10" s="170">
        <v>132</v>
      </c>
      <c r="F10" s="171">
        <v>39.236764310669173</v>
      </c>
      <c r="G10" s="172">
        <v>50.676341485263819</v>
      </c>
      <c r="H10" s="173">
        <v>45458</v>
      </c>
      <c r="I10" s="174">
        <v>710382.51366120216</v>
      </c>
      <c r="J10" s="172">
        <v>167.69685568395593</v>
      </c>
      <c r="K10" s="173">
        <v>46.512499999999996</v>
      </c>
    </row>
    <row r="11" spans="1:11" ht="22.8" x14ac:dyDescent="0.3">
      <c r="A11" s="150" t="s">
        <v>20</v>
      </c>
      <c r="B11" s="170">
        <v>104</v>
      </c>
      <c r="C11" s="170">
        <v>60.423288985470393</v>
      </c>
      <c r="D11" s="171">
        <v>171.65050339255373</v>
      </c>
      <c r="E11" s="170">
        <v>198</v>
      </c>
      <c r="F11" s="171">
        <v>12.113786367366755</v>
      </c>
      <c r="G11" s="172">
        <v>46.141042386693336</v>
      </c>
      <c r="H11" s="173">
        <v>64870</v>
      </c>
      <c r="I11" s="174">
        <v>892467.02807670529</v>
      </c>
      <c r="J11" s="172">
        <v>184.19197114884469</v>
      </c>
      <c r="K11" s="173">
        <v>195.28893905191873</v>
      </c>
    </row>
    <row r="12" spans="1:11" ht="22.8" x14ac:dyDescent="0.3">
      <c r="A12" s="150" t="s">
        <v>21</v>
      </c>
      <c r="B12" s="170">
        <v>327</v>
      </c>
      <c r="C12" s="170">
        <v>10.700361010830326</v>
      </c>
      <c r="D12" s="171">
        <v>405.77617328519852</v>
      </c>
      <c r="E12" s="170">
        <v>188</v>
      </c>
      <c r="F12" s="171">
        <v>34.223826714801447</v>
      </c>
      <c r="G12" s="172">
        <v>43.537906137184116</v>
      </c>
      <c r="H12" s="173">
        <v>43730</v>
      </c>
      <c r="I12" s="174">
        <v>534296.02888086648</v>
      </c>
      <c r="J12" s="172">
        <v>84.332129963898907</v>
      </c>
      <c r="K12" s="173">
        <v>28.036437246963562</v>
      </c>
    </row>
    <row r="13" spans="1:11" ht="22.8" x14ac:dyDescent="0.3">
      <c r="A13" s="150" t="s">
        <v>22</v>
      </c>
      <c r="B13" s="170">
        <v>264</v>
      </c>
      <c r="C13" s="170">
        <v>47.569765292921829</v>
      </c>
      <c r="D13" s="171">
        <v>502.67972648309001</v>
      </c>
      <c r="E13" s="170">
        <v>408</v>
      </c>
      <c r="F13" s="171">
        <v>19.127702827573462</v>
      </c>
      <c r="G13" s="172">
        <v>46.174459434485307</v>
      </c>
      <c r="H13" s="173">
        <v>39905</v>
      </c>
      <c r="I13" s="174">
        <v>571982.9975974866</v>
      </c>
      <c r="J13" s="172">
        <v>93.605618185178329</v>
      </c>
      <c r="K13" s="173">
        <v>27.328282828282827</v>
      </c>
    </row>
    <row r="14" spans="1:11" ht="34.200000000000003" x14ac:dyDescent="0.3">
      <c r="A14" s="150" t="s">
        <v>23</v>
      </c>
      <c r="B14" s="170">
        <v>169</v>
      </c>
      <c r="C14" s="170">
        <v>138.33333333333331</v>
      </c>
      <c r="D14" s="171">
        <v>512.73148148148152</v>
      </c>
      <c r="E14" s="170">
        <v>2592</v>
      </c>
      <c r="F14" s="171">
        <v>16.203703703703702</v>
      </c>
      <c r="G14" s="172">
        <v>47.407407407407412</v>
      </c>
      <c r="H14" s="173">
        <v>42734</v>
      </c>
      <c r="I14" s="174">
        <v>559027.77777777787</v>
      </c>
      <c r="J14" s="172">
        <v>109.49074074074073</v>
      </c>
      <c r="K14" s="173">
        <v>17.349397590361448</v>
      </c>
    </row>
    <row r="15" spans="1:11" ht="34.200000000000003" x14ac:dyDescent="0.3">
      <c r="A15" s="150" t="s">
        <v>24</v>
      </c>
      <c r="B15" s="170">
        <v>255</v>
      </c>
      <c r="C15" s="170">
        <v>75.760744536233403</v>
      </c>
      <c r="D15" s="171">
        <v>529.1226602530586</v>
      </c>
      <c r="E15" s="170">
        <v>154</v>
      </c>
      <c r="F15" s="171">
        <v>51.134581198368714</v>
      </c>
      <c r="G15" s="172">
        <v>48.091603053435115</v>
      </c>
      <c r="H15" s="173">
        <v>39229</v>
      </c>
      <c r="I15" s="174">
        <v>495660.35762835928</v>
      </c>
      <c r="J15" s="172">
        <v>96.622398828819414</v>
      </c>
      <c r="K15" s="173">
        <v>27.718840579710143</v>
      </c>
    </row>
    <row r="16" spans="1:11" ht="22.8" x14ac:dyDescent="0.3">
      <c r="A16" s="150" t="s">
        <v>25</v>
      </c>
      <c r="B16" s="170">
        <v>350</v>
      </c>
      <c r="C16" s="170">
        <v>119.31316162373926</v>
      </c>
      <c r="D16" s="171">
        <v>465.94982078853042</v>
      </c>
      <c r="E16" s="170">
        <v>307</v>
      </c>
      <c r="F16" s="171">
        <v>46.261565391347837</v>
      </c>
      <c r="G16" s="172">
        <v>48.195382178878056</v>
      </c>
      <c r="H16" s="173">
        <v>41274</v>
      </c>
      <c r="I16" s="174">
        <v>524297.74110194214</v>
      </c>
      <c r="J16" s="172">
        <v>117.69609068933899</v>
      </c>
      <c r="K16" s="173">
        <v>14.248218527315915</v>
      </c>
    </row>
    <row r="17" spans="1:11" ht="22.8" x14ac:dyDescent="0.3">
      <c r="A17" s="150" t="s">
        <v>26</v>
      </c>
      <c r="B17" s="170">
        <v>237</v>
      </c>
      <c r="C17" s="170">
        <v>29.698864795051321</v>
      </c>
      <c r="D17" s="171">
        <v>307.25307592957654</v>
      </c>
      <c r="E17" s="170">
        <v>191</v>
      </c>
      <c r="F17" s="171">
        <v>21.276595744680854</v>
      </c>
      <c r="G17" s="172">
        <v>50.050982258174159</v>
      </c>
      <c r="H17" s="173">
        <v>42375</v>
      </c>
      <c r="I17" s="174">
        <v>682482.49609136023</v>
      </c>
      <c r="J17" s="172">
        <v>159.81238528991912</v>
      </c>
      <c r="K17" s="173">
        <v>57.24124513618677</v>
      </c>
    </row>
    <row r="18" spans="1:11" ht="34.200000000000003" x14ac:dyDescent="0.3">
      <c r="A18" s="150" t="s">
        <v>28</v>
      </c>
      <c r="B18" s="170">
        <v>287</v>
      </c>
      <c r="C18" s="170">
        <v>24.385314920848774</v>
      </c>
      <c r="D18" s="171">
        <v>379.75749410575952</v>
      </c>
      <c r="E18" s="170">
        <v>509</v>
      </c>
      <c r="F18" s="171">
        <v>38.733580330077466</v>
      </c>
      <c r="G18" s="172">
        <v>50.412596833950829</v>
      </c>
      <c r="H18" s="173">
        <v>46684</v>
      </c>
      <c r="I18" s="174">
        <v>629841.69754125969</v>
      </c>
      <c r="J18" s="172">
        <v>114.34826540922872</v>
      </c>
      <c r="K18" s="173">
        <v>32.806629834254139</v>
      </c>
    </row>
    <row r="19" spans="1:11" ht="22.8" x14ac:dyDescent="0.3">
      <c r="A19" s="150" t="s">
        <v>36</v>
      </c>
      <c r="B19" s="170">
        <v>375</v>
      </c>
      <c r="C19" s="170">
        <v>103.35941973659095</v>
      </c>
      <c r="D19" s="171">
        <v>318.76312273334605</v>
      </c>
      <c r="E19" s="170">
        <v>564</v>
      </c>
      <c r="F19" s="171">
        <v>8.5894254628745941</v>
      </c>
      <c r="G19" s="172">
        <v>44.874976140484826</v>
      </c>
      <c r="H19" s="173">
        <v>53068</v>
      </c>
      <c r="I19" s="174">
        <v>746325.63466310361</v>
      </c>
      <c r="J19" s="172">
        <v>197.74766176751288</v>
      </c>
      <c r="K19" s="173">
        <v>2.9024930747922437</v>
      </c>
    </row>
    <row r="20" spans="1:11" ht="22.8" x14ac:dyDescent="0.3">
      <c r="A20" s="150" t="s">
        <v>38</v>
      </c>
      <c r="B20" s="170">
        <v>279</v>
      </c>
      <c r="C20" s="170">
        <v>404.8848182070497</v>
      </c>
      <c r="D20" s="171">
        <v>480.15542603386064</v>
      </c>
      <c r="E20" s="170">
        <v>770</v>
      </c>
      <c r="F20" s="171">
        <v>40.105467665834027</v>
      </c>
      <c r="G20" s="172">
        <v>46.572300860394115</v>
      </c>
      <c r="H20" s="173">
        <v>56152</v>
      </c>
      <c r="I20" s="174">
        <v>1354426.8665001388</v>
      </c>
      <c r="J20" s="172">
        <v>178.46239245073548</v>
      </c>
      <c r="K20" s="173">
        <v>1.7288867562380039</v>
      </c>
    </row>
    <row r="21" spans="1:11" ht="34.200000000000003" x14ac:dyDescent="0.3">
      <c r="A21" s="150" t="s">
        <v>40</v>
      </c>
      <c r="B21" s="170">
        <v>256</v>
      </c>
      <c r="C21" s="170">
        <v>413.71606051497844</v>
      </c>
      <c r="D21" s="171">
        <v>424.80713355375212</v>
      </c>
      <c r="E21" s="170">
        <v>1250</v>
      </c>
      <c r="F21" s="171">
        <v>31.760344654844204</v>
      </c>
      <c r="G21" s="172">
        <v>46.137661556958221</v>
      </c>
      <c r="H21" s="173">
        <v>58967</v>
      </c>
      <c r="I21" s="174">
        <v>1190261.4968440034</v>
      </c>
      <c r="J21" s="172">
        <v>206.39214507564373</v>
      </c>
      <c r="K21" s="173">
        <v>1.6919816918121717</v>
      </c>
    </row>
    <row r="22" spans="1:11" ht="68.400000000000006" x14ac:dyDescent="0.3">
      <c r="A22" s="150" t="s">
        <v>45</v>
      </c>
      <c r="B22" s="170">
        <v>267</v>
      </c>
      <c r="C22" s="170">
        <v>302.51072287896227</v>
      </c>
      <c r="D22" s="171">
        <v>428.91515848938172</v>
      </c>
      <c r="E22" s="170">
        <v>1250</v>
      </c>
      <c r="F22" s="171">
        <v>31.27942253373784</v>
      </c>
      <c r="G22" s="172">
        <v>44.962862224082016</v>
      </c>
      <c r="H22" s="173">
        <v>55952</v>
      </c>
      <c r="I22" s="174">
        <v>732294.17303065176</v>
      </c>
      <c r="J22" s="172">
        <v>125.22230358824146</v>
      </c>
      <c r="K22" s="173">
        <v>2.3139675623335751</v>
      </c>
    </row>
    <row r="23" spans="1:11" ht="34.200000000000003" x14ac:dyDescent="0.3">
      <c r="A23" s="150" t="s">
        <v>47</v>
      </c>
      <c r="B23" s="170">
        <v>264</v>
      </c>
      <c r="C23" s="170">
        <v>141.74246477617262</v>
      </c>
      <c r="D23" s="171">
        <v>497.59229534510428</v>
      </c>
      <c r="E23" s="170">
        <v>1061</v>
      </c>
      <c r="F23" s="171">
        <v>29.516675584091313</v>
      </c>
      <c r="G23" s="172">
        <v>44.872480827537004</v>
      </c>
      <c r="H23" s="173">
        <v>42708</v>
      </c>
      <c r="I23" s="174">
        <v>913144.28393080074</v>
      </c>
      <c r="J23" s="172">
        <v>150.52612805421793</v>
      </c>
      <c r="K23" s="173">
        <v>7.7605536332179934</v>
      </c>
    </row>
    <row r="24" spans="1:11" ht="34.200000000000003" x14ac:dyDescent="0.3">
      <c r="A24" s="150" t="s">
        <v>1064</v>
      </c>
      <c r="B24" s="170">
        <v>211</v>
      </c>
      <c r="C24" s="170">
        <v>8.762936454202535</v>
      </c>
      <c r="D24" s="171">
        <v>260.17990134442397</v>
      </c>
      <c r="E24" s="170">
        <v>319</v>
      </c>
      <c r="F24" s="171">
        <v>44.588451494341811</v>
      </c>
      <c r="G24" s="172">
        <v>50.227294709352933</v>
      </c>
      <c r="H24" s="173">
        <v>43543</v>
      </c>
      <c r="I24" s="174">
        <v>713802.10852113354</v>
      </c>
      <c r="J24" s="172">
        <v>189.57345971563979</v>
      </c>
      <c r="K24" s="173">
        <v>68.47019867549669</v>
      </c>
    </row>
    <row r="25" spans="1:11" ht="34.200000000000003" x14ac:dyDescent="0.3">
      <c r="A25" s="150" t="s">
        <v>51</v>
      </c>
      <c r="B25" s="170">
        <v>126</v>
      </c>
      <c r="C25" s="170">
        <v>82.424599665978988</v>
      </c>
      <c r="D25" s="171">
        <v>202.86865114451322</v>
      </c>
      <c r="E25" s="170">
        <v>130</v>
      </c>
      <c r="F25" s="171">
        <v>29.718046959426268</v>
      </c>
      <c r="G25" s="172">
        <v>44.282346006483934</v>
      </c>
      <c r="H25" s="173">
        <v>45989</v>
      </c>
      <c r="I25" s="174">
        <v>814421.84890460758</v>
      </c>
      <c r="J25" s="172">
        <v>336.77178504764714</v>
      </c>
      <c r="K25" s="173">
        <v>24.264600715137068</v>
      </c>
    </row>
    <row r="26" spans="1:11" ht="34.200000000000003" x14ac:dyDescent="0.3">
      <c r="A26" s="150" t="s">
        <v>52</v>
      </c>
      <c r="B26" s="170">
        <v>214</v>
      </c>
      <c r="C26" s="170">
        <v>132.44972577696527</v>
      </c>
      <c r="D26" s="171">
        <v>612.4314442413164</v>
      </c>
      <c r="E26" s="170">
        <v>837</v>
      </c>
      <c r="F26" s="171">
        <v>11.121267519804997</v>
      </c>
      <c r="G26" s="172">
        <v>47.714808043875685</v>
      </c>
      <c r="H26" s="173">
        <v>75786</v>
      </c>
      <c r="I26" s="174">
        <v>1750457.038391225</v>
      </c>
      <c r="J26" s="172">
        <v>406.61182205971966</v>
      </c>
      <c r="K26" s="173">
        <v>4.5300207039337472</v>
      </c>
    </row>
    <row r="27" spans="1:11" ht="34.200000000000003" x14ac:dyDescent="0.3">
      <c r="A27" s="150" t="s">
        <v>53</v>
      </c>
      <c r="B27" s="170">
        <v>115</v>
      </c>
      <c r="C27" s="170">
        <v>19.075953797689884</v>
      </c>
      <c r="D27" s="171">
        <v>581.02905145257262</v>
      </c>
      <c r="E27" s="170">
        <v>717</v>
      </c>
      <c r="F27" s="171">
        <v>28.701435071753586</v>
      </c>
      <c r="G27" s="172">
        <v>47.917395869793495</v>
      </c>
      <c r="H27" s="173">
        <v>38903</v>
      </c>
      <c r="I27" s="174">
        <v>666783.33916695835</v>
      </c>
      <c r="J27" s="172">
        <v>132.13160658032902</v>
      </c>
      <c r="K27" s="173">
        <v>10.48440366972477</v>
      </c>
    </row>
    <row r="28" spans="1:11" ht="22.8" x14ac:dyDescent="0.3">
      <c r="A28" s="150" t="s">
        <v>55</v>
      </c>
      <c r="B28" s="170">
        <v>204</v>
      </c>
      <c r="C28" s="170">
        <v>66.735501634830499</v>
      </c>
      <c r="D28" s="171">
        <v>323.52435036998793</v>
      </c>
      <c r="E28" s="170">
        <v>353</v>
      </c>
      <c r="F28" s="171">
        <v>20.650490449148165</v>
      </c>
      <c r="G28" s="172">
        <v>49.079332300808808</v>
      </c>
      <c r="H28" s="173">
        <v>39898</v>
      </c>
      <c r="I28" s="174">
        <v>443985.54465668561</v>
      </c>
      <c r="J28" s="172">
        <v>81.91361211495439</v>
      </c>
      <c r="K28" s="173">
        <v>10.489169675090253</v>
      </c>
    </row>
    <row r="29" spans="1:11" ht="22.8" x14ac:dyDescent="0.3">
      <c r="A29" s="150" t="s">
        <v>61</v>
      </c>
      <c r="B29" s="170">
        <v>181</v>
      </c>
      <c r="C29" s="170">
        <v>4.6743907311226529</v>
      </c>
      <c r="D29" s="171">
        <v>359.56851777866564</v>
      </c>
      <c r="E29" s="170">
        <v>186</v>
      </c>
      <c r="F29" s="171">
        <v>9.7882540950858967</v>
      </c>
      <c r="G29" s="172">
        <v>31.302437075509388</v>
      </c>
      <c r="H29" s="173">
        <v>42684</v>
      </c>
      <c r="I29" s="174">
        <v>393527.76667998405</v>
      </c>
      <c r="J29" s="172">
        <v>123.05233719536555</v>
      </c>
      <c r="K29" s="173">
        <v>64.179487179487182</v>
      </c>
    </row>
    <row r="30" spans="1:11" ht="22.8" x14ac:dyDescent="0.3">
      <c r="A30" s="150" t="s">
        <v>63</v>
      </c>
      <c r="B30" s="170">
        <v>228</v>
      </c>
      <c r="C30" s="170">
        <v>41.005498821681066</v>
      </c>
      <c r="D30" s="171">
        <v>259.75386226760935</v>
      </c>
      <c r="E30" s="170">
        <v>136</v>
      </c>
      <c r="F30" s="171">
        <v>35.454307410316844</v>
      </c>
      <c r="G30" s="172">
        <v>46.640481801518725</v>
      </c>
      <c r="H30" s="173">
        <v>32875</v>
      </c>
      <c r="I30" s="174">
        <v>343545.43074103165</v>
      </c>
      <c r="J30" s="172">
        <v>142.0790782927468</v>
      </c>
      <c r="K30" s="173">
        <v>73.160919540229884</v>
      </c>
    </row>
    <row r="31" spans="1:11" ht="34.200000000000003" x14ac:dyDescent="0.3">
      <c r="A31" s="152" t="s">
        <v>65</v>
      </c>
      <c r="B31" s="170">
        <v>103</v>
      </c>
      <c r="C31" s="170">
        <v>106.13749357106119</v>
      </c>
      <c r="D31" s="171">
        <v>263.84364820846906</v>
      </c>
      <c r="E31" s="170">
        <v>230</v>
      </c>
      <c r="F31" s="171">
        <v>32.813303617349561</v>
      </c>
      <c r="G31" s="172">
        <v>49.854277387279275</v>
      </c>
      <c r="H31" s="173">
        <v>54627</v>
      </c>
      <c r="I31" s="174">
        <v>737870.73547059833</v>
      </c>
      <c r="J31" s="172">
        <v>147.53985942053833</v>
      </c>
      <c r="K31" s="173">
        <v>77.258278145695371</v>
      </c>
    </row>
    <row r="32" spans="1:11" ht="34.200000000000003" x14ac:dyDescent="0.3">
      <c r="A32" s="150" t="s">
        <v>66</v>
      </c>
      <c r="B32" s="170">
        <v>283</v>
      </c>
      <c r="C32" s="170">
        <v>41.42011834319527</v>
      </c>
      <c r="D32" s="171">
        <v>427.93744716821641</v>
      </c>
      <c r="E32" s="170">
        <v>104</v>
      </c>
      <c r="F32" s="171">
        <v>14.792899408284025</v>
      </c>
      <c r="G32" s="172">
        <v>49.323753169907022</v>
      </c>
      <c r="H32" s="173">
        <v>36593</v>
      </c>
      <c r="I32" s="174">
        <v>808326.28909551993</v>
      </c>
      <c r="J32" s="172">
        <v>92.455621301775153</v>
      </c>
      <c r="K32" s="173">
        <v>19.314285714285713</v>
      </c>
    </row>
    <row r="33" spans="1:11" ht="34.200000000000003" x14ac:dyDescent="0.3">
      <c r="A33" s="150" t="s">
        <v>67</v>
      </c>
      <c r="B33" s="170">
        <v>214</v>
      </c>
      <c r="C33" s="170">
        <v>161.02938180039936</v>
      </c>
      <c r="D33" s="171">
        <v>301.15326622926767</v>
      </c>
      <c r="E33" s="170">
        <v>156</v>
      </c>
      <c r="F33" s="171">
        <v>31.908390724968413</v>
      </c>
      <c r="G33" s="172">
        <v>48.090794245894287</v>
      </c>
      <c r="H33" s="173">
        <v>35575</v>
      </c>
      <c r="I33" s="174">
        <v>496352.74461061979</v>
      </c>
      <c r="J33" s="172">
        <v>118.74974530339458</v>
      </c>
      <c r="K33" s="173">
        <v>21.735163861824624</v>
      </c>
    </row>
    <row r="34" spans="1:11" ht="22.8" x14ac:dyDescent="0.3">
      <c r="A34" s="150" t="s">
        <v>70</v>
      </c>
      <c r="B34" s="170">
        <v>204</v>
      </c>
      <c r="C34" s="170">
        <v>136.20710415412401</v>
      </c>
      <c r="D34" s="171">
        <v>416.61649608669478</v>
      </c>
      <c r="E34" s="170">
        <v>310</v>
      </c>
      <c r="F34" s="171">
        <v>14.28055388320289</v>
      </c>
      <c r="G34" s="172">
        <v>50.38169777242625</v>
      </c>
      <c r="H34" s="173">
        <v>46840</v>
      </c>
      <c r="I34" s="174">
        <v>560144.49127031909</v>
      </c>
      <c r="J34" s="172">
        <v>155.01505117399159</v>
      </c>
      <c r="K34" s="173">
        <v>41.113861386138616</v>
      </c>
    </row>
    <row r="35" spans="1:11" ht="34.200000000000003" x14ac:dyDescent="0.3">
      <c r="A35" s="150" t="s">
        <v>74</v>
      </c>
      <c r="B35" s="170">
        <v>122</v>
      </c>
      <c r="C35" s="170">
        <v>20.230802549347196</v>
      </c>
      <c r="D35" s="171">
        <v>286.80155930944869</v>
      </c>
      <c r="E35" s="170">
        <v>56</v>
      </c>
      <c r="F35" s="171">
        <v>8.1678113978095404</v>
      </c>
      <c r="G35" s="172">
        <v>38.06076356661098</v>
      </c>
      <c r="H35" s="173">
        <v>39686</v>
      </c>
      <c r="I35" s="174">
        <v>282470.14417424664</v>
      </c>
      <c r="J35" s="172">
        <v>108.47101045727369</v>
      </c>
      <c r="K35" s="173">
        <v>64.258449304174945</v>
      </c>
    </row>
    <row r="36" spans="1:11" ht="68.400000000000006" x14ac:dyDescent="0.3">
      <c r="A36" s="150" t="s">
        <v>76</v>
      </c>
      <c r="B36" s="170">
        <v>210</v>
      </c>
      <c r="C36" s="170">
        <v>15.184980673660961</v>
      </c>
      <c r="D36" s="171">
        <v>278.29928216454999</v>
      </c>
      <c r="E36" s="170">
        <v>49</v>
      </c>
      <c r="F36" s="171">
        <v>2.8713418001104363</v>
      </c>
      <c r="G36" s="172">
        <v>42.628382109331859</v>
      </c>
      <c r="H36" s="173">
        <v>38948</v>
      </c>
      <c r="I36" s="174">
        <v>286029.81778023188</v>
      </c>
      <c r="J36" s="172">
        <v>75.427940364439536</v>
      </c>
      <c r="K36" s="173">
        <v>72.44</v>
      </c>
    </row>
    <row r="37" spans="1:11" ht="57" x14ac:dyDescent="0.3">
      <c r="A37" s="150" t="s">
        <v>77</v>
      </c>
      <c r="B37" s="170">
        <v>99</v>
      </c>
      <c r="C37" s="170">
        <v>12.21439248345078</v>
      </c>
      <c r="D37" s="171">
        <v>439.88896006833227</v>
      </c>
      <c r="E37" s="170">
        <v>95</v>
      </c>
      <c r="F37" s="171">
        <v>14.093529788597053</v>
      </c>
      <c r="G37" s="172">
        <v>40.145206064488576</v>
      </c>
      <c r="H37" s="173">
        <v>25619</v>
      </c>
      <c r="I37" s="174">
        <v>269058.29596412554</v>
      </c>
      <c r="J37" s="172">
        <v>61.712577407644666</v>
      </c>
      <c r="K37" s="173">
        <v>32.748251748251747</v>
      </c>
    </row>
    <row r="38" spans="1:11" ht="45.6" x14ac:dyDescent="0.3">
      <c r="A38" s="150" t="s">
        <v>1066</v>
      </c>
      <c r="B38" s="170">
        <v>317</v>
      </c>
      <c r="C38" s="170">
        <v>14.140521431727796</v>
      </c>
      <c r="D38" s="171">
        <v>194.43216968625717</v>
      </c>
      <c r="E38" s="170">
        <v>85</v>
      </c>
      <c r="F38" s="171">
        <v>24.304021210782146</v>
      </c>
      <c r="G38" s="172">
        <v>40.388864339372518</v>
      </c>
      <c r="H38" s="173">
        <v>35276</v>
      </c>
      <c r="I38" s="174">
        <v>318161.7322138754</v>
      </c>
      <c r="J38" s="172">
        <v>64.074237737516569</v>
      </c>
      <c r="K38" s="173">
        <v>84.862499999999997</v>
      </c>
    </row>
    <row r="39" spans="1:11" ht="34.200000000000003" x14ac:dyDescent="0.3">
      <c r="A39" s="150" t="s">
        <v>78</v>
      </c>
      <c r="B39" s="170">
        <v>154</v>
      </c>
      <c r="C39" s="170">
        <v>13.561723227509818</v>
      </c>
      <c r="D39" s="171">
        <v>227.96058986412518</v>
      </c>
      <c r="E39" s="170">
        <v>28</v>
      </c>
      <c r="F39" s="171">
        <v>5.7956082168845375</v>
      </c>
      <c r="G39" s="172">
        <v>36.654002189451994</v>
      </c>
      <c r="H39" s="173">
        <v>35920</v>
      </c>
      <c r="I39" s="174">
        <v>202846.28759095885</v>
      </c>
      <c r="J39" s="172">
        <v>105.22248695988151</v>
      </c>
      <c r="K39" s="173">
        <v>95.85802469135804</v>
      </c>
    </row>
    <row r="40" spans="1:11" ht="34.200000000000003" x14ac:dyDescent="0.3">
      <c r="A40" s="150" t="s">
        <v>79</v>
      </c>
      <c r="B40" s="170">
        <v>117</v>
      </c>
      <c r="C40" s="170">
        <v>91.750112608710722</v>
      </c>
      <c r="D40" s="171">
        <v>345.10238730466722</v>
      </c>
      <c r="E40" s="170">
        <v>173</v>
      </c>
      <c r="F40" s="171">
        <v>27.060739406118984</v>
      </c>
      <c r="G40" s="172">
        <v>46.581892519316732</v>
      </c>
      <c r="H40" s="173">
        <v>32930</v>
      </c>
      <c r="I40" s="174">
        <v>415786.00880080386</v>
      </c>
      <c r="J40" s="172">
        <v>115.96964762135754</v>
      </c>
      <c r="K40" s="173">
        <v>43.596676737160116</v>
      </c>
    </row>
    <row r="41" spans="1:11" ht="45.6" x14ac:dyDescent="0.3">
      <c r="A41" s="150" t="s">
        <v>81</v>
      </c>
      <c r="B41" s="170">
        <v>257</v>
      </c>
      <c r="C41" s="170">
        <v>87.899515291686143</v>
      </c>
      <c r="D41" s="171">
        <v>587.30900770120309</v>
      </c>
      <c r="E41" s="170">
        <v>278</v>
      </c>
      <c r="F41" s="171">
        <v>42.984031690574021</v>
      </c>
      <c r="G41" s="172">
        <v>42.565755480648569</v>
      </c>
      <c r="H41" s="173">
        <v>40022</v>
      </c>
      <c r="I41" s="174">
        <v>551878.55227222398</v>
      </c>
      <c r="J41" s="172">
        <v>152.5477942081047</v>
      </c>
      <c r="K41" s="173">
        <v>28.441567529741079</v>
      </c>
    </row>
    <row r="42" spans="1:11" ht="34.200000000000003" x14ac:dyDescent="0.3">
      <c r="A42" s="150" t="s">
        <v>82</v>
      </c>
      <c r="B42" s="170">
        <v>561</v>
      </c>
      <c r="C42" s="170">
        <v>27.948641385488205</v>
      </c>
      <c r="D42" s="171">
        <v>473.27560465810694</v>
      </c>
      <c r="E42" s="170">
        <v>1618</v>
      </c>
      <c r="F42" s="171">
        <v>32.994923857868024</v>
      </c>
      <c r="G42" s="172">
        <v>41.90803224843237</v>
      </c>
      <c r="H42" s="173">
        <v>31013</v>
      </c>
      <c r="I42" s="174">
        <v>391161.54075843544</v>
      </c>
      <c r="J42" s="172">
        <v>77.933711555688276</v>
      </c>
      <c r="K42" s="173">
        <v>28.623931623931625</v>
      </c>
    </row>
    <row r="43" spans="1:11" ht="34.200000000000003" x14ac:dyDescent="0.3">
      <c r="A43" s="152" t="s">
        <v>83</v>
      </c>
      <c r="B43" s="170">
        <v>324</v>
      </c>
      <c r="C43" s="170">
        <v>20.446533490011753</v>
      </c>
      <c r="D43" s="171">
        <v>531.40096618357495</v>
      </c>
      <c r="E43" s="170">
        <v>225</v>
      </c>
      <c r="F43" s="171">
        <v>30.813422117769946</v>
      </c>
      <c r="G43" s="172">
        <v>48.217783000391698</v>
      </c>
      <c r="H43" s="173">
        <v>30647</v>
      </c>
      <c r="I43" s="174">
        <v>447839.1434913174</v>
      </c>
      <c r="J43" s="172">
        <v>96.748922835879355</v>
      </c>
      <c r="K43" s="173">
        <v>29.344827586206893</v>
      </c>
    </row>
    <row r="44" spans="1:11" ht="34.200000000000003" x14ac:dyDescent="0.3">
      <c r="A44" s="152" t="s">
        <v>84</v>
      </c>
      <c r="B44" s="170">
        <v>341</v>
      </c>
      <c r="C44" s="170">
        <v>77.911566325256061</v>
      </c>
      <c r="D44" s="171">
        <v>444.91631276542591</v>
      </c>
      <c r="E44" s="170">
        <v>349</v>
      </c>
      <c r="F44" s="171">
        <v>36.722458156382714</v>
      </c>
      <c r="G44" s="172">
        <v>50.874344241818633</v>
      </c>
      <c r="H44" s="173">
        <v>52524</v>
      </c>
      <c r="I44" s="174">
        <v>1043967.0247314514</v>
      </c>
      <c r="J44" s="172">
        <v>294.87884086934804</v>
      </c>
      <c r="K44" s="173">
        <v>59.041297935103245</v>
      </c>
    </row>
    <row r="45" spans="1:11" ht="45.6" x14ac:dyDescent="0.3">
      <c r="A45" s="150" t="s">
        <v>85</v>
      </c>
      <c r="B45" s="170">
        <v>312</v>
      </c>
      <c r="C45" s="170">
        <v>73.365398020354121</v>
      </c>
      <c r="D45" s="171">
        <v>443.32915098285241</v>
      </c>
      <c r="E45" s="170">
        <v>520</v>
      </c>
      <c r="F45" s="171">
        <v>38.96556531437335</v>
      </c>
      <c r="G45" s="172">
        <v>47.504530879687721</v>
      </c>
      <c r="H45" s="173">
        <v>38939</v>
      </c>
      <c r="I45" s="174">
        <v>673358.4274362193</v>
      </c>
      <c r="J45" s="172">
        <v>115.92081416422698</v>
      </c>
      <c r="K45" s="173">
        <v>34.076009501187642</v>
      </c>
    </row>
    <row r="46" spans="1:11" ht="45.6" x14ac:dyDescent="0.3">
      <c r="A46" s="150" t="s">
        <v>86</v>
      </c>
      <c r="B46" s="170">
        <v>388</v>
      </c>
      <c r="C46" s="170">
        <v>18.815868391740214</v>
      </c>
      <c r="D46" s="171">
        <v>704.30982777825375</v>
      </c>
      <c r="E46" s="170">
        <v>509</v>
      </c>
      <c r="F46" s="171">
        <v>27.332704995287468</v>
      </c>
      <c r="G46" s="172">
        <v>43.586667809099481</v>
      </c>
      <c r="H46" s="173">
        <v>34129</v>
      </c>
      <c r="I46" s="174">
        <v>429269.1286093737</v>
      </c>
      <c r="J46" s="172">
        <v>105.73215662753836</v>
      </c>
      <c r="K46" s="173">
        <v>63.775956284152997</v>
      </c>
    </row>
    <row r="47" spans="1:11" ht="22.8" x14ac:dyDescent="0.3">
      <c r="A47" s="150" t="s">
        <v>87</v>
      </c>
      <c r="B47" s="170">
        <v>349</v>
      </c>
      <c r="C47" s="170">
        <v>160.50174327736141</v>
      </c>
      <c r="D47" s="171">
        <v>454.05362080711734</v>
      </c>
      <c r="E47" s="170">
        <v>370</v>
      </c>
      <c r="F47" s="171">
        <v>39.113533442872601</v>
      </c>
      <c r="G47" s="172">
        <v>45.910311385404547</v>
      </c>
      <c r="H47" s="173">
        <v>45639</v>
      </c>
      <c r="I47" s="174">
        <v>802709.09309501864</v>
      </c>
      <c r="J47" s="172">
        <v>192.92269466597202</v>
      </c>
      <c r="K47" s="173">
        <v>15.576154806491887</v>
      </c>
    </row>
    <row r="48" spans="1:11" ht="34.200000000000003" x14ac:dyDescent="0.3">
      <c r="A48" s="153" t="s">
        <v>88</v>
      </c>
      <c r="B48" s="170">
        <v>236</v>
      </c>
      <c r="C48" s="170">
        <v>255.7394459686698</v>
      </c>
      <c r="D48" s="171">
        <v>734.57828126382867</v>
      </c>
      <c r="E48" s="170">
        <v>605</v>
      </c>
      <c r="F48" s="171">
        <v>45.225241171785115</v>
      </c>
      <c r="G48" s="172">
        <v>46.906805912027608</v>
      </c>
      <c r="H48" s="173">
        <v>38277</v>
      </c>
      <c r="I48" s="174">
        <v>491193.91096557211</v>
      </c>
      <c r="J48" s="172">
        <v>93.990618638817594</v>
      </c>
      <c r="K48" s="173">
        <v>9.3845514950166109</v>
      </c>
    </row>
    <row r="49" spans="1:11" ht="34.200000000000003" x14ac:dyDescent="0.3">
      <c r="A49" s="150" t="s">
        <v>89</v>
      </c>
      <c r="B49" s="170">
        <v>317</v>
      </c>
      <c r="C49" s="170">
        <v>105.12694833839818</v>
      </c>
      <c r="D49" s="171">
        <v>440.80645688331202</v>
      </c>
      <c r="E49" s="170">
        <v>1201</v>
      </c>
      <c r="F49" s="171">
        <v>31.859621605724925</v>
      </c>
      <c r="G49" s="172">
        <v>54.259386334673067</v>
      </c>
      <c r="H49" s="173">
        <v>50601</v>
      </c>
      <c r="I49" s="174">
        <v>747639.12034767831</v>
      </c>
      <c r="J49" s="172">
        <v>224.45511877920464</v>
      </c>
      <c r="K49" s="173">
        <v>39.951697127937344</v>
      </c>
    </row>
    <row r="50" spans="1:11" ht="34.200000000000003" x14ac:dyDescent="0.3">
      <c r="A50" s="152" t="s">
        <v>90</v>
      </c>
      <c r="B50" s="170">
        <v>220</v>
      </c>
      <c r="C50" s="170">
        <v>236.75288456280418</v>
      </c>
      <c r="D50" s="171">
        <v>475.74779898288398</v>
      </c>
      <c r="E50" s="170">
        <v>291</v>
      </c>
      <c r="F50" s="171">
        <v>33.630447859134904</v>
      </c>
      <c r="G50" s="172">
        <v>46.388144583583966</v>
      </c>
      <c r="H50" s="173">
        <v>36756</v>
      </c>
      <c r="I50" s="174">
        <v>859080.22092196648</v>
      </c>
      <c r="J50" s="172">
        <v>160.44184393284846</v>
      </c>
      <c r="K50" s="173">
        <v>14.783346806790622</v>
      </c>
    </row>
    <row r="51" spans="1:11" ht="22.8" x14ac:dyDescent="0.3">
      <c r="A51" s="150" t="s">
        <v>91</v>
      </c>
      <c r="B51" s="170">
        <v>175</v>
      </c>
      <c r="C51" s="170">
        <v>87.7760698972575</v>
      </c>
      <c r="D51" s="171">
        <v>491.86958983900979</v>
      </c>
      <c r="E51" s="170">
        <v>455</v>
      </c>
      <c r="F51" s="171">
        <v>31.146347382897826</v>
      </c>
      <c r="G51" s="172">
        <v>46.962219885122565</v>
      </c>
      <c r="H51" s="173">
        <v>36429</v>
      </c>
      <c r="I51" s="174">
        <v>479734.64930021844</v>
      </c>
      <c r="J51" s="172">
        <v>98.535717174985848</v>
      </c>
      <c r="K51" s="173">
        <v>28.481566820276498</v>
      </c>
    </row>
    <row r="52" spans="1:11" ht="22.8" x14ac:dyDescent="0.3">
      <c r="A52" s="150" t="s">
        <v>92</v>
      </c>
      <c r="B52" s="170">
        <v>277</v>
      </c>
      <c r="C52" s="170">
        <v>66.832917705735667</v>
      </c>
      <c r="D52" s="171">
        <v>326.10780740456545</v>
      </c>
      <c r="E52" s="170">
        <v>285</v>
      </c>
      <c r="F52" s="171">
        <v>29.893215678751837</v>
      </c>
      <c r="G52" s="172">
        <v>52.634439542170206</v>
      </c>
      <c r="H52" s="173">
        <v>42701</v>
      </c>
      <c r="I52" s="174">
        <v>760278.79020397714</v>
      </c>
      <c r="J52" s="172">
        <v>165.1640130443123</v>
      </c>
      <c r="K52" s="173">
        <v>58.354477611940297</v>
      </c>
    </row>
    <row r="53" spans="1:11" ht="34.200000000000003" x14ac:dyDescent="0.3">
      <c r="A53" s="150" t="s">
        <v>93</v>
      </c>
      <c r="B53" s="170">
        <v>266</v>
      </c>
      <c r="C53" s="170">
        <v>101.82793895690089</v>
      </c>
      <c r="D53" s="171">
        <v>384.03488177092072</v>
      </c>
      <c r="E53" s="170">
        <v>405</v>
      </c>
      <c r="F53" s="171">
        <v>21.298004360221366</v>
      </c>
      <c r="G53" s="172">
        <v>46.973000167700832</v>
      </c>
      <c r="H53" s="173">
        <v>33348</v>
      </c>
      <c r="I53" s="174">
        <v>500586.95287606912</v>
      </c>
      <c r="J53" s="172">
        <v>120.11571356699649</v>
      </c>
      <c r="K53" s="173">
        <v>23.569169960474305</v>
      </c>
    </row>
    <row r="54" spans="1:11" ht="34.200000000000003" x14ac:dyDescent="0.3">
      <c r="A54" s="150" t="s">
        <v>94</v>
      </c>
      <c r="B54" s="170">
        <v>189</v>
      </c>
      <c r="C54" s="170">
        <v>53.922237380627557</v>
      </c>
      <c r="D54" s="171">
        <v>416.95088676671213</v>
      </c>
      <c r="E54" s="170">
        <v>1143</v>
      </c>
      <c r="F54" s="171">
        <v>34.703274215552526</v>
      </c>
      <c r="G54" s="172">
        <v>47.552864938608465</v>
      </c>
      <c r="H54" s="173">
        <v>35783</v>
      </c>
      <c r="I54" s="174">
        <v>502216.91678035475</v>
      </c>
      <c r="J54" s="172">
        <v>103.00136425648023</v>
      </c>
      <c r="K54" s="173">
        <v>31.526881720430104</v>
      </c>
    </row>
    <row r="55" spans="1:11" ht="34.200000000000003" x14ac:dyDescent="0.3">
      <c r="A55" s="150" t="s">
        <v>97</v>
      </c>
      <c r="B55" s="170">
        <v>325</v>
      </c>
      <c r="C55" s="170">
        <v>206.95289743529025</v>
      </c>
      <c r="D55" s="171">
        <v>298.8609183697634</v>
      </c>
      <c r="E55" s="170">
        <v>375</v>
      </c>
      <c r="F55" s="171">
        <v>8.6674402633386229</v>
      </c>
      <c r="G55" s="172">
        <v>49.617543277997491</v>
      </c>
      <c r="H55" s="173">
        <v>53413</v>
      </c>
      <c r="I55" s="174">
        <v>821512.3025552372</v>
      </c>
      <c r="J55" s="172">
        <v>170.60174769697116</v>
      </c>
      <c r="K55" s="173">
        <v>21.744078269824922</v>
      </c>
    </row>
    <row r="56" spans="1:11" ht="22.8" x14ac:dyDescent="0.3">
      <c r="A56" s="150" t="s">
        <v>98</v>
      </c>
      <c r="B56" s="170">
        <v>200</v>
      </c>
      <c r="C56" s="170">
        <v>827.91199753264118</v>
      </c>
      <c r="D56" s="171">
        <v>369.84681813508791</v>
      </c>
      <c r="E56" s="170">
        <v>204</v>
      </c>
      <c r="F56" s="171">
        <v>46.314382646242414</v>
      </c>
      <c r="G56" s="172">
        <v>58.049758404441242</v>
      </c>
      <c r="H56" s="173">
        <v>69341</v>
      </c>
      <c r="I56" s="174">
        <v>3588979.1302559883</v>
      </c>
      <c r="J56" s="172">
        <v>862.70175799321464</v>
      </c>
      <c r="K56" s="173">
        <v>2.6572872558393663</v>
      </c>
    </row>
    <row r="57" spans="1:11" ht="57" x14ac:dyDescent="0.3">
      <c r="A57" s="150" t="s">
        <v>1069</v>
      </c>
      <c r="B57" s="170">
        <v>162</v>
      </c>
      <c r="C57" s="170">
        <v>121.58690462657722</v>
      </c>
      <c r="D57" s="171">
        <v>259.17926565874728</v>
      </c>
      <c r="E57" s="170">
        <v>222</v>
      </c>
      <c r="F57" s="171">
        <v>27.850403546663635</v>
      </c>
      <c r="G57" s="172">
        <v>62.629305445038085</v>
      </c>
      <c r="H57" s="173">
        <v>72634</v>
      </c>
      <c r="I57" s="174">
        <v>3918949.6419233829</v>
      </c>
      <c r="J57" s="172">
        <v>882.57360463794464</v>
      </c>
      <c r="K57" s="173">
        <v>3.289827973074047</v>
      </c>
    </row>
    <row r="58" spans="1:11" ht="57" x14ac:dyDescent="0.3">
      <c r="A58" s="150" t="s">
        <v>922</v>
      </c>
      <c r="B58" s="170">
        <v>304</v>
      </c>
      <c r="C58" s="170">
        <v>178.39544385291569</v>
      </c>
      <c r="D58" s="171">
        <v>506.37612975114519</v>
      </c>
      <c r="E58" s="170">
        <v>193</v>
      </c>
      <c r="F58" s="171">
        <v>62.461309892286735</v>
      </c>
      <c r="G58" s="172">
        <v>46.26717840782468</v>
      </c>
      <c r="H58" s="173">
        <v>43350</v>
      </c>
      <c r="I58" s="174">
        <v>1064751.7642689117</v>
      </c>
      <c r="J58" s="172">
        <v>203.97424786430605</v>
      </c>
      <c r="K58" s="173">
        <v>10.089943785134292</v>
      </c>
    </row>
    <row r="59" spans="1:11" ht="34.200000000000003" x14ac:dyDescent="0.3">
      <c r="A59" s="150" t="s">
        <v>103</v>
      </c>
      <c r="B59" s="170">
        <v>225</v>
      </c>
      <c r="C59" s="170">
        <v>96.536898521703279</v>
      </c>
      <c r="D59" s="171">
        <v>325.69644855409626</v>
      </c>
      <c r="E59" s="170">
        <v>450</v>
      </c>
      <c r="F59" s="171">
        <v>41.256846692973674</v>
      </c>
      <c r="G59" s="172">
        <v>52.603215737086984</v>
      </c>
      <c r="H59" s="173">
        <v>39703</v>
      </c>
      <c r="I59" s="174">
        <v>677307.26191177336</v>
      </c>
      <c r="J59" s="172">
        <v>131.36816066906178</v>
      </c>
      <c r="K59" s="173">
        <v>38.327313769751697</v>
      </c>
    </row>
    <row r="60" spans="1:11" ht="22.8" x14ac:dyDescent="0.3">
      <c r="A60" s="152" t="s">
        <v>105</v>
      </c>
      <c r="B60" s="170">
        <v>135</v>
      </c>
      <c r="C60" s="170">
        <v>352.56166982922201</v>
      </c>
      <c r="D60" s="171">
        <v>569.25996204933585</v>
      </c>
      <c r="E60" s="170">
        <v>318</v>
      </c>
      <c r="F60" s="171">
        <v>47.438330170777981</v>
      </c>
      <c r="G60" s="172">
        <v>38.187855787476281</v>
      </c>
      <c r="H60" s="173">
        <v>34817</v>
      </c>
      <c r="I60" s="174">
        <v>436432.63757115742</v>
      </c>
      <c r="J60" s="172">
        <v>231.02466793168881</v>
      </c>
      <c r="K60" s="173">
        <v>2.2691065662002154</v>
      </c>
    </row>
    <row r="61" spans="1:11" ht="22.8" x14ac:dyDescent="0.3">
      <c r="A61" s="150" t="s">
        <v>106</v>
      </c>
      <c r="B61" s="170">
        <v>420</v>
      </c>
      <c r="C61" s="170">
        <v>499.55555555555549</v>
      </c>
      <c r="D61" s="171">
        <v>411.85185185185185</v>
      </c>
      <c r="E61" s="170">
        <v>73</v>
      </c>
      <c r="F61" s="171">
        <v>49.481481481481481</v>
      </c>
      <c r="G61" s="172">
        <v>33.274074074074072</v>
      </c>
      <c r="H61" s="173">
        <v>28934</v>
      </c>
      <c r="I61" s="174">
        <v>320000</v>
      </c>
      <c r="J61" s="172">
        <v>75.259259259259267</v>
      </c>
      <c r="K61" s="173">
        <v>2.0017793594306053</v>
      </c>
    </row>
    <row r="62" spans="1:11" ht="22.8" x14ac:dyDescent="0.3">
      <c r="A62" s="150" t="s">
        <v>107</v>
      </c>
      <c r="B62" s="170">
        <v>258</v>
      </c>
      <c r="C62" s="170">
        <v>244.90723210904957</v>
      </c>
      <c r="D62" s="171">
        <v>350.24611889435818</v>
      </c>
      <c r="E62" s="170">
        <v>788</v>
      </c>
      <c r="F62" s="171">
        <v>41.461567588034825</v>
      </c>
      <c r="G62" s="172">
        <v>46.98977659977281</v>
      </c>
      <c r="H62" s="173">
        <v>34999</v>
      </c>
      <c r="I62" s="174">
        <v>660734.570238546</v>
      </c>
      <c r="J62" s="172">
        <v>113.40401363120029</v>
      </c>
      <c r="K62" s="173">
        <v>8.5746753246753258</v>
      </c>
    </row>
    <row r="63" spans="1:11" ht="22.8" x14ac:dyDescent="0.3">
      <c r="A63" s="150" t="s">
        <v>108</v>
      </c>
      <c r="B63" s="170">
        <v>234</v>
      </c>
      <c r="C63" s="170">
        <v>389.16465749539071</v>
      </c>
      <c r="D63" s="171">
        <v>439.65394979435536</v>
      </c>
      <c r="E63" s="170">
        <v>294</v>
      </c>
      <c r="F63" s="171">
        <v>46.234576655793504</v>
      </c>
      <c r="G63" s="172">
        <v>50.007091192738621</v>
      </c>
      <c r="H63" s="173">
        <v>36431</v>
      </c>
      <c r="I63" s="174">
        <v>446745.14253297402</v>
      </c>
      <c r="J63" s="172">
        <v>85.047038245166164</v>
      </c>
      <c r="K63" s="173">
        <v>12.59107142857143</v>
      </c>
    </row>
    <row r="64" spans="1:11" ht="22.8" x14ac:dyDescent="0.3">
      <c r="A64" s="150" t="s">
        <v>109</v>
      </c>
      <c r="B64" s="170">
        <v>385</v>
      </c>
      <c r="C64" s="170">
        <v>1330.5505779839082</v>
      </c>
      <c r="D64" s="171">
        <v>466.95478022557188</v>
      </c>
      <c r="E64" s="170">
        <v>314</v>
      </c>
      <c r="F64" s="171">
        <v>37.735849056603776</v>
      </c>
      <c r="G64" s="172">
        <v>49.520396331822496</v>
      </c>
      <c r="H64" s="173">
        <v>50380</v>
      </c>
      <c r="I64" s="174">
        <v>1166157.1975686026</v>
      </c>
      <c r="J64" s="172">
        <v>325.49804996310746</v>
      </c>
      <c r="K64" s="173">
        <v>1.2025097177623794</v>
      </c>
    </row>
    <row r="65" spans="1:11" ht="22.8" x14ac:dyDescent="0.3">
      <c r="A65" s="150" t="s">
        <v>110</v>
      </c>
      <c r="B65" s="170">
        <v>251</v>
      </c>
      <c r="C65" s="170">
        <v>797.90602874919546</v>
      </c>
      <c r="D65" s="171">
        <v>311.95022527354644</v>
      </c>
      <c r="E65" s="170">
        <v>354</v>
      </c>
      <c r="F65" s="171">
        <v>34.284488307230205</v>
      </c>
      <c r="G65" s="172">
        <v>46.929843381248659</v>
      </c>
      <c r="H65" s="173">
        <v>42483</v>
      </c>
      <c r="I65" s="174">
        <v>1011370.9504398198</v>
      </c>
      <c r="J65" s="172">
        <v>390.55996567260246</v>
      </c>
      <c r="K65" s="173">
        <v>3.0078729994837379</v>
      </c>
    </row>
    <row r="66" spans="1:11" ht="34.200000000000003" x14ac:dyDescent="0.3">
      <c r="A66" s="150" t="s">
        <v>111</v>
      </c>
      <c r="B66" s="170">
        <v>178</v>
      </c>
      <c r="C66" s="170">
        <v>97.66456019154532</v>
      </c>
      <c r="D66" s="171">
        <v>388.58578325548535</v>
      </c>
      <c r="E66" s="170">
        <v>122</v>
      </c>
      <c r="F66" s="171">
        <v>40.781881697217102</v>
      </c>
      <c r="G66" s="172">
        <v>45.064175530870983</v>
      </c>
      <c r="H66" s="173">
        <v>39408</v>
      </c>
      <c r="I66" s="174">
        <v>859206.34297601762</v>
      </c>
      <c r="J66" s="172">
        <v>162.77426698590887</v>
      </c>
      <c r="K66" s="173">
        <v>26.621734587251826</v>
      </c>
    </row>
    <row r="67" spans="1:11" ht="34.200000000000003" x14ac:dyDescent="0.3">
      <c r="A67" s="150" t="s">
        <v>112</v>
      </c>
      <c r="B67" s="170">
        <v>394</v>
      </c>
      <c r="C67" s="170">
        <v>152.97365119196988</v>
      </c>
      <c r="D67" s="171">
        <v>311.88385015235701</v>
      </c>
      <c r="E67" s="170">
        <v>363</v>
      </c>
      <c r="F67" s="171">
        <v>38.393977415307404</v>
      </c>
      <c r="G67" s="172">
        <v>47.137479835095895</v>
      </c>
      <c r="H67" s="173">
        <v>49936</v>
      </c>
      <c r="I67" s="174">
        <v>695106.64993726485</v>
      </c>
      <c r="J67" s="172">
        <v>136.5836171356874</v>
      </c>
      <c r="K67" s="173">
        <v>15.688976377952756</v>
      </c>
    </row>
    <row r="68" spans="1:11" ht="22.8" x14ac:dyDescent="0.3">
      <c r="A68" s="150" t="s">
        <v>113</v>
      </c>
      <c r="B68" s="170">
        <v>342</v>
      </c>
      <c r="C68" s="170">
        <v>302.67312029041307</v>
      </c>
      <c r="D68" s="171">
        <v>441.11985039326771</v>
      </c>
      <c r="E68" s="170">
        <v>266</v>
      </c>
      <c r="F68" s="171">
        <v>36.961663274847375</v>
      </c>
      <c r="G68" s="172">
        <v>45.971068698091415</v>
      </c>
      <c r="H68" s="173">
        <v>40804</v>
      </c>
      <c r="I68" s="174">
        <v>520873.43930476869</v>
      </c>
      <c r="J68" s="172">
        <v>114.40514823167044</v>
      </c>
      <c r="K68" s="173">
        <v>12.885187810063785</v>
      </c>
    </row>
    <row r="69" spans="1:11" ht="22.8" x14ac:dyDescent="0.3">
      <c r="A69" s="150" t="s">
        <v>114</v>
      </c>
      <c r="B69" s="170">
        <v>278</v>
      </c>
      <c r="C69" s="170">
        <v>421.85163887291537</v>
      </c>
      <c r="D69" s="171">
        <v>415.94786275637335</v>
      </c>
      <c r="E69" s="170">
        <v>416</v>
      </c>
      <c r="F69" s="171">
        <v>41.019743147402714</v>
      </c>
      <c r="G69" s="172">
        <v>47.393137818669729</v>
      </c>
      <c r="H69" s="173">
        <v>41600</v>
      </c>
      <c r="I69" s="174">
        <v>775349.81790300924</v>
      </c>
      <c r="J69" s="172">
        <v>142.32317423806785</v>
      </c>
      <c r="K69" s="173">
        <v>3.3187022900763363</v>
      </c>
    </row>
    <row r="70" spans="1:11" ht="22.8" x14ac:dyDescent="0.3">
      <c r="A70" s="150" t="s">
        <v>116</v>
      </c>
      <c r="B70" s="170">
        <v>263</v>
      </c>
      <c r="C70" s="170">
        <v>686.7681860273691</v>
      </c>
      <c r="D70" s="171">
        <v>496.96470830332339</v>
      </c>
      <c r="E70" s="170">
        <v>342</v>
      </c>
      <c r="F70" s="171">
        <v>32.719415577734331</v>
      </c>
      <c r="G70" s="172">
        <v>38.76942072229653</v>
      </c>
      <c r="H70" s="173">
        <v>38412</v>
      </c>
      <c r="I70" s="174">
        <v>459923.86047947319</v>
      </c>
      <c r="J70" s="172">
        <v>170.07922625784548</v>
      </c>
      <c r="K70" s="173">
        <v>2.7665812695701679</v>
      </c>
    </row>
    <row r="71" spans="1:11" ht="34.200000000000003" x14ac:dyDescent="0.3">
      <c r="A71" s="150" t="s">
        <v>117</v>
      </c>
      <c r="B71" s="170">
        <v>242</v>
      </c>
      <c r="C71" s="170">
        <v>7387.8406708595394</v>
      </c>
      <c r="D71" s="171">
        <v>442.24817809723464</v>
      </c>
      <c r="E71" s="170">
        <v>135</v>
      </c>
      <c r="F71" s="171">
        <v>34.441449535789154</v>
      </c>
      <c r="G71" s="172">
        <v>52.580612957971454</v>
      </c>
      <c r="H71" s="173">
        <v>69031</v>
      </c>
      <c r="I71" s="174">
        <v>2021563.3423180594</v>
      </c>
      <c r="J71" s="172">
        <v>738.24498352800242</v>
      </c>
      <c r="K71" s="173">
        <v>0.32485811577752555</v>
      </c>
    </row>
    <row r="72" spans="1:11" ht="22.8" x14ac:dyDescent="0.3">
      <c r="A72" s="150" t="s">
        <v>118</v>
      </c>
      <c r="B72" s="170">
        <v>276</v>
      </c>
      <c r="C72" s="170">
        <v>526.4932954083705</v>
      </c>
      <c r="D72" s="171">
        <v>473.38480292563997</v>
      </c>
      <c r="E72" s="170">
        <v>163</v>
      </c>
      <c r="F72" s="171">
        <v>37.789516456724911</v>
      </c>
      <c r="G72" s="172">
        <v>43.417310036570498</v>
      </c>
      <c r="H72" s="173">
        <v>42758</v>
      </c>
      <c r="I72" s="174">
        <v>555668.42746850871</v>
      </c>
      <c r="J72" s="172">
        <v>274.58350264120281</v>
      </c>
      <c r="K72" s="173">
        <v>2.2792313035424869</v>
      </c>
    </row>
    <row r="73" spans="1:11" ht="22.8" x14ac:dyDescent="0.3">
      <c r="A73" s="150" t="s">
        <v>119</v>
      </c>
      <c r="B73" s="170">
        <v>271</v>
      </c>
      <c r="C73" s="170">
        <v>160.71304949809627</v>
      </c>
      <c r="D73" s="171">
        <v>526.13361024575977</v>
      </c>
      <c r="E73" s="170">
        <v>487</v>
      </c>
      <c r="F73" s="171">
        <v>44.652128764278302</v>
      </c>
      <c r="G73" s="172">
        <v>55.867082035306339</v>
      </c>
      <c r="H73" s="173">
        <v>87054</v>
      </c>
      <c r="I73" s="174">
        <v>1235721.7030114227</v>
      </c>
      <c r="J73" s="172">
        <v>443.7521633783316</v>
      </c>
      <c r="K73" s="173">
        <v>0.62222700839974143</v>
      </c>
    </row>
    <row r="74" spans="1:11" ht="22.8" x14ac:dyDescent="0.3">
      <c r="A74" s="150" t="s">
        <v>120</v>
      </c>
      <c r="B74" s="170">
        <v>318</v>
      </c>
      <c r="C74" s="170">
        <v>218.82196634189546</v>
      </c>
      <c r="D74" s="171">
        <v>293.95482728077945</v>
      </c>
      <c r="E74" s="170">
        <v>150</v>
      </c>
      <c r="F74" s="171">
        <v>51.040744021257751</v>
      </c>
      <c r="G74" s="172">
        <v>51.826837909654564</v>
      </c>
      <c r="H74" s="173">
        <v>54494</v>
      </c>
      <c r="I74" s="174">
        <v>851970.77059344552</v>
      </c>
      <c r="J74" s="172">
        <v>221.76705048715678</v>
      </c>
      <c r="K74" s="173">
        <v>10.96782027929569</v>
      </c>
    </row>
    <row r="75" spans="1:11" ht="22.8" x14ac:dyDescent="0.3">
      <c r="A75" s="150" t="s">
        <v>121</v>
      </c>
      <c r="B75" s="170">
        <v>246</v>
      </c>
      <c r="C75" s="170">
        <v>985.96353962913724</v>
      </c>
      <c r="D75" s="171">
        <v>263.67263907362491</v>
      </c>
      <c r="E75" s="170">
        <v>193</v>
      </c>
      <c r="F75" s="171">
        <v>31.531179093967612</v>
      </c>
      <c r="G75" s="172">
        <v>53.18050230811361</v>
      </c>
      <c r="H75" s="173">
        <v>58092</v>
      </c>
      <c r="I75" s="174">
        <v>835615.36655973713</v>
      </c>
      <c r="J75" s="172">
        <v>327.59564979266099</v>
      </c>
      <c r="K75" s="173">
        <v>1.6227780599288977</v>
      </c>
    </row>
    <row r="76" spans="1:11" ht="22.8" x14ac:dyDescent="0.3">
      <c r="A76" s="150" t="s">
        <v>122</v>
      </c>
      <c r="B76" s="170">
        <v>172</v>
      </c>
      <c r="C76" s="170">
        <v>1254.4194107452338</v>
      </c>
      <c r="D76" s="171">
        <v>299.9600053326223</v>
      </c>
      <c r="E76" s="170">
        <v>208</v>
      </c>
      <c r="F76" s="171">
        <v>26.26316491134515</v>
      </c>
      <c r="G76" s="172">
        <v>53.312891614451395</v>
      </c>
      <c r="H76" s="173">
        <v>54055</v>
      </c>
      <c r="I76" s="174">
        <v>805225.96987068385</v>
      </c>
      <c r="J76" s="172">
        <v>1001.3331555792562</v>
      </c>
      <c r="K76" s="173">
        <v>2.0726720088422219</v>
      </c>
    </row>
    <row r="77" spans="1:11" ht="34.200000000000003" x14ac:dyDescent="0.3">
      <c r="A77" s="150" t="s">
        <v>123</v>
      </c>
      <c r="B77" s="170">
        <v>350</v>
      </c>
      <c r="C77" s="170">
        <v>346.70164917541229</v>
      </c>
      <c r="D77" s="171">
        <v>562.21889055472263</v>
      </c>
      <c r="E77" s="170">
        <v>280</v>
      </c>
      <c r="F77" s="171">
        <v>54.722638680659664</v>
      </c>
      <c r="G77" s="172">
        <v>63.343328335832084</v>
      </c>
      <c r="H77" s="173">
        <v>111157</v>
      </c>
      <c r="I77" s="174">
        <v>2368815.5922038984</v>
      </c>
      <c r="J77" s="172">
        <v>727.88605697151422</v>
      </c>
      <c r="K77" s="173">
        <v>0.28843243243243244</v>
      </c>
    </row>
    <row r="78" spans="1:11" ht="34.200000000000003" x14ac:dyDescent="0.3">
      <c r="A78" s="150" t="s">
        <v>124</v>
      </c>
      <c r="B78" s="170">
        <v>246</v>
      </c>
      <c r="C78" s="170">
        <v>57.10227272727272</v>
      </c>
      <c r="D78" s="171">
        <v>467.65734265734267</v>
      </c>
      <c r="E78" s="170">
        <v>160</v>
      </c>
      <c r="F78" s="171">
        <v>59.659090909090907</v>
      </c>
      <c r="G78" s="172">
        <v>61.210664335664333</v>
      </c>
      <c r="H78" s="173">
        <v>87902</v>
      </c>
      <c r="I78" s="174">
        <v>3343531.4685314684</v>
      </c>
      <c r="J78" s="172">
        <v>667.39510489510474</v>
      </c>
      <c r="K78" s="173">
        <v>5.253731343283583</v>
      </c>
    </row>
    <row r="79" spans="1:11" ht="34.200000000000003" x14ac:dyDescent="0.3">
      <c r="A79" s="150" t="s">
        <v>125</v>
      </c>
      <c r="B79" s="170">
        <v>138</v>
      </c>
      <c r="C79" s="170">
        <v>49.794238683127567</v>
      </c>
      <c r="D79" s="171">
        <v>384.08779149519887</v>
      </c>
      <c r="E79" s="170">
        <v>173</v>
      </c>
      <c r="F79" s="171">
        <v>56.241426611796975</v>
      </c>
      <c r="G79" s="172">
        <v>41.289437585733879</v>
      </c>
      <c r="H79" s="173">
        <v>43479</v>
      </c>
      <c r="I79" s="174">
        <v>555555.55555555539</v>
      </c>
      <c r="J79" s="172">
        <v>200.960219478738</v>
      </c>
      <c r="K79" s="173">
        <v>4.0165289256198351</v>
      </c>
    </row>
    <row r="80" spans="1:11" ht="34.200000000000003" x14ac:dyDescent="0.3">
      <c r="A80" s="150" t="s">
        <v>126</v>
      </c>
      <c r="B80" s="170">
        <v>0</v>
      </c>
      <c r="C80" s="170">
        <v>0</v>
      </c>
      <c r="D80" s="171">
        <v>541.66666666666663</v>
      </c>
      <c r="E80" s="170">
        <v>108</v>
      </c>
      <c r="F80" s="171">
        <v>87.500000000000014</v>
      </c>
      <c r="G80" s="172">
        <v>66.666666666666657</v>
      </c>
      <c r="H80" s="173">
        <v>156988</v>
      </c>
      <c r="I80" s="174">
        <v>2937500</v>
      </c>
      <c r="J80" s="172">
        <v>1837.5000000000002</v>
      </c>
      <c r="K80" s="173">
        <v>6.6528066528066532E-2</v>
      </c>
    </row>
  </sheetData>
  <phoneticPr fontId="22" type="noConversion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C6CF1-AD49-46C1-908D-F2157CD19AF6}">
  <dimension ref="A1:I51"/>
  <sheetViews>
    <sheetView zoomScale="85" zoomScaleNormal="85" workbookViewId="0">
      <selection sqref="A1:I9"/>
    </sheetView>
  </sheetViews>
  <sheetFormatPr defaultRowHeight="14.4" x14ac:dyDescent="0.3"/>
  <cols>
    <col min="1" max="1" width="7" customWidth="1"/>
    <col min="2" max="9" width="11.5546875" customWidth="1"/>
  </cols>
  <sheetData>
    <row r="1" spans="1:9" ht="96" x14ac:dyDescent="0.3">
      <c r="A1" s="161"/>
      <c r="B1" s="149" t="s">
        <v>1193</v>
      </c>
      <c r="C1" s="149" t="s">
        <v>822</v>
      </c>
      <c r="D1" s="149" t="s">
        <v>1195</v>
      </c>
      <c r="E1" s="149" t="s">
        <v>824</v>
      </c>
      <c r="F1" s="146" t="s">
        <v>1192</v>
      </c>
      <c r="G1" s="146" t="s">
        <v>1235</v>
      </c>
      <c r="H1" s="146" t="s">
        <v>1234</v>
      </c>
      <c r="I1" s="146" t="s">
        <v>1231</v>
      </c>
    </row>
    <row r="2" spans="1:9" x14ac:dyDescent="0.3">
      <c r="A2" s="161">
        <v>2023</v>
      </c>
      <c r="B2" s="161">
        <v>284</v>
      </c>
      <c r="C2" s="180">
        <v>11.10496829302337</v>
      </c>
      <c r="D2" s="181">
        <v>50831</v>
      </c>
      <c r="E2" s="161">
        <v>579</v>
      </c>
      <c r="F2" s="182">
        <v>72911.8</v>
      </c>
      <c r="G2" s="181">
        <v>74854</v>
      </c>
      <c r="H2" s="182">
        <v>958811.4</v>
      </c>
      <c r="I2" s="183">
        <v>8.57</v>
      </c>
    </row>
    <row r="3" spans="1:9" x14ac:dyDescent="0.3">
      <c r="A3" s="161">
        <v>2022</v>
      </c>
      <c r="B3" s="161">
        <v>245</v>
      </c>
      <c r="C3" s="180">
        <v>11.143932906968647</v>
      </c>
      <c r="D3" s="161">
        <v>51691</v>
      </c>
      <c r="E3" s="161">
        <v>693</v>
      </c>
      <c r="F3" s="182">
        <v>71216.899999999994</v>
      </c>
      <c r="G3" s="181">
        <v>65338</v>
      </c>
      <c r="H3" s="182">
        <v>830059.8</v>
      </c>
      <c r="I3" s="183">
        <v>8.56</v>
      </c>
    </row>
    <row r="4" spans="1:9" x14ac:dyDescent="0.3">
      <c r="A4" s="161">
        <v>2021</v>
      </c>
      <c r="B4" s="161">
        <v>173</v>
      </c>
      <c r="C4" s="180">
        <v>11.402904202677778</v>
      </c>
      <c r="D4" s="181">
        <v>49672</v>
      </c>
      <c r="E4" s="161">
        <v>817</v>
      </c>
      <c r="F4" s="182">
        <v>70817.899999999994</v>
      </c>
      <c r="G4" s="181">
        <v>57244</v>
      </c>
      <c r="H4" s="182">
        <v>639170</v>
      </c>
      <c r="I4" s="183">
        <v>8.5299999999999994</v>
      </c>
    </row>
    <row r="5" spans="1:9" x14ac:dyDescent="0.3">
      <c r="A5" s="161">
        <v>2020</v>
      </c>
      <c r="B5" s="161">
        <v>109</v>
      </c>
      <c r="C5" s="180">
        <v>12.003605150563864</v>
      </c>
      <c r="D5" s="161">
        <v>44028</v>
      </c>
      <c r="E5" s="161">
        <v>936</v>
      </c>
      <c r="F5" s="182">
        <v>69550.3</v>
      </c>
      <c r="G5" s="181">
        <v>51344</v>
      </c>
      <c r="H5" s="182">
        <v>647708.1</v>
      </c>
      <c r="I5" s="183">
        <v>8.5399999999999991</v>
      </c>
    </row>
    <row r="6" spans="1:9" x14ac:dyDescent="0.3">
      <c r="A6" s="161">
        <v>2019</v>
      </c>
      <c r="B6" s="161">
        <v>280</v>
      </c>
      <c r="C6" s="180">
        <v>11.788836721204234</v>
      </c>
      <c r="D6" s="161">
        <v>50404</v>
      </c>
      <c r="E6" s="161">
        <v>955</v>
      </c>
      <c r="F6" s="182">
        <v>71064.5</v>
      </c>
      <c r="G6" s="181">
        <v>47867</v>
      </c>
      <c r="H6" s="182">
        <v>614333.19999999995</v>
      </c>
      <c r="I6" s="183">
        <v>8.57</v>
      </c>
    </row>
    <row r="7" spans="1:9" x14ac:dyDescent="0.3">
      <c r="A7" s="161">
        <v>2015</v>
      </c>
      <c r="B7" s="161">
        <v>261</v>
      </c>
      <c r="C7" s="180">
        <v>12.752892161625415</v>
      </c>
      <c r="D7" s="161">
        <v>51992</v>
      </c>
      <c r="E7" s="181">
        <v>1382</v>
      </c>
      <c r="F7" s="182">
        <v>72424.899999999994</v>
      </c>
      <c r="G7" s="181">
        <v>34030</v>
      </c>
      <c r="H7" s="182">
        <v>447395.3</v>
      </c>
      <c r="I7" s="183">
        <v>8.57</v>
      </c>
    </row>
    <row r="8" spans="1:9" x14ac:dyDescent="0.3">
      <c r="A8" s="161">
        <v>2010</v>
      </c>
      <c r="B8" s="161">
        <v>217</v>
      </c>
      <c r="C8" s="180">
        <v>13.320267385293809</v>
      </c>
      <c r="D8" s="161">
        <v>55971</v>
      </c>
      <c r="E8" s="181">
        <v>1446</v>
      </c>
      <c r="F8" s="182">
        <v>71493.100000000006</v>
      </c>
      <c r="G8" s="181">
        <v>20952</v>
      </c>
      <c r="H8" s="182">
        <v>263828.59999999998</v>
      </c>
      <c r="I8" s="183">
        <v>8.36</v>
      </c>
    </row>
    <row r="9" spans="1:9" x14ac:dyDescent="0.3">
      <c r="A9" s="161">
        <v>2005</v>
      </c>
      <c r="B9" s="161">
        <v>195</v>
      </c>
      <c r="C9" s="180">
        <v>14.52847049624396</v>
      </c>
      <c r="D9" s="161">
        <v>58088</v>
      </c>
      <c r="E9" s="181">
        <v>1234</v>
      </c>
      <c r="F9" s="161" t="s">
        <v>1215</v>
      </c>
      <c r="G9" s="181">
        <v>8555</v>
      </c>
      <c r="H9" s="182">
        <v>125658.7</v>
      </c>
      <c r="I9" s="183">
        <v>8.3800000000000008</v>
      </c>
    </row>
    <row r="10" spans="1:9" x14ac:dyDescent="0.3">
      <c r="G10" s="175"/>
    </row>
    <row r="14" spans="1:9" x14ac:dyDescent="0.3">
      <c r="A14">
        <v>2022</v>
      </c>
    </row>
    <row r="15" spans="1:9" x14ac:dyDescent="0.3">
      <c r="A15">
        <v>2021</v>
      </c>
    </row>
    <row r="16" spans="1:9" x14ac:dyDescent="0.3">
      <c r="A16">
        <v>2020</v>
      </c>
    </row>
    <row r="17" spans="1:1" x14ac:dyDescent="0.3">
      <c r="A17">
        <v>2019</v>
      </c>
    </row>
    <row r="18" spans="1:1" x14ac:dyDescent="0.3">
      <c r="A18">
        <v>2018</v>
      </c>
    </row>
    <row r="19" spans="1:1" x14ac:dyDescent="0.3">
      <c r="A19">
        <v>2015</v>
      </c>
    </row>
    <row r="20" spans="1:1" x14ac:dyDescent="0.3">
      <c r="A20">
        <v>2010</v>
      </c>
    </row>
    <row r="21" spans="1:1" x14ac:dyDescent="0.3">
      <c r="A21">
        <v>2005</v>
      </c>
    </row>
    <row r="43" spans="1:9" x14ac:dyDescent="0.3">
      <c r="A43" s="165" t="s">
        <v>1236</v>
      </c>
      <c r="B43" s="165" t="s">
        <v>1218</v>
      </c>
      <c r="C43" s="165" t="s">
        <v>1219</v>
      </c>
      <c r="D43" s="165" t="s">
        <v>1220</v>
      </c>
      <c r="E43" s="165" t="s">
        <v>1221</v>
      </c>
      <c r="F43" s="165" t="s">
        <v>1223</v>
      </c>
      <c r="G43" s="165" t="s">
        <v>1224</v>
      </c>
      <c r="H43" s="165" t="s">
        <v>1225</v>
      </c>
      <c r="I43" s="165" t="s">
        <v>1227</v>
      </c>
    </row>
    <row r="44" spans="1:9" x14ac:dyDescent="0.3">
      <c r="A44" s="165">
        <v>2023</v>
      </c>
      <c r="B44" s="165">
        <v>284</v>
      </c>
      <c r="C44" s="184">
        <v>11.10496829302337</v>
      </c>
      <c r="D44" s="165">
        <v>50831</v>
      </c>
      <c r="E44" s="165">
        <v>579</v>
      </c>
      <c r="F44" s="165">
        <v>72911.8</v>
      </c>
      <c r="G44" s="165">
        <v>74854</v>
      </c>
      <c r="H44" s="165">
        <v>958811.4</v>
      </c>
      <c r="I44" s="165">
        <v>8.57</v>
      </c>
    </row>
    <row r="45" spans="1:9" x14ac:dyDescent="0.3">
      <c r="A45" s="165">
        <v>2022</v>
      </c>
      <c r="B45" s="165">
        <v>245</v>
      </c>
      <c r="C45" s="184">
        <v>11.143932906968647</v>
      </c>
      <c r="D45" s="165">
        <v>51691</v>
      </c>
      <c r="E45" s="165">
        <v>693</v>
      </c>
      <c r="F45" s="165">
        <v>71216.899999999994</v>
      </c>
      <c r="G45" s="165">
        <v>65338</v>
      </c>
      <c r="H45" s="165">
        <v>830059.8</v>
      </c>
      <c r="I45" s="165">
        <v>8.56</v>
      </c>
    </row>
    <row r="46" spans="1:9" x14ac:dyDescent="0.3">
      <c r="A46" s="165">
        <v>2021</v>
      </c>
      <c r="B46" s="165">
        <v>173</v>
      </c>
      <c r="C46" s="184">
        <v>11.402904202677778</v>
      </c>
      <c r="D46" s="165">
        <v>49672</v>
      </c>
      <c r="E46" s="165">
        <v>817</v>
      </c>
      <c r="F46" s="165">
        <v>70817.899999999994</v>
      </c>
      <c r="G46" s="165">
        <v>57244</v>
      </c>
      <c r="H46" s="165">
        <v>639170</v>
      </c>
      <c r="I46" s="165">
        <v>8.5299999999999994</v>
      </c>
    </row>
    <row r="47" spans="1:9" x14ac:dyDescent="0.3">
      <c r="A47" s="165">
        <v>2020</v>
      </c>
      <c r="B47" s="165">
        <v>109</v>
      </c>
      <c r="C47" s="184">
        <v>12.003605150563864</v>
      </c>
      <c r="D47" s="165">
        <v>44028</v>
      </c>
      <c r="E47" s="165">
        <v>936</v>
      </c>
      <c r="F47" s="165">
        <v>69550.3</v>
      </c>
      <c r="G47" s="165">
        <v>51344</v>
      </c>
      <c r="H47" s="165">
        <v>647708.1</v>
      </c>
      <c r="I47" s="165">
        <v>8.5399999999999991</v>
      </c>
    </row>
    <row r="48" spans="1:9" x14ac:dyDescent="0.3">
      <c r="A48" s="165">
        <v>2019</v>
      </c>
      <c r="B48" s="165">
        <v>280</v>
      </c>
      <c r="C48" s="184">
        <v>11.788836721204234</v>
      </c>
      <c r="D48" s="165">
        <v>50404</v>
      </c>
      <c r="E48" s="165">
        <v>955</v>
      </c>
      <c r="F48" s="165">
        <v>71064.5</v>
      </c>
      <c r="G48" s="165">
        <v>47867</v>
      </c>
      <c r="H48" s="165">
        <v>614333.19999999995</v>
      </c>
      <c r="I48" s="165">
        <v>8.57</v>
      </c>
    </row>
    <row r="49" spans="1:9" x14ac:dyDescent="0.3">
      <c r="A49" s="165">
        <v>2015</v>
      </c>
      <c r="B49" s="165">
        <v>261</v>
      </c>
      <c r="C49" s="184">
        <v>12.752892161625415</v>
      </c>
      <c r="D49" s="165">
        <v>51992</v>
      </c>
      <c r="E49" s="165">
        <v>1382</v>
      </c>
      <c r="F49" s="165">
        <v>72424.899999999994</v>
      </c>
      <c r="G49" s="165">
        <v>34030</v>
      </c>
      <c r="H49" s="165">
        <v>447395.3</v>
      </c>
      <c r="I49" s="165">
        <v>8.57</v>
      </c>
    </row>
    <row r="50" spans="1:9" x14ac:dyDescent="0.3">
      <c r="A50" s="165">
        <v>2010</v>
      </c>
      <c r="B50" s="165">
        <v>217</v>
      </c>
      <c r="C50" s="184">
        <v>13.320267385293809</v>
      </c>
      <c r="D50" s="165">
        <v>55971</v>
      </c>
      <c r="E50" s="165">
        <v>1446</v>
      </c>
      <c r="F50" s="165">
        <v>71493.100000000006</v>
      </c>
      <c r="G50" s="165">
        <v>20952</v>
      </c>
      <c r="H50" s="165">
        <v>263828.59999999998</v>
      </c>
      <c r="I50" s="165">
        <v>8.36</v>
      </c>
    </row>
    <row r="51" spans="1:9" x14ac:dyDescent="0.3">
      <c r="A51" s="165">
        <v>2005</v>
      </c>
      <c r="B51" s="165">
        <v>195</v>
      </c>
      <c r="C51" s="184">
        <v>14.52847049624396</v>
      </c>
      <c r="D51" s="165">
        <v>58088</v>
      </c>
      <c r="E51" s="165">
        <v>1234</v>
      </c>
      <c r="F51" s="165" t="s">
        <v>1215</v>
      </c>
      <c r="G51" s="165">
        <v>8555</v>
      </c>
      <c r="H51" s="165">
        <v>125658.7</v>
      </c>
      <c r="I51" s="165">
        <v>8.3800000000000008</v>
      </c>
    </row>
  </sheetData>
  <phoneticPr fontId="22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168C5-95FD-4984-BEB3-6899BB42C92B}">
  <dimension ref="A1:AF116"/>
  <sheetViews>
    <sheetView topLeftCell="A95" zoomScale="70" zoomScaleNormal="70" workbookViewId="0">
      <selection activeCell="G113" sqref="G113"/>
    </sheetView>
  </sheetViews>
  <sheetFormatPr defaultRowHeight="14.4" x14ac:dyDescent="0.3"/>
  <cols>
    <col min="1" max="1" width="10.109375" customWidth="1"/>
    <col min="2" max="6" width="12.88671875" customWidth="1"/>
    <col min="7" max="7" width="12.88671875" style="144" customWidth="1"/>
    <col min="8" max="11" width="19.109375" style="144" customWidth="1"/>
    <col min="13" max="13" width="20.88671875" customWidth="1"/>
    <col min="14" max="14" width="15.5546875" customWidth="1"/>
    <col min="15" max="15" width="22.6640625" customWidth="1"/>
    <col min="16" max="16" width="15.5546875" customWidth="1"/>
    <col min="17" max="17" width="23.33203125" customWidth="1"/>
    <col min="18" max="18" width="15.5546875" customWidth="1"/>
    <col min="19" max="19" width="24.5546875" customWidth="1"/>
    <col min="20" max="20" width="15.5546875" customWidth="1"/>
    <col min="21" max="21" width="24.109375" customWidth="1"/>
    <col min="22" max="22" width="15.5546875" customWidth="1"/>
    <col min="23" max="23" width="22.88671875" customWidth="1"/>
    <col min="24" max="24" width="15.109375" customWidth="1"/>
    <col min="25" max="25" width="23" customWidth="1"/>
    <col min="27" max="27" width="23.6640625" customWidth="1"/>
    <col min="29" max="29" width="23.6640625" customWidth="1"/>
    <col min="31" max="31" width="24.44140625" customWidth="1"/>
  </cols>
  <sheetData>
    <row r="1" spans="1:32" ht="57.6" thickBot="1" x14ac:dyDescent="0.35">
      <c r="A1" s="148" t="s">
        <v>1072</v>
      </c>
      <c r="B1" s="149" t="s">
        <v>1193</v>
      </c>
      <c r="C1" s="149" t="s">
        <v>822</v>
      </c>
      <c r="D1" s="149" t="s">
        <v>1195</v>
      </c>
      <c r="E1" s="149" t="s">
        <v>824</v>
      </c>
      <c r="F1" s="149" t="s">
        <v>1196</v>
      </c>
      <c r="G1" s="146" t="s">
        <v>1192</v>
      </c>
      <c r="H1" s="146" t="s">
        <v>1189</v>
      </c>
      <c r="I1" s="146" t="s">
        <v>1188</v>
      </c>
      <c r="J1" s="146" t="s">
        <v>1191</v>
      </c>
      <c r="K1" s="146" t="s">
        <v>1231</v>
      </c>
      <c r="M1" s="166"/>
      <c r="N1" s="166"/>
      <c r="O1" s="166"/>
      <c r="P1" s="166"/>
      <c r="Q1" s="166"/>
      <c r="R1" s="166"/>
      <c r="S1" s="167"/>
      <c r="T1" s="167"/>
      <c r="U1" s="167"/>
      <c r="V1" s="160"/>
      <c r="W1" s="146"/>
    </row>
    <row r="2" spans="1:32" ht="72" customHeight="1" x14ac:dyDescent="0.3">
      <c r="A2" s="150" t="s">
        <v>7</v>
      </c>
      <c r="B2" s="151">
        <v>152</v>
      </c>
      <c r="C2" s="151">
        <f>VLOOKUP($A2,'спортивные сооружния'!A4:G112,7,FALSE)</f>
        <v>23</v>
      </c>
      <c r="D2" s="162">
        <f>VLOOKUP($A2,библиотеки!A4:N116,14,FALSE)/'Экономические факторы'!G2*1000</f>
        <v>497.10135270207235</v>
      </c>
      <c r="E2" s="151">
        <f>VLOOKUP($A2,Газеты!$A$3:$G$111,7,FALSE)</f>
        <v>852</v>
      </c>
      <c r="F2" s="162">
        <f>'Культурные факторы'!F2/Данные!K2*1000</f>
        <v>1074.4652495502098</v>
      </c>
      <c r="G2" s="163">
        <f>'Экономические факторы'!B2/'Экономические факторы'!G2*100</f>
        <v>50.996201772506154</v>
      </c>
      <c r="H2" s="147">
        <v>47257</v>
      </c>
      <c r="I2" s="164">
        <v>873592.32358232816</v>
      </c>
      <c r="J2" s="147">
        <f>'Экономические факторы'!F2/'Экономические факторы'!G2*1000</f>
        <v>141.40067968281465</v>
      </c>
      <c r="K2" s="147">
        <v>55.376383763837637</v>
      </c>
      <c r="M2" s="286" t="s">
        <v>1193</v>
      </c>
      <c r="N2" s="286"/>
      <c r="O2" s="286" t="s">
        <v>822</v>
      </c>
      <c r="P2" s="286"/>
      <c r="Q2" s="286" t="s">
        <v>1195</v>
      </c>
      <c r="R2" s="286"/>
      <c r="S2" s="286" t="s">
        <v>824</v>
      </c>
      <c r="T2" s="286"/>
      <c r="U2" s="286" t="s">
        <v>1196</v>
      </c>
      <c r="V2" s="286"/>
      <c r="W2" s="286" t="s">
        <v>1192</v>
      </c>
      <c r="X2" s="286"/>
      <c r="Y2" s="286" t="s">
        <v>1189</v>
      </c>
      <c r="Z2" s="286"/>
      <c r="AA2" s="286" t="s">
        <v>1188</v>
      </c>
      <c r="AB2" s="286"/>
      <c r="AC2" s="286" t="s">
        <v>1200</v>
      </c>
      <c r="AD2" s="286"/>
      <c r="AE2" s="286" t="s">
        <v>1191</v>
      </c>
      <c r="AF2" s="286"/>
    </row>
    <row r="3" spans="1:32" ht="22.8" x14ac:dyDescent="0.3">
      <c r="A3" s="150" t="s">
        <v>8</v>
      </c>
      <c r="B3" s="151">
        <v>173</v>
      </c>
      <c r="C3" s="151">
        <f>VLOOKUP($A3,'спортивные сооружния'!A5:G113,7,FALSE)</f>
        <v>18</v>
      </c>
      <c r="D3" s="162">
        <f>VLOOKUP($A3,библиотеки!A5:N117,14,FALSE)/'Экономические факторы'!G3*1000</f>
        <v>426.2955182072829</v>
      </c>
      <c r="E3" s="151">
        <f>VLOOKUP($A3,Газеты!$A$3:$G$111,7,FALSE)</f>
        <v>234</v>
      </c>
      <c r="F3" s="162">
        <f>'Культурные факторы'!F3/Данные!K3*1000</f>
        <v>1011.1957282913164</v>
      </c>
      <c r="G3" s="163">
        <f>'Экономические факторы'!B3/'Экономические факторы'!G3*100</f>
        <v>44.161414565826327</v>
      </c>
      <c r="H3" s="147">
        <v>40927</v>
      </c>
      <c r="I3" s="164">
        <v>480567.22689075628</v>
      </c>
      <c r="J3" s="147">
        <f>'Экономические факторы'!F3/'Экономические факторы'!G3*1000</f>
        <v>82.37044817927169</v>
      </c>
      <c r="K3" s="147">
        <v>32.733524355300865</v>
      </c>
      <c r="M3" s="287"/>
      <c r="N3" s="287"/>
      <c r="O3" s="287"/>
      <c r="P3" s="287"/>
      <c r="Q3" s="287"/>
      <c r="R3" s="287"/>
      <c r="S3" s="287"/>
      <c r="T3" s="287"/>
      <c r="U3" s="287"/>
      <c r="V3" s="287"/>
      <c r="W3" s="287"/>
      <c r="X3" s="287"/>
      <c r="Y3" s="287"/>
      <c r="Z3" s="287"/>
      <c r="AA3" s="287"/>
      <c r="AB3" s="287"/>
      <c r="AC3" s="287"/>
      <c r="AD3" s="287"/>
      <c r="AE3" s="287"/>
      <c r="AF3" s="287"/>
    </row>
    <row r="4" spans="1:32" ht="22.8" x14ac:dyDescent="0.3">
      <c r="A4" s="150" t="s">
        <v>9</v>
      </c>
      <c r="B4" s="151">
        <v>78</v>
      </c>
      <c r="C4" s="151">
        <f>VLOOKUP($A4,'спортивные сооружния'!A6:G114,7,FALSE)</f>
        <v>28</v>
      </c>
      <c r="D4" s="162">
        <f>VLOOKUP($A4,библиотеки!A6:N118,14,FALSE)/'Экономические факторы'!G4*1000</f>
        <v>383.99877853271244</v>
      </c>
      <c r="E4" s="151">
        <f>VLOOKUP($A4,Газеты!$A$3:$G$111,7,FALSE)</f>
        <v>552</v>
      </c>
      <c r="F4" s="162">
        <f>'Культурные факторы'!F4/Данные!K4*1000</f>
        <v>1028.574700358806</v>
      </c>
      <c r="G4" s="163">
        <f>'Экономические факторы'!B4/'Экономические факторы'!G4*100</f>
        <v>48.782349797694479</v>
      </c>
      <c r="H4" s="147">
        <v>38649</v>
      </c>
      <c r="I4" s="164">
        <v>596228.71974959911</v>
      </c>
      <c r="J4" s="147">
        <f>'Экономические факторы'!F4/'Экономические факторы'!G4*1000</f>
        <v>138.71287884571339</v>
      </c>
      <c r="K4" s="147">
        <v>45.013745704467354</v>
      </c>
      <c r="M4" t="s">
        <v>1198</v>
      </c>
      <c r="N4">
        <v>255.5609756097561</v>
      </c>
      <c r="O4" t="s">
        <v>1198</v>
      </c>
      <c r="P4">
        <v>19.853658536585368</v>
      </c>
      <c r="Q4" t="s">
        <v>1198</v>
      </c>
      <c r="R4">
        <v>409.79779353832294</v>
      </c>
      <c r="S4" t="s">
        <v>1198</v>
      </c>
      <c r="T4">
        <v>447.2560975609756</v>
      </c>
      <c r="U4" t="s">
        <v>1198</v>
      </c>
      <c r="V4">
        <v>32.239593017559692</v>
      </c>
      <c r="W4" t="s">
        <v>1198</v>
      </c>
      <c r="X4">
        <v>47.999229907019831</v>
      </c>
      <c r="Y4" t="s">
        <v>1198</v>
      </c>
      <c r="Z4">
        <v>48504.243902439026</v>
      </c>
      <c r="AA4" t="s">
        <v>1198</v>
      </c>
      <c r="AB4">
        <v>865259.30183409643</v>
      </c>
      <c r="AC4" t="s">
        <v>1198</v>
      </c>
      <c r="AD4">
        <v>1816.2743902439024</v>
      </c>
      <c r="AE4" t="s">
        <v>1198</v>
      </c>
      <c r="AF4">
        <v>428.24756097560982</v>
      </c>
    </row>
    <row r="5" spans="1:32" ht="22.8" x14ac:dyDescent="0.3">
      <c r="A5" s="150" t="s">
        <v>12</v>
      </c>
      <c r="B5" s="151">
        <v>228</v>
      </c>
      <c r="C5" s="151">
        <f>VLOOKUP($A5,'спортивные сооружния'!A7:G115,7,FALSE)</f>
        <v>10</v>
      </c>
      <c r="D5" s="162">
        <f>VLOOKUP($A5,библиотеки!A7:N119,14,FALSE)/'Экономические факторы'!G5*1000</f>
        <v>342.2187032638339</v>
      </c>
      <c r="E5" s="151">
        <f>VLOOKUP($A5,Газеты!$A$3:$G$111,7,FALSE)</f>
        <v>480</v>
      </c>
      <c r="F5" s="162">
        <f>'Культурные факторы'!F5/Данные!K5*1000</f>
        <v>1593.5075217735553</v>
      </c>
      <c r="G5" s="163">
        <f>'Экономические факторы'!B5/'Экономические факторы'!G5*100</f>
        <v>50.65540599982404</v>
      </c>
      <c r="H5" s="147">
        <v>45087</v>
      </c>
      <c r="I5" s="164">
        <v>606140.58238761325</v>
      </c>
      <c r="J5" s="147">
        <f>'Экономические факторы'!F5/'Экономические факторы'!G5*1000</f>
        <v>164.55529163367643</v>
      </c>
      <c r="K5" s="147">
        <v>43.551724137931032</v>
      </c>
      <c r="M5" t="s">
        <v>835</v>
      </c>
      <c r="N5">
        <v>12.60799297149785</v>
      </c>
      <c r="O5" t="s">
        <v>835</v>
      </c>
      <c r="P5">
        <v>2.0030180443831536</v>
      </c>
      <c r="Q5" t="s">
        <v>835</v>
      </c>
      <c r="R5">
        <v>13.817588808108916</v>
      </c>
      <c r="S5" t="s">
        <v>835</v>
      </c>
      <c r="T5">
        <v>50.858580846321097</v>
      </c>
      <c r="U5" t="s">
        <v>835</v>
      </c>
      <c r="V5">
        <v>1.6514997090264276</v>
      </c>
      <c r="W5" t="s">
        <v>835</v>
      </c>
      <c r="X5">
        <v>0.6936723987082769</v>
      </c>
      <c r="Y5" t="s">
        <v>835</v>
      </c>
      <c r="Z5">
        <v>2225.7060193162638</v>
      </c>
      <c r="AA5" t="s">
        <v>835</v>
      </c>
      <c r="AB5">
        <v>79859.182929379225</v>
      </c>
      <c r="AC5" t="s">
        <v>835</v>
      </c>
      <c r="AD5">
        <v>212.16398275644113</v>
      </c>
      <c r="AE5" t="s">
        <v>835</v>
      </c>
      <c r="AF5">
        <v>93.965484659067855</v>
      </c>
    </row>
    <row r="6" spans="1:32" ht="22.8" x14ac:dyDescent="0.3">
      <c r="A6" s="150" t="s">
        <v>13</v>
      </c>
      <c r="B6" s="151">
        <v>350</v>
      </c>
      <c r="C6" s="151">
        <f>VLOOKUP($A6,'спортивные сооружния'!A8:G116,7,FALSE)</f>
        <v>14</v>
      </c>
      <c r="D6" s="162">
        <f>VLOOKUP($A6,библиотеки!A8:N120,14,FALSE)/'Экономические факторы'!G6*1000</f>
        <v>428.30334474003757</v>
      </c>
      <c r="E6" s="151">
        <f>VLOOKUP($A6,Газеты!$A$3:$G$111,7,FALSE)</f>
        <v>321</v>
      </c>
      <c r="F6" s="162">
        <f>'Культурные факторы'!F6/Данные!K6*1000</f>
        <v>600.02207749199692</v>
      </c>
      <c r="G6" s="163">
        <f>'Экономические факторы'!B6/'Экономические факторы'!G6*100</f>
        <v>46.60558560547522</v>
      </c>
      <c r="H6" s="147">
        <v>41108</v>
      </c>
      <c r="I6" s="164">
        <v>401810.35434374656</v>
      </c>
      <c r="J6" s="147">
        <f>'Экономические факторы'!F6/'Экономические факторы'!G6*1000</f>
        <v>74.511535489568388</v>
      </c>
      <c r="K6" s="147">
        <v>42.331775700934578</v>
      </c>
      <c r="M6" t="s">
        <v>1204</v>
      </c>
      <c r="N6">
        <v>248.5</v>
      </c>
      <c r="O6" t="s">
        <v>1204</v>
      </c>
      <c r="P6">
        <v>16.5</v>
      </c>
      <c r="Q6" t="s">
        <v>1204</v>
      </c>
      <c r="R6">
        <v>425.55132588051754</v>
      </c>
      <c r="S6" t="s">
        <v>1204</v>
      </c>
      <c r="T6">
        <v>312</v>
      </c>
      <c r="U6" t="s">
        <v>1204</v>
      </c>
      <c r="V6">
        <v>32.76635959754195</v>
      </c>
      <c r="W6" t="s">
        <v>1204</v>
      </c>
      <c r="X6">
        <v>47.384004105866111</v>
      </c>
      <c r="Y6" t="s">
        <v>1204</v>
      </c>
      <c r="Z6">
        <v>42704.5</v>
      </c>
      <c r="AA6" t="s">
        <v>1204</v>
      </c>
      <c r="AB6">
        <v>663758.95470275218</v>
      </c>
      <c r="AC6" t="s">
        <v>1204</v>
      </c>
      <c r="AD6">
        <v>1154.75</v>
      </c>
      <c r="AE6" t="s">
        <v>1204</v>
      </c>
      <c r="AF6">
        <v>184.45</v>
      </c>
    </row>
    <row r="7" spans="1:32" ht="22.8" x14ac:dyDescent="0.3">
      <c r="A7" s="150" t="s">
        <v>14</v>
      </c>
      <c r="B7" s="151">
        <v>205</v>
      </c>
      <c r="C7" s="151">
        <f>VLOOKUP($A7,'спортивные сооружния'!A9:G117,7,FALSE)</f>
        <v>15</v>
      </c>
      <c r="D7" s="162">
        <f>VLOOKUP($A7,библиотеки!A9:N121,14,FALSE)/'Экономические факторы'!G7*1000</f>
        <v>535.38000748783224</v>
      </c>
      <c r="E7" s="151">
        <f>VLOOKUP($A7,Газеты!$A$3:$G$111,7,FALSE)</f>
        <v>622</v>
      </c>
      <c r="F7" s="162">
        <f>'Культурные факторы'!F7/Данные!K7*1000</f>
        <v>753.08873081242973</v>
      </c>
      <c r="G7" s="163">
        <f>'Экономические факторы'!B7/'Экономические факторы'!G7*100</f>
        <v>50.252714339198803</v>
      </c>
      <c r="H7" s="147">
        <v>44564</v>
      </c>
      <c r="I7" s="164">
        <v>649569.44964432798</v>
      </c>
      <c r="J7" s="147">
        <f>'Экономические факторы'!F7/'Экономические факторы'!G7*1000</f>
        <v>117.65256458255334</v>
      </c>
      <c r="K7" s="147">
        <v>35.852348993288594</v>
      </c>
      <c r="M7" t="s">
        <v>1205</v>
      </c>
      <c r="N7">
        <v>114.17023217584266</v>
      </c>
      <c r="O7" t="s">
        <v>1205</v>
      </c>
      <c r="P7">
        <v>18.138099830528283</v>
      </c>
      <c r="Q7" t="s">
        <v>1205</v>
      </c>
      <c r="R7">
        <v>125.12358833784339</v>
      </c>
      <c r="S7" t="s">
        <v>1205</v>
      </c>
      <c r="T7">
        <v>460.54403714253635</v>
      </c>
      <c r="U7" t="s">
        <v>1205</v>
      </c>
      <c r="V7">
        <v>14.954965920756182</v>
      </c>
      <c r="W7" t="s">
        <v>1205</v>
      </c>
      <c r="X7">
        <v>6.2814707299990635</v>
      </c>
      <c r="Y7" t="s">
        <v>1205</v>
      </c>
      <c r="Z7">
        <v>20154.625209179485</v>
      </c>
      <c r="AA7" t="s">
        <v>1205</v>
      </c>
      <c r="AB7">
        <v>723155.65824249794</v>
      </c>
      <c r="AC7" t="s">
        <v>1205</v>
      </c>
      <c r="AD7">
        <v>1921.2265763007204</v>
      </c>
      <c r="AE7" t="s">
        <v>1205</v>
      </c>
      <c r="AF7">
        <v>850.89365327960252</v>
      </c>
    </row>
    <row r="8" spans="1:32" ht="22.8" x14ac:dyDescent="0.3">
      <c r="A8" s="150" t="s">
        <v>16</v>
      </c>
      <c r="B8" s="151">
        <v>257</v>
      </c>
      <c r="C8" s="151">
        <f>VLOOKUP($A8,'спортивные сооружния'!A10:G118,7,FALSE)</f>
        <v>6</v>
      </c>
      <c r="D8" s="162">
        <f>VLOOKUP($A8,библиотеки!A10:N122,14,FALSE)/'Экономические факторы'!G8*1000</f>
        <v>762.84654776620175</v>
      </c>
      <c r="E8" s="151">
        <f>VLOOKUP($A8,Газеты!$A$3:$G$111,7,FALSE)</f>
        <v>386</v>
      </c>
      <c r="F8" s="162">
        <f>'Культурные факторы'!F8/Данные!K8*1000</f>
        <v>2668.2323856613111</v>
      </c>
      <c r="G8" s="163">
        <f>'Экономические факторы'!B8/'Экономические факторы'!G8*100</f>
        <v>45.435281652834192</v>
      </c>
      <c r="H8" s="147">
        <v>43668</v>
      </c>
      <c r="I8" s="164">
        <v>487374.18329507328</v>
      </c>
      <c r="J8" s="147">
        <f>'Экономические факторы'!F8/'Экономические факторы'!G8*1000</f>
        <v>84.584142680558017</v>
      </c>
      <c r="K8" s="147">
        <v>9.4069767441860446</v>
      </c>
      <c r="M8" t="s">
        <v>1206</v>
      </c>
      <c r="N8">
        <v>13034.841915085819</v>
      </c>
      <c r="O8" t="s">
        <v>1206</v>
      </c>
      <c r="P8">
        <v>328.99066546221019</v>
      </c>
      <c r="Q8" t="s">
        <v>1206</v>
      </c>
      <c r="R8">
        <v>15655.912358538098</v>
      </c>
      <c r="S8" t="s">
        <v>1206</v>
      </c>
      <c r="T8">
        <v>212100.81014754591</v>
      </c>
      <c r="U8" t="s">
        <v>1206</v>
      </c>
      <c r="V8">
        <v>223.65100569097882</v>
      </c>
      <c r="W8" t="s">
        <v>1206</v>
      </c>
      <c r="X8">
        <v>39.456874531834963</v>
      </c>
      <c r="Y8" t="s">
        <v>1206</v>
      </c>
      <c r="Z8">
        <v>406208917.3224932</v>
      </c>
      <c r="AA8" t="s">
        <v>1206</v>
      </c>
      <c r="AB8">
        <v>522954106048.14044</v>
      </c>
      <c r="AC8" t="s">
        <v>1206</v>
      </c>
      <c r="AD8">
        <v>3691111.5574841877</v>
      </c>
      <c r="AE8" t="s">
        <v>1206</v>
      </c>
      <c r="AF8">
        <v>724020.0091915084</v>
      </c>
    </row>
    <row r="9" spans="1:32" ht="22.8" x14ac:dyDescent="0.3">
      <c r="A9" s="150" t="s">
        <v>18</v>
      </c>
      <c r="B9" s="151">
        <v>234</v>
      </c>
      <c r="C9" s="151">
        <f>VLOOKUP($A9,'спортивные сооружния'!A11:G119,7,FALSE)</f>
        <v>9</v>
      </c>
      <c r="D9" s="162">
        <f>VLOOKUP($A9,библиотеки!A11:N123,14,FALSE)/'Экономические факторы'!G9*1000</f>
        <v>503.34621547742478</v>
      </c>
      <c r="E9" s="151">
        <f>VLOOKUP($A9,Газеты!$A$3:$G$111,7,FALSE)</f>
        <v>394</v>
      </c>
      <c r="F9" s="162">
        <f>'Культурные факторы'!F9/Данные!K9*1000</f>
        <v>820.05844094636632</v>
      </c>
      <c r="G9" s="163">
        <f>'Экономические факторы'!B9/'Экономические факторы'!G9*100</f>
        <v>47.374870393062487</v>
      </c>
      <c r="H9" s="147">
        <v>43719</v>
      </c>
      <c r="I9" s="164">
        <v>627768.8754830804</v>
      </c>
      <c r="J9" s="147">
        <f>'Экономические факторы'!F9/'Экономические факторы'!G9*1000</f>
        <v>217.92817419172397</v>
      </c>
      <c r="K9" s="147">
        <v>35.363333333333337</v>
      </c>
      <c r="M9" t="s">
        <v>1207</v>
      </c>
      <c r="N9">
        <v>7.0500608602626418</v>
      </c>
      <c r="O9" t="s">
        <v>1207</v>
      </c>
      <c r="P9">
        <v>10.821734280272</v>
      </c>
      <c r="Q9" t="s">
        <v>1207</v>
      </c>
      <c r="R9">
        <v>0.41896058402665792</v>
      </c>
      <c r="S9" t="s">
        <v>1207</v>
      </c>
      <c r="T9">
        <v>8.5769268149940334</v>
      </c>
      <c r="U9" t="s">
        <v>1207</v>
      </c>
      <c r="V9">
        <v>1.4255379580961738</v>
      </c>
      <c r="W9" t="s">
        <v>1207</v>
      </c>
      <c r="X9">
        <v>1.7892315865721655</v>
      </c>
      <c r="Y9" t="s">
        <v>1207</v>
      </c>
      <c r="Z9">
        <v>11.675951463788449</v>
      </c>
      <c r="AA9" t="s">
        <v>1207</v>
      </c>
      <c r="AB9">
        <v>7.1804844554515928</v>
      </c>
      <c r="AC9" t="s">
        <v>1207</v>
      </c>
      <c r="AD9">
        <v>15.801020313944687</v>
      </c>
      <c r="AE9" t="s">
        <v>1207</v>
      </c>
      <c r="AF9">
        <v>39.566470936575328</v>
      </c>
    </row>
    <row r="10" spans="1:32" ht="22.8" x14ac:dyDescent="0.3">
      <c r="A10" s="150" t="s">
        <v>19</v>
      </c>
      <c r="B10" s="151">
        <v>200</v>
      </c>
      <c r="C10" s="151">
        <f>VLOOKUP($A10,'спортивные сооружния'!A12:G120,7,FALSE)</f>
        <v>22</v>
      </c>
      <c r="D10" s="162">
        <f>VLOOKUP($A10,библиотеки!A12:N124,14,FALSE)/'Экономические факторы'!G10*1000</f>
        <v>443.42918570276805</v>
      </c>
      <c r="E10" s="151">
        <f>VLOOKUP($A10,Газеты!$A$3:$G$111,7,FALSE)</f>
        <v>132</v>
      </c>
      <c r="F10" s="162">
        <f>'Культурные факторы'!F10/Данные!K10*1000</f>
        <v>941.68234345606027</v>
      </c>
      <c r="G10" s="163">
        <f>'Экономические факторы'!B10/'Экономические факторы'!G10*100</f>
        <v>50.676341485263819</v>
      </c>
      <c r="H10" s="147">
        <v>45458</v>
      </c>
      <c r="I10" s="164">
        <v>710382.51366120216</v>
      </c>
      <c r="J10" s="147">
        <f>'Экономические факторы'!F10/'Экономические факторы'!G10*1000</f>
        <v>167.69685568395593</v>
      </c>
      <c r="K10" s="147">
        <v>46.512499999999996</v>
      </c>
      <c r="M10" t="s">
        <v>1208</v>
      </c>
      <c r="N10">
        <v>1.6976266068430694</v>
      </c>
      <c r="O10" t="s">
        <v>1208</v>
      </c>
      <c r="P10">
        <v>2.6314334306712586</v>
      </c>
      <c r="Q10" t="s">
        <v>1208</v>
      </c>
      <c r="R10">
        <v>0.21294045515351936</v>
      </c>
      <c r="S10" t="s">
        <v>1208</v>
      </c>
      <c r="T10">
        <v>2.6762369275688327</v>
      </c>
      <c r="U10" t="s">
        <v>1208</v>
      </c>
      <c r="V10">
        <v>0.30617355739020485</v>
      </c>
      <c r="W10" t="s">
        <v>1208</v>
      </c>
      <c r="X10">
        <v>0.56781177409979222</v>
      </c>
      <c r="Y10" t="s">
        <v>1208</v>
      </c>
      <c r="Z10">
        <v>3.0245147990944528</v>
      </c>
      <c r="AA10" t="s">
        <v>1208</v>
      </c>
      <c r="AB10">
        <v>2.6498255990801005</v>
      </c>
      <c r="AC10" t="s">
        <v>1208</v>
      </c>
      <c r="AD10">
        <v>3.3913230684436946</v>
      </c>
      <c r="AE10" t="s">
        <v>1208</v>
      </c>
      <c r="AF10">
        <v>5.7782995207358097</v>
      </c>
    </row>
    <row r="11" spans="1:32" ht="22.8" x14ac:dyDescent="0.3">
      <c r="A11" s="150" t="s">
        <v>20</v>
      </c>
      <c r="B11" s="151">
        <v>104</v>
      </c>
      <c r="C11" s="151">
        <f>VLOOKUP($A11,'спортивные сооружния'!A13:G121,7,FALSE)</f>
        <v>118</v>
      </c>
      <c r="D11" s="162">
        <f>VLOOKUP($A11,библиотеки!A13:N125,14,FALSE)/'Экономические факторы'!G11*1000</f>
        <v>171.65050339255373</v>
      </c>
      <c r="E11" s="151">
        <f>VLOOKUP($A11,Газеты!$A$3:$G$111,7,FALSE)</f>
        <v>198</v>
      </c>
      <c r="F11" s="162">
        <f>'Культурные факторы'!F11/Данные!K11*1000</f>
        <v>536.64073607434727</v>
      </c>
      <c r="G11" s="163">
        <f>'Экономические факторы'!B11/'Экономические факторы'!G11*100</f>
        <v>46.141042386693336</v>
      </c>
      <c r="H11" s="147">
        <v>64870</v>
      </c>
      <c r="I11" s="164">
        <v>892467.02807670529</v>
      </c>
      <c r="J11" s="147">
        <f>'Экономические факторы'!F11/'Экономические факторы'!G11*1000</f>
        <v>184.19197114884469</v>
      </c>
      <c r="K11" s="147">
        <v>195.28893905191873</v>
      </c>
      <c r="M11" t="s">
        <v>1209</v>
      </c>
      <c r="N11">
        <v>822</v>
      </c>
      <c r="O11" t="s">
        <v>1209</v>
      </c>
      <c r="P11">
        <v>118</v>
      </c>
      <c r="Q11" t="s">
        <v>1209</v>
      </c>
      <c r="R11">
        <v>654.02359988866749</v>
      </c>
      <c r="S11" t="s">
        <v>1209</v>
      </c>
      <c r="T11">
        <v>2564</v>
      </c>
      <c r="U11" t="s">
        <v>1209</v>
      </c>
      <c r="V11">
        <v>87.416348537620365</v>
      </c>
      <c r="W11" t="s">
        <v>1209</v>
      </c>
      <c r="X11">
        <v>35.364229591157269</v>
      </c>
      <c r="Y11" t="s">
        <v>1209</v>
      </c>
      <c r="Z11">
        <v>131369</v>
      </c>
      <c r="AA11" t="s">
        <v>1209</v>
      </c>
      <c r="AB11">
        <v>3716103.3543324242</v>
      </c>
      <c r="AC11" t="s">
        <v>1209</v>
      </c>
      <c r="AD11">
        <v>13101.8</v>
      </c>
      <c r="AE11" t="s">
        <v>1209</v>
      </c>
      <c r="AF11">
        <v>6731.8</v>
      </c>
    </row>
    <row r="12" spans="1:32" ht="22.8" x14ac:dyDescent="0.3">
      <c r="A12" s="150" t="s">
        <v>21</v>
      </c>
      <c r="B12" s="151">
        <v>327</v>
      </c>
      <c r="C12" s="151">
        <f>VLOOKUP($A12,'спортивные сооружния'!A14:G122,7,FALSE)</f>
        <v>3</v>
      </c>
      <c r="D12" s="162">
        <f>VLOOKUP($A12,библиотеки!A14:N126,14,FALSE)/'Экономические факторы'!G12*1000</f>
        <v>405.77617328519852</v>
      </c>
      <c r="E12" s="151">
        <f>VLOOKUP($A12,Газеты!$A$3:$G$111,7,FALSE)</f>
        <v>188</v>
      </c>
      <c r="F12" s="162">
        <f>'Культурные факторы'!F12/Данные!K12*1000</f>
        <v>845.32851985559569</v>
      </c>
      <c r="G12" s="163">
        <f>'Экономические факторы'!B12/'Экономические факторы'!G12*100</f>
        <v>43.537906137184116</v>
      </c>
      <c r="H12" s="147">
        <v>43730</v>
      </c>
      <c r="I12" s="164">
        <v>534296.02888086648</v>
      </c>
      <c r="J12" s="147">
        <f>'Экономические факторы'!F12/'Экономические факторы'!G12*1000</f>
        <v>84.332129963898907</v>
      </c>
      <c r="K12" s="147">
        <v>28.036437246963562</v>
      </c>
      <c r="M12" t="s">
        <v>1210</v>
      </c>
      <c r="N12">
        <v>0</v>
      </c>
      <c r="O12" t="s">
        <v>1210</v>
      </c>
      <c r="P12">
        <v>0</v>
      </c>
      <c r="Q12" t="s">
        <v>1210</v>
      </c>
      <c r="R12">
        <v>108.82294787753428</v>
      </c>
      <c r="S12" t="s">
        <v>1210</v>
      </c>
      <c r="T12">
        <v>28</v>
      </c>
      <c r="U12" t="s">
        <v>1210</v>
      </c>
      <c r="V12">
        <v>8.3651462379655983E-2</v>
      </c>
      <c r="W12" t="s">
        <v>1210</v>
      </c>
      <c r="X12">
        <v>31.302437075509388</v>
      </c>
      <c r="Y12" t="s">
        <v>1210</v>
      </c>
      <c r="Z12">
        <v>25619</v>
      </c>
      <c r="AA12" t="s">
        <v>1210</v>
      </c>
      <c r="AB12">
        <v>202846.28759095885</v>
      </c>
      <c r="AC12" t="s">
        <v>1210</v>
      </c>
      <c r="AD12">
        <v>48</v>
      </c>
      <c r="AE12" t="s">
        <v>1210</v>
      </c>
      <c r="AF12">
        <v>25.4</v>
      </c>
    </row>
    <row r="13" spans="1:32" ht="22.8" x14ac:dyDescent="0.3">
      <c r="A13" s="150" t="s">
        <v>22</v>
      </c>
      <c r="B13" s="151">
        <v>264</v>
      </c>
      <c r="C13" s="151">
        <f>VLOOKUP($A13,'спортивные сооружния'!A15:G123,7,FALSE)</f>
        <v>13</v>
      </c>
      <c r="D13" s="162">
        <f>VLOOKUP($A13,библиотеки!A15:N127,14,FALSE)/'Экономические факторы'!G13*1000</f>
        <v>502.67972648309001</v>
      </c>
      <c r="E13" s="151">
        <f>VLOOKUP($A13,Газеты!$A$3:$G$111,7,FALSE)</f>
        <v>408</v>
      </c>
      <c r="F13" s="162">
        <f>'Культурные факторы'!F13/Данные!K13*1000</f>
        <v>757.45703197190903</v>
      </c>
      <c r="G13" s="163">
        <f>'Экономические факторы'!B13/'Экономические факторы'!G13*100</f>
        <v>46.174459434485307</v>
      </c>
      <c r="H13" s="147">
        <v>39905</v>
      </c>
      <c r="I13" s="164">
        <v>571982.9975974866</v>
      </c>
      <c r="J13" s="147">
        <f>'Экономические факторы'!F13/'Экономические факторы'!G13*1000</f>
        <v>93.605618185178329</v>
      </c>
      <c r="K13" s="147">
        <v>27.328282828282827</v>
      </c>
      <c r="M13" t="s">
        <v>1211</v>
      </c>
      <c r="N13">
        <v>822</v>
      </c>
      <c r="O13" t="s">
        <v>1211</v>
      </c>
      <c r="P13">
        <v>118</v>
      </c>
      <c r="Q13" t="s">
        <v>1211</v>
      </c>
      <c r="R13">
        <v>762.84654776620175</v>
      </c>
      <c r="S13" t="s">
        <v>1211</v>
      </c>
      <c r="T13">
        <v>2592</v>
      </c>
      <c r="U13" t="s">
        <v>1211</v>
      </c>
      <c r="V13">
        <v>87.500000000000014</v>
      </c>
      <c r="W13" t="s">
        <v>1211</v>
      </c>
      <c r="X13">
        <v>66.666666666666657</v>
      </c>
      <c r="Y13" t="s">
        <v>1211</v>
      </c>
      <c r="Z13">
        <v>156988</v>
      </c>
      <c r="AA13" t="s">
        <v>1211</v>
      </c>
      <c r="AB13">
        <v>3918949.6419233829</v>
      </c>
      <c r="AC13" t="s">
        <v>1211</v>
      </c>
      <c r="AD13">
        <v>13149.8</v>
      </c>
      <c r="AE13" t="s">
        <v>1211</v>
      </c>
      <c r="AF13">
        <v>6757.2</v>
      </c>
    </row>
    <row r="14" spans="1:32" ht="22.8" x14ac:dyDescent="0.3">
      <c r="A14" s="150" t="s">
        <v>23</v>
      </c>
      <c r="B14" s="151">
        <v>169</v>
      </c>
      <c r="C14" s="151">
        <f>VLOOKUP($A14,'спортивные сооружния'!A16:G124,7,FALSE)</f>
        <v>24</v>
      </c>
      <c r="D14" s="162">
        <f>VLOOKUP($A14,библиотеки!A16:N128,14,FALSE)/'Экономические факторы'!G14*1000</f>
        <v>512.73148148148152</v>
      </c>
      <c r="E14" s="151">
        <f>VLOOKUP($A14,Газеты!$A$3:$G$111,7,FALSE)</f>
        <v>2592</v>
      </c>
      <c r="F14" s="162">
        <f>'Культурные факторы'!F14/Данные!K14*1000</f>
        <v>806.94444444444434</v>
      </c>
      <c r="G14" s="163">
        <f>'Экономические факторы'!B14/'Экономические факторы'!G14*100</f>
        <v>47.407407407407412</v>
      </c>
      <c r="H14" s="147">
        <v>42734</v>
      </c>
      <c r="I14" s="164">
        <v>559027.77777777787</v>
      </c>
      <c r="J14" s="147">
        <f>'Экономические факторы'!F14/'Экономические факторы'!G14*1000</f>
        <v>109.49074074074073</v>
      </c>
      <c r="K14" s="147">
        <v>17.349397590361448</v>
      </c>
      <c r="M14" t="s">
        <v>1197</v>
      </c>
      <c r="N14">
        <v>20956</v>
      </c>
      <c r="O14" t="s">
        <v>1197</v>
      </c>
      <c r="P14">
        <v>1628</v>
      </c>
      <c r="Q14" t="s">
        <v>1197</v>
      </c>
      <c r="R14">
        <v>33603.419070142481</v>
      </c>
      <c r="S14" t="s">
        <v>1197</v>
      </c>
      <c r="T14">
        <v>36675</v>
      </c>
      <c r="U14" t="s">
        <v>1197</v>
      </c>
      <c r="V14">
        <v>2643.6466274398945</v>
      </c>
      <c r="W14" t="s">
        <v>1197</v>
      </c>
      <c r="X14">
        <v>3935.9368523756261</v>
      </c>
      <c r="Y14" t="s">
        <v>1197</v>
      </c>
      <c r="Z14">
        <v>3977348</v>
      </c>
      <c r="AA14" t="s">
        <v>1197</v>
      </c>
      <c r="AB14">
        <v>70951262.750395909</v>
      </c>
      <c r="AC14" t="s">
        <v>1197</v>
      </c>
      <c r="AD14">
        <v>148934.5</v>
      </c>
      <c r="AE14" t="s">
        <v>1197</v>
      </c>
      <c r="AF14">
        <v>35116.300000000003</v>
      </c>
    </row>
    <row r="15" spans="1:32" ht="23.4" thickBot="1" x14ac:dyDescent="0.35">
      <c r="A15" s="150" t="s">
        <v>24</v>
      </c>
      <c r="B15" s="151">
        <v>255</v>
      </c>
      <c r="C15" s="151">
        <f>VLOOKUP($A15,'спортивные сооружния'!A17:G125,7,FALSE)</f>
        <v>21</v>
      </c>
      <c r="D15" s="162">
        <f>VLOOKUP($A15,библиотеки!A17:N129,14,FALSE)/'Экономические факторы'!G15*1000</f>
        <v>529.1226602530586</v>
      </c>
      <c r="E15" s="151">
        <f>VLOOKUP($A15,Газеты!$A$3:$G$111,7,FALSE)</f>
        <v>154</v>
      </c>
      <c r="F15" s="162">
        <f>'Культурные факторы'!F15/Данные!K15*1000</f>
        <v>1764.1430513437206</v>
      </c>
      <c r="G15" s="163">
        <f>'Экономические факторы'!B15/'Экономические факторы'!G15*100</f>
        <v>48.091603053435115</v>
      </c>
      <c r="H15" s="147">
        <v>39229</v>
      </c>
      <c r="I15" s="164">
        <v>495660.35762835928</v>
      </c>
      <c r="J15" s="147">
        <f>'Экономические факторы'!F15/'Экономические факторы'!G15*1000</f>
        <v>96.622398828819414</v>
      </c>
      <c r="K15" s="147">
        <v>27.718840579710143</v>
      </c>
      <c r="M15" s="61" t="s">
        <v>1212</v>
      </c>
      <c r="N15" s="61">
        <v>82</v>
      </c>
      <c r="O15" s="61" t="s">
        <v>1212</v>
      </c>
      <c r="P15" s="61">
        <v>82</v>
      </c>
      <c r="Q15" s="61" t="s">
        <v>1212</v>
      </c>
      <c r="R15" s="61">
        <v>82</v>
      </c>
      <c r="S15" s="61" t="s">
        <v>1212</v>
      </c>
      <c r="T15" s="61">
        <v>82</v>
      </c>
      <c r="U15" s="61" t="s">
        <v>1212</v>
      </c>
      <c r="V15" s="61">
        <v>82</v>
      </c>
      <c r="W15" s="61" t="s">
        <v>1212</v>
      </c>
      <c r="X15" s="61">
        <v>82</v>
      </c>
      <c r="Y15" s="61" t="s">
        <v>1212</v>
      </c>
      <c r="Z15" s="61">
        <v>82</v>
      </c>
      <c r="AA15" s="61" t="s">
        <v>1212</v>
      </c>
      <c r="AB15" s="61">
        <v>82</v>
      </c>
      <c r="AC15" s="61" t="s">
        <v>1212</v>
      </c>
      <c r="AD15" s="61">
        <v>82</v>
      </c>
      <c r="AE15" s="61" t="s">
        <v>1212</v>
      </c>
      <c r="AF15" s="61">
        <v>82</v>
      </c>
    </row>
    <row r="16" spans="1:32" ht="22.8" x14ac:dyDescent="0.3">
      <c r="A16" s="150" t="s">
        <v>25</v>
      </c>
      <c r="B16" s="151">
        <v>350</v>
      </c>
      <c r="C16" s="151">
        <f>VLOOKUP($A16,'спортивные сооружния'!A18:G126,7,FALSE)</f>
        <v>17</v>
      </c>
      <c r="D16" s="162">
        <f>VLOOKUP($A16,библиотеки!A18:N130,14,FALSE)/'Экономические факторы'!G16*1000</f>
        <v>465.94982078853042</v>
      </c>
      <c r="E16" s="151">
        <f>VLOOKUP($A16,Газеты!$A$3:$G$111,7,FALSE)</f>
        <v>307</v>
      </c>
      <c r="F16" s="162">
        <f>'Культурные факторы'!F16/Данные!K16*1000</f>
        <v>3895.223805951488</v>
      </c>
      <c r="G16" s="163">
        <f>'Экономические факторы'!B16/'Экономические факторы'!G16*100</f>
        <v>48.195382178878056</v>
      </c>
      <c r="H16" s="147">
        <v>41274</v>
      </c>
      <c r="I16" s="164">
        <v>524297.74110194214</v>
      </c>
      <c r="J16" s="147">
        <f>'Экономические факторы'!F16/'Экономические факторы'!G16*1000</f>
        <v>117.69609068933899</v>
      </c>
      <c r="K16" s="147">
        <v>14.248218527315915</v>
      </c>
    </row>
    <row r="17" spans="1:23" ht="22.8" x14ac:dyDescent="0.3">
      <c r="A17" s="150" t="s">
        <v>26</v>
      </c>
      <c r="B17" s="151">
        <v>237</v>
      </c>
      <c r="C17" s="151">
        <f>VLOOKUP($A17,'спортивные сооружния'!A19:G127,7,FALSE)</f>
        <v>17</v>
      </c>
      <c r="D17" s="162">
        <f>VLOOKUP($A17,библиотеки!A19:N131,14,FALSE)/'Экономические факторы'!G17*1000</f>
        <v>307.25307592957654</v>
      </c>
      <c r="E17" s="151">
        <f>VLOOKUP($A17,Газеты!$A$3:$G$111,7,FALSE)</f>
        <v>191</v>
      </c>
      <c r="F17" s="162">
        <f>'Культурные факторы'!F17/Данные!K17*1000</f>
        <v>546.80851063829789</v>
      </c>
      <c r="G17" s="163">
        <f>'Экономические факторы'!B17/'Экономические факторы'!G17*100</f>
        <v>50.050982258174159</v>
      </c>
      <c r="H17" s="147">
        <v>42375</v>
      </c>
      <c r="I17" s="164">
        <v>682482.49609136023</v>
      </c>
      <c r="J17" s="147">
        <f>'Экономические факторы'!F17/'Экономические факторы'!G17*1000</f>
        <v>159.81238528991912</v>
      </c>
      <c r="K17" s="147">
        <v>57.24124513618677</v>
      </c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</row>
    <row r="18" spans="1:23" ht="22.8" x14ac:dyDescent="0.3">
      <c r="A18" s="150" t="s">
        <v>28</v>
      </c>
      <c r="B18" s="151">
        <v>287</v>
      </c>
      <c r="C18" s="151">
        <f>VLOOKUP($A18,'спортивные сооружния'!A20:G128,7,FALSE)</f>
        <v>8</v>
      </c>
      <c r="D18" s="162">
        <f>VLOOKUP($A18,библиотеки!A20:N132,14,FALSE)/'Экономические факторы'!G18*1000</f>
        <v>379.75749410575952</v>
      </c>
      <c r="E18" s="151">
        <f>VLOOKUP($A18,Газеты!$A$3:$G$111,7,FALSE)</f>
        <v>509</v>
      </c>
      <c r="F18" s="162">
        <f>'Культурные факторы'!F18/Данные!K18*1000</f>
        <v>1402.1556079488043</v>
      </c>
      <c r="G18" s="163">
        <f>'Экономические факторы'!B18/'Экономические факторы'!G18*100</f>
        <v>50.412596833950829</v>
      </c>
      <c r="H18" s="147">
        <v>46684</v>
      </c>
      <c r="I18" s="164">
        <v>629841.69754125969</v>
      </c>
      <c r="J18" s="147">
        <f>'Экономические факторы'!F18/'Экономические факторы'!G18*1000</f>
        <v>114.34826540922872</v>
      </c>
      <c r="K18" s="147">
        <v>32.806629834254139</v>
      </c>
      <c r="M18" s="154"/>
      <c r="N18" s="154"/>
      <c r="O18" s="154"/>
      <c r="P18" s="154"/>
      <c r="Q18" s="154"/>
      <c r="R18" s="154"/>
      <c r="S18" s="154"/>
      <c r="T18" s="154"/>
      <c r="U18" s="154"/>
      <c r="V18" s="154"/>
      <c r="W18" s="154"/>
    </row>
    <row r="19" spans="1:23" ht="15" thickBot="1" x14ac:dyDescent="0.35">
      <c r="A19" s="150" t="s">
        <v>31</v>
      </c>
      <c r="B19" s="151">
        <v>538</v>
      </c>
      <c r="C19" s="151">
        <f>VLOOKUP($A19,'спортивные сооружния'!A21:G129,7,FALSE)</f>
        <v>29</v>
      </c>
      <c r="D19" s="162">
        <f>VLOOKUP($A19,библиотеки!A21:N133,14,FALSE)/'Экономические факторы'!G19*1000</f>
        <v>108.82294787753428</v>
      </c>
      <c r="E19" s="151">
        <f>VLOOKUP($A19,Газеты!$A$3:$G$111,7,FALSE)</f>
        <v>2383</v>
      </c>
      <c r="F19" s="162">
        <f>'Культурные факторы'!F19/Данные!K19*1000</f>
        <v>0.21749380218710557</v>
      </c>
      <c r="G19" s="163">
        <f>'Экономические факторы'!B19/'Экономические факторы'!G19*100</f>
        <v>65.530274224703049</v>
      </c>
      <c r="H19" s="147">
        <v>117103</v>
      </c>
      <c r="I19" s="164">
        <v>2167865.6709607751</v>
      </c>
      <c r="J19" s="147">
        <f>'Экономические факторы'!F19/'Экономические факторы'!G19*1000</f>
        <v>513.86332871982847</v>
      </c>
      <c r="K19" s="147">
        <v>5057.6153846153838</v>
      </c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/>
    </row>
    <row r="20" spans="1:23" ht="22.8" x14ac:dyDescent="0.3">
      <c r="A20" s="150" t="s">
        <v>36</v>
      </c>
      <c r="B20" s="151">
        <v>375</v>
      </c>
      <c r="C20" s="151">
        <f>VLOOKUP($A20,'спортивные сооружния'!A22:G130,7,FALSE)</f>
        <v>3</v>
      </c>
      <c r="D20" s="162">
        <f>VLOOKUP($A20,библиотеки!A22:N134,14,FALSE)/'Экономические факторы'!G20*1000</f>
        <v>318.76312273334605</v>
      </c>
      <c r="E20" s="151">
        <f>VLOOKUP($A20,Газеты!$A$3:$G$111,7,FALSE)</f>
        <v>564</v>
      </c>
      <c r="F20" s="162">
        <f>'Культурные факторы'!F20/Данные!K20*1000</f>
        <v>1550.3912960488644</v>
      </c>
      <c r="G20" s="163">
        <f>'Экономические факторы'!B20/'Экономические факторы'!G20*100</f>
        <v>44.874976140484826</v>
      </c>
      <c r="H20" s="147">
        <v>53068</v>
      </c>
      <c r="I20" s="164">
        <v>746325.63466310361</v>
      </c>
      <c r="J20" s="147">
        <f>'Экономические факторы'!F20/'Экономические факторы'!G20*1000</f>
        <v>197.74766176751288</v>
      </c>
      <c r="K20" s="147">
        <v>2.9024930747922437</v>
      </c>
      <c r="M20" s="62"/>
      <c r="N20" s="62" t="s">
        <v>1193</v>
      </c>
      <c r="O20" s="62" t="s">
        <v>822</v>
      </c>
      <c r="P20" s="62" t="s">
        <v>1195</v>
      </c>
      <c r="Q20" s="62" t="s">
        <v>824</v>
      </c>
      <c r="R20" s="62" t="s">
        <v>1196</v>
      </c>
      <c r="S20" s="62" t="s">
        <v>1192</v>
      </c>
      <c r="T20" s="62" t="s">
        <v>1189</v>
      </c>
      <c r="U20" s="62" t="s">
        <v>1188</v>
      </c>
      <c r="V20" s="62" t="s">
        <v>1200</v>
      </c>
      <c r="W20" s="62" t="s">
        <v>1191</v>
      </c>
    </row>
    <row r="21" spans="1:23" ht="22.8" x14ac:dyDescent="0.3">
      <c r="A21" s="150" t="s">
        <v>38</v>
      </c>
      <c r="B21" s="151">
        <v>279</v>
      </c>
      <c r="C21" s="151">
        <f>VLOOKUP($A21,'спортивные сооружния'!A23:G131,7,FALSE)</f>
        <v>7</v>
      </c>
      <c r="D21" s="162">
        <f>VLOOKUP($A21,библиотеки!A23:N135,14,FALSE)/'Экономические факторы'!G21*1000</f>
        <v>480.15542603386064</v>
      </c>
      <c r="E21" s="151">
        <f>VLOOKUP($A21,Газеты!$A$3:$G$111,7,FALSE)</f>
        <v>770</v>
      </c>
      <c r="F21" s="162">
        <f>'Культурные факторы'!F21/Данные!K21*1000</f>
        <v>16715.958923119622</v>
      </c>
      <c r="G21" s="163">
        <f>'Экономические факторы'!B21/'Экономические факторы'!G21*100</f>
        <v>46.572300860394115</v>
      </c>
      <c r="H21" s="147">
        <v>56152</v>
      </c>
      <c r="I21" s="164">
        <v>1354426.8665001388</v>
      </c>
      <c r="J21" s="147">
        <f>'Экономические факторы'!F21/'Экономические факторы'!G21*1000</f>
        <v>178.46239245073548</v>
      </c>
      <c r="K21" s="147">
        <v>1.7288867562380039</v>
      </c>
      <c r="M21" t="s">
        <v>1193</v>
      </c>
      <c r="N21">
        <v>1</v>
      </c>
    </row>
    <row r="22" spans="1:23" ht="22.8" x14ac:dyDescent="0.3">
      <c r="A22" s="150" t="s">
        <v>40</v>
      </c>
      <c r="B22" s="151">
        <v>256</v>
      </c>
      <c r="C22" s="151">
        <f>VLOOKUP($A22,'спортивные сооружния'!A24:G132,7,FALSE)</f>
        <v>7</v>
      </c>
      <c r="D22" s="162">
        <f>VLOOKUP($A22,библиотеки!A24:N136,14,FALSE)/'Экономические факторы'!G22*1000</f>
        <v>424.80713355375212</v>
      </c>
      <c r="E22" s="151">
        <f>VLOOKUP($A22,Газеты!$A$3:$G$111,7,FALSE)</f>
        <v>1250</v>
      </c>
      <c r="F22" s="162">
        <f>'Культурные факторы'!F22/Данные!K22*1000</f>
        <v>18735.427311892592</v>
      </c>
      <c r="G22" s="163">
        <f>'Экономические факторы'!B22/'Экономические факторы'!G22*100</f>
        <v>46.137661556958221</v>
      </c>
      <c r="H22" s="147">
        <v>58967</v>
      </c>
      <c r="I22" s="164">
        <v>1190261.4968440034</v>
      </c>
      <c r="J22" s="147">
        <f>'Экономические факторы'!F22/'Экономические факторы'!G22*1000</f>
        <v>206.39214507564373</v>
      </c>
      <c r="K22" s="147">
        <v>1.6919816918121717</v>
      </c>
      <c r="M22" t="s">
        <v>822</v>
      </c>
      <c r="N22">
        <v>-0.15652014011010879</v>
      </c>
      <c r="O22">
        <v>1</v>
      </c>
    </row>
    <row r="23" spans="1:23" ht="57" x14ac:dyDescent="0.3">
      <c r="A23" s="150" t="s">
        <v>45</v>
      </c>
      <c r="B23" s="151">
        <v>267</v>
      </c>
      <c r="C23" s="151">
        <f>VLOOKUP($A23,'спортивные сооружния'!A26:G134,7,FALSE)</f>
        <v>7</v>
      </c>
      <c r="D23" s="162">
        <f>VLOOKUP($A23,библиотеки!A25:N137,14,FALSE)/'Экономические факторы'!G23*1000</f>
        <v>428.91515848938172</v>
      </c>
      <c r="E23" s="151">
        <f>VLOOKUP($A23,Газеты!$A$3:$G$111,7,FALSE)</f>
        <v>1250</v>
      </c>
      <c r="F23" s="162">
        <f>'Культурные факторы'!F23/Данные!K23*1000</f>
        <v>12921.529448687101</v>
      </c>
      <c r="G23" s="163">
        <f>'Экономические факторы'!B23/'Экономические факторы'!G23*100</f>
        <v>44.962862224082016</v>
      </c>
      <c r="H23" s="147">
        <v>55952</v>
      </c>
      <c r="I23" s="164">
        <v>732294.17303065176</v>
      </c>
      <c r="J23" s="147">
        <f>'Экономические факторы'!F23/'Экономические факторы'!G23*1000</f>
        <v>125.22230358824146</v>
      </c>
      <c r="K23" s="147">
        <v>2.3139675623335751</v>
      </c>
      <c r="M23" t="s">
        <v>1195</v>
      </c>
      <c r="N23">
        <v>-9.0616888840854629E-2</v>
      </c>
      <c r="O23">
        <v>-0.28191394439796424</v>
      </c>
      <c r="P23">
        <v>1</v>
      </c>
    </row>
    <row r="24" spans="1:23" ht="22.8" x14ac:dyDescent="0.3">
      <c r="A24" s="150" t="s">
        <v>47</v>
      </c>
      <c r="B24" s="151">
        <v>264</v>
      </c>
      <c r="C24" s="151">
        <f>VLOOKUP($A24,'спортивные сооружния'!A27:G135,7,FALSE)</f>
        <v>11</v>
      </c>
      <c r="D24" s="162">
        <f>VLOOKUP($A24,библиотеки!A26:N138,14,FALSE)/'Экономические факторы'!G24*1000</f>
        <v>497.59229534510428</v>
      </c>
      <c r="E24" s="151">
        <f>VLOOKUP($A24,Газеты!$A$3:$G$111,7,FALSE)</f>
        <v>1061</v>
      </c>
      <c r="F24" s="162">
        <f>'Культурные факторы'!F24/Данные!K24*1000</f>
        <v>4265.1596219011954</v>
      </c>
      <c r="G24" s="163">
        <f>'Экономические факторы'!B24/'Экономические факторы'!G24*100</f>
        <v>44.872480827537004</v>
      </c>
      <c r="H24" s="147">
        <v>42708</v>
      </c>
      <c r="I24" s="164">
        <v>913144.28393080074</v>
      </c>
      <c r="J24" s="147">
        <f>'Экономические факторы'!F24/'Экономические факторы'!G24*1000</f>
        <v>150.52612805421793</v>
      </c>
      <c r="K24" s="147">
        <v>7.7605536332179934</v>
      </c>
      <c r="M24" t="s">
        <v>824</v>
      </c>
      <c r="N24">
        <v>0.34779721843584316</v>
      </c>
      <c r="O24">
        <v>-4.4235627754614246E-2</v>
      </c>
      <c r="P24">
        <v>6.336002532607031E-2</v>
      </c>
      <c r="Q24">
        <v>1</v>
      </c>
    </row>
    <row r="25" spans="1:23" ht="34.200000000000003" x14ac:dyDescent="0.3">
      <c r="A25" s="150" t="s">
        <v>1064</v>
      </c>
      <c r="B25" s="151">
        <v>211</v>
      </c>
      <c r="C25" s="151">
        <f>VLOOKUP($A25,'спортивные сооружния'!A28:G136,7,FALSE)</f>
        <v>6</v>
      </c>
      <c r="D25" s="162">
        <f>VLOOKUP($A25,библиотеки!A27:N139,14,FALSE)/'Экономические факторы'!G25*1000</f>
        <v>260.17990134442397</v>
      </c>
      <c r="E25" s="151">
        <f>VLOOKUP($A25,Газеты!$A$3:$G$111,7,FALSE)</f>
        <v>319</v>
      </c>
      <c r="F25" s="162">
        <f>'Культурные факторы'!F25/Данные!K25*1000</f>
        <v>673.28561756456145</v>
      </c>
      <c r="G25" s="163">
        <f>'Экономические факторы'!B25/'Экономические факторы'!G25*100</f>
        <v>50.227294709352933</v>
      </c>
      <c r="H25" s="147">
        <v>43543</v>
      </c>
      <c r="I25" s="164">
        <v>713802.10852113354</v>
      </c>
      <c r="J25" s="147">
        <f>'Экономические факторы'!F25/'Экономические факторы'!G25*1000</f>
        <v>189.57345971563979</v>
      </c>
      <c r="K25" s="147">
        <v>68.47019867549669</v>
      </c>
      <c r="M25" t="s">
        <v>1196</v>
      </c>
      <c r="N25">
        <v>-0.15454919231292058</v>
      </c>
      <c r="O25">
        <v>-0.12334240255850971</v>
      </c>
      <c r="P25">
        <v>0.4225395649471248</v>
      </c>
      <c r="Q25">
        <v>-0.23088087277752206</v>
      </c>
      <c r="R25">
        <v>1</v>
      </c>
    </row>
    <row r="26" spans="1:23" ht="22.8" x14ac:dyDescent="0.3">
      <c r="A26" s="150" t="s">
        <v>51</v>
      </c>
      <c r="B26" s="151">
        <v>126</v>
      </c>
      <c r="C26" s="151">
        <f>VLOOKUP($A26,'спортивные сооружния'!A29:G137,7,FALSE)</f>
        <v>20</v>
      </c>
      <c r="D26" s="162">
        <f>VLOOKUP($A26,библиотеки!A28:N140,14,FALSE)/'Экономические факторы'!G26*1000</f>
        <v>202.86865114451322</v>
      </c>
      <c r="E26" s="151">
        <f>VLOOKUP($A26,Газеты!$A$3:$G$111,7,FALSE)</f>
        <v>130</v>
      </c>
      <c r="F26" s="162">
        <f>'Культурные факторы'!F26/Данные!K26*1000</f>
        <v>2493.3441398958644</v>
      </c>
      <c r="G26" s="163">
        <f>'Экономические факторы'!B26/'Экономические факторы'!G26*100</f>
        <v>44.282346006483934</v>
      </c>
      <c r="H26" s="147">
        <v>45989</v>
      </c>
      <c r="I26" s="164">
        <v>814421.84890460758</v>
      </c>
      <c r="J26" s="147">
        <f>'Экономические факторы'!F26/'Экономические факторы'!G26*1000</f>
        <v>336.77178504764714</v>
      </c>
      <c r="K26" s="147">
        <v>24.264600715137068</v>
      </c>
      <c r="M26" t="s">
        <v>1192</v>
      </c>
      <c r="N26">
        <v>0.13332201244868505</v>
      </c>
      <c r="O26">
        <v>6.3422933952194241E-2</v>
      </c>
      <c r="P26">
        <v>-9.5565237932750999E-2</v>
      </c>
      <c r="Q26">
        <v>0.2037000245334816</v>
      </c>
      <c r="R26">
        <v>0.2377116397219588</v>
      </c>
      <c r="S26">
        <v>1</v>
      </c>
    </row>
    <row r="27" spans="1:23" ht="22.8" x14ac:dyDescent="0.3">
      <c r="A27" s="150" t="s">
        <v>52</v>
      </c>
      <c r="B27" s="151">
        <v>214</v>
      </c>
      <c r="C27" s="151">
        <f>VLOOKUP($A27,'спортивные сооружния'!A30:G138,7,FALSE)</f>
        <v>6</v>
      </c>
      <c r="D27" s="162">
        <f>VLOOKUP($A27,библиотеки!A29:N141,14,FALSE)/'Экономические факторы'!G27*1000</f>
        <v>612.4314442413164</v>
      </c>
      <c r="E27" s="151">
        <f>VLOOKUP($A27,Газеты!$A$3:$G$111,7,FALSE)</f>
        <v>837</v>
      </c>
      <c r="F27" s="162">
        <f>'Культурные факторы'!F27/Данные!K27*1000</f>
        <v>1611.471663619744</v>
      </c>
      <c r="G27" s="163">
        <f>'Экономические факторы'!B27/'Экономические факторы'!G27*100</f>
        <v>47.714808043875685</v>
      </c>
      <c r="H27" s="147">
        <v>75786</v>
      </c>
      <c r="I27" s="164">
        <v>1750457.038391225</v>
      </c>
      <c r="J27" s="147">
        <f>'Экономические факторы'!F27/'Экономические факторы'!G27*1000</f>
        <v>406.61182205971966</v>
      </c>
      <c r="K27" s="147">
        <v>4.5300207039337472</v>
      </c>
      <c r="M27" t="s">
        <v>1189</v>
      </c>
      <c r="N27">
        <v>4.7448704244560179E-2</v>
      </c>
      <c r="O27">
        <v>-7.4577147306388772E-2</v>
      </c>
      <c r="P27">
        <v>-4.63828414978735E-2</v>
      </c>
      <c r="Q27">
        <v>0.1708428491340723</v>
      </c>
      <c r="R27">
        <v>0.24265462732893675</v>
      </c>
      <c r="S27">
        <v>0.74215470048720344</v>
      </c>
      <c r="T27">
        <v>1</v>
      </c>
    </row>
    <row r="28" spans="1:23" ht="22.8" x14ac:dyDescent="0.3">
      <c r="A28" s="150" t="s">
        <v>53</v>
      </c>
      <c r="B28" s="151">
        <v>115</v>
      </c>
      <c r="C28" s="151">
        <f>VLOOKUP($A28,'спортивные сооружния'!A31:G139,7,FALSE)</f>
        <v>2</v>
      </c>
      <c r="D28" s="162">
        <f>VLOOKUP($A28,библиотеки!A30:N142,14,FALSE)/'Экономические факторы'!G28*1000</f>
        <v>581.02905145257262</v>
      </c>
      <c r="E28" s="151">
        <f>VLOOKUP($A28,Газеты!$A$3:$G$111,7,FALSE)</f>
        <v>717</v>
      </c>
      <c r="F28" s="162">
        <f>'Культурные факторы'!F28/Данные!K28*1000</f>
        <v>1564.2282114105706</v>
      </c>
      <c r="G28" s="163">
        <f>'Экономические факторы'!B28/'Экономические факторы'!G28*100</f>
        <v>47.917395869793495</v>
      </c>
      <c r="H28" s="147">
        <v>38903</v>
      </c>
      <c r="I28" s="164">
        <v>666783.33916695835</v>
      </c>
      <c r="J28" s="147">
        <f>'Экономические факторы'!F28/'Экономические факторы'!G28*1000</f>
        <v>132.13160658032902</v>
      </c>
      <c r="K28" s="147">
        <v>10.48440366972477</v>
      </c>
      <c r="M28" t="s">
        <v>1188</v>
      </c>
      <c r="N28">
        <v>5.3523264352086125E-2</v>
      </c>
      <c r="O28">
        <v>-0.12509049673890257</v>
      </c>
      <c r="P28">
        <v>-4.9585360905895257E-2</v>
      </c>
      <c r="Q28">
        <v>7.8376950925714547E-2</v>
      </c>
      <c r="R28">
        <v>0.25705958946560803</v>
      </c>
      <c r="S28">
        <v>0.7428764548853265</v>
      </c>
      <c r="T28">
        <v>0.77286882903461485</v>
      </c>
      <c r="U28">
        <v>1</v>
      </c>
    </row>
    <row r="29" spans="1:23" ht="22.8" x14ac:dyDescent="0.3">
      <c r="A29" s="150" t="s">
        <v>55</v>
      </c>
      <c r="B29" s="151">
        <v>204</v>
      </c>
      <c r="C29" s="151">
        <f>VLOOKUP($A29,'спортивные сооружния'!A32:G140,7,FALSE)</f>
        <v>7</v>
      </c>
      <c r="D29" s="162">
        <f>VLOOKUP($A29,библиотеки!A31:N143,14,FALSE)/'Экономические факторы'!G29*1000</f>
        <v>323.52435036998793</v>
      </c>
      <c r="E29" s="151">
        <f>VLOOKUP($A29,Газеты!$A$3:$G$111,7,FALSE)</f>
        <v>353</v>
      </c>
      <c r="F29" s="162">
        <f>'Культурные факторы'!F29/Данные!K29*1000</f>
        <v>1144.0371708828086</v>
      </c>
      <c r="G29" s="163">
        <f>'Экономические факторы'!B29/'Экономические факторы'!G29*100</f>
        <v>49.079332300808808</v>
      </c>
      <c r="H29" s="147">
        <v>39898</v>
      </c>
      <c r="I29" s="164">
        <v>443985.54465668561</v>
      </c>
      <c r="J29" s="147">
        <f>'Экономические факторы'!F29/'Экономические факторы'!G29*1000</f>
        <v>81.91361211495439</v>
      </c>
      <c r="K29" s="147">
        <v>10.489169675090253</v>
      </c>
      <c r="M29" t="s">
        <v>1200</v>
      </c>
      <c r="N29">
        <v>0.23550611731829391</v>
      </c>
      <c r="O29">
        <v>0.64269623740793935</v>
      </c>
      <c r="P29">
        <v>-0.472483257494069</v>
      </c>
      <c r="Q29">
        <v>0.27572738936108687</v>
      </c>
      <c r="R29">
        <v>-0.33012227482434486</v>
      </c>
      <c r="S29">
        <v>0.31557328292715003</v>
      </c>
      <c r="T29">
        <v>0.260072444644182</v>
      </c>
      <c r="U29">
        <v>0.18283796165803123</v>
      </c>
      <c r="V29">
        <v>1</v>
      </c>
    </row>
    <row r="30" spans="1:23" ht="23.4" thickBot="1" x14ac:dyDescent="0.35">
      <c r="A30" s="150" t="s">
        <v>57</v>
      </c>
      <c r="B30" s="151">
        <v>822</v>
      </c>
      <c r="C30" s="151">
        <f>VLOOKUP($A30,'спортивные сооружния'!A33:G141,7,FALSE)</f>
        <v>9</v>
      </c>
      <c r="D30" s="162">
        <f>VLOOKUP($A30,библиотеки!A32:N144,14,FALSE)/'Экономические факторы'!G30*1000</f>
        <v>169.88817035263853</v>
      </c>
      <c r="E30" s="151">
        <f>VLOOKUP($A30,Газеты!$A$3:$G$111,7,FALSE)</f>
        <v>1313</v>
      </c>
      <c r="F30" s="162">
        <f>'Культурные факторы'!F30/Данные!K30*1000</f>
        <v>8.8034585015541822</v>
      </c>
      <c r="G30" s="163">
        <f>'Экономические факторы'!B30/'Экономические факторы'!G30*100</f>
        <v>60.629175747615136</v>
      </c>
      <c r="H30" s="147">
        <v>72037</v>
      </c>
      <c r="I30" s="164">
        <v>1994712.2083675731</v>
      </c>
      <c r="J30" s="147">
        <f>'Экономические факторы'!F30/'Экономические факторы'!G30*1000</f>
        <v>213.5839079638429</v>
      </c>
      <c r="K30" s="147">
        <v>3998.428571428572</v>
      </c>
      <c r="M30" s="61" t="s">
        <v>1191</v>
      </c>
      <c r="N30" s="61">
        <v>-0.18154516346574429</v>
      </c>
      <c r="O30" s="61">
        <v>-0.12938105519739568</v>
      </c>
      <c r="P30" s="61">
        <v>-3.9347792322218982E-3</v>
      </c>
      <c r="Q30" s="61">
        <v>-8.1516789694718331E-2</v>
      </c>
      <c r="R30" s="61">
        <v>0.37770523666342681</v>
      </c>
      <c r="S30" s="61">
        <v>0.64521186309781065</v>
      </c>
      <c r="T30" s="61">
        <v>0.81818804765519493</v>
      </c>
      <c r="U30" s="61">
        <v>0.77972885194278851</v>
      </c>
      <c r="V30" s="61">
        <v>1.7868446970199049E-2</v>
      </c>
      <c r="W30" s="61">
        <v>1</v>
      </c>
    </row>
    <row r="31" spans="1:23" ht="22.8" x14ac:dyDescent="0.3">
      <c r="A31" s="150" t="s">
        <v>61</v>
      </c>
      <c r="B31" s="151">
        <v>181</v>
      </c>
      <c r="C31" s="151">
        <f>VLOOKUP($A31,'спортивные сооружния'!A34:G143,7,FALSE)</f>
        <v>3</v>
      </c>
      <c r="D31" s="162">
        <f>VLOOKUP($A31,библиотеки!A33:N145,14,FALSE)/'Экономические факторы'!G31*1000</f>
        <v>359.56851777866564</v>
      </c>
      <c r="E31" s="151">
        <f>VLOOKUP($A31,Газеты!$A$3:$G$111,7,FALSE)</f>
        <v>186</v>
      </c>
      <c r="F31" s="162">
        <f>'Культурные факторы'!F31/Данные!K31*1000</f>
        <v>76.348381941669999</v>
      </c>
      <c r="G31" s="163">
        <f>'Экономические факторы'!B31/'Экономические факторы'!G31*100</f>
        <v>31.302437075509388</v>
      </c>
      <c r="H31" s="147">
        <v>42684</v>
      </c>
      <c r="I31" s="164">
        <v>393527.76667998405</v>
      </c>
      <c r="J31" s="147">
        <f>'Экономические факторы'!F31/'Экономические факторы'!G31*1000</f>
        <v>123.05233719536555</v>
      </c>
      <c r="K31" s="147">
        <v>64.179487179487182</v>
      </c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</row>
    <row r="32" spans="1:23" ht="22.8" x14ac:dyDescent="0.3">
      <c r="A32" s="150" t="s">
        <v>63</v>
      </c>
      <c r="B32" s="151">
        <v>228</v>
      </c>
      <c r="C32" s="151">
        <f>VLOOKUP($A32,'спортивные сооружния'!A36:G145,7,FALSE)</f>
        <v>30</v>
      </c>
      <c r="D32" s="162">
        <f>VLOOKUP($A32,библиотеки!A34:N146,14,FALSE)/'Экономические факторы'!G32*1000</f>
        <v>259.75386226760935</v>
      </c>
      <c r="E32" s="151">
        <f>VLOOKUP($A32,Газеты!$A$3:$G$111,7,FALSE)</f>
        <v>136</v>
      </c>
      <c r="F32" s="162">
        <f>'Культурные факторы'!F32/Данные!K32*1000</f>
        <v>925.35742340926947</v>
      </c>
      <c r="G32" s="163">
        <f>'Экономические факторы'!B32/'Экономические факторы'!G32*100</f>
        <v>46.640481801518725</v>
      </c>
      <c r="H32" s="147">
        <v>32875</v>
      </c>
      <c r="I32" s="164">
        <v>343545.43074103165</v>
      </c>
      <c r="J32" s="147">
        <f>'Экономические факторы'!F32/'Экономические факторы'!G32*1000</f>
        <v>142.0790782927468</v>
      </c>
      <c r="K32" s="147">
        <v>73.160919540229884</v>
      </c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</row>
    <row r="33" spans="1:23" ht="23.4" thickBot="1" x14ac:dyDescent="0.35">
      <c r="A33" s="150" t="s">
        <v>65</v>
      </c>
      <c r="B33" s="151">
        <v>103</v>
      </c>
      <c r="C33" s="151">
        <f>VLOOKUP($A33,'спортивные сооружния'!A37:G146,7,FALSE)</f>
        <v>82</v>
      </c>
      <c r="D33" s="162">
        <f>VLOOKUP($A33,библиотеки!A35:N147,14,FALSE)/'Экономические факторы'!G33*1000</f>
        <v>263.84364820846906</v>
      </c>
      <c r="E33" s="151">
        <f>VLOOKUP($A33,Газеты!$A$3:$G$111,7,FALSE)</f>
        <v>230</v>
      </c>
      <c r="F33" s="162">
        <f>'Культурные факторы'!F33/Данные!K33*1000</f>
        <v>2477.4044231098919</v>
      </c>
      <c r="G33" s="163">
        <f>'Экономические факторы'!B33/'Экономические факторы'!G33*100</f>
        <v>49.854277387279275</v>
      </c>
      <c r="H33" s="147">
        <v>54627</v>
      </c>
      <c r="I33" s="164">
        <v>737870.73547059833</v>
      </c>
      <c r="J33" s="147">
        <f>'Экономические факторы'!F33/'Экономические факторы'!G33*1000</f>
        <v>147.53985942053833</v>
      </c>
      <c r="K33" s="147">
        <v>77.258278145695371</v>
      </c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</row>
    <row r="34" spans="1:23" ht="22.8" x14ac:dyDescent="0.3">
      <c r="A34" s="150" t="s">
        <v>66</v>
      </c>
      <c r="B34" s="151">
        <v>283</v>
      </c>
      <c r="C34" s="151">
        <f>VLOOKUP($A34,'спортивные сооружния'!A38:G147,7,FALSE)</f>
        <v>8</v>
      </c>
      <c r="D34" s="162">
        <f>VLOOKUP($A34,библиотеки!A36:N148,14,FALSE)/'Экономические факторы'!G34*1000</f>
        <v>427.93744716821641</v>
      </c>
      <c r="E34" s="151">
        <f>VLOOKUP($A34,Газеты!$A$3:$G$111,7,FALSE)</f>
        <v>104</v>
      </c>
      <c r="F34" s="162">
        <f>'Культурные факторы'!F34/Данные!K34*1000</f>
        <v>724.8520710059172</v>
      </c>
      <c r="G34" s="163">
        <f>'Экономические факторы'!B34/'Экономические факторы'!G34*100</f>
        <v>49.323753169907022</v>
      </c>
      <c r="H34" s="147">
        <v>36593</v>
      </c>
      <c r="I34" s="164">
        <v>808326.28909551993</v>
      </c>
      <c r="J34" s="147">
        <f>'Экономические факторы'!F34/'Экономические факторы'!G34*1000</f>
        <v>92.455621301775153</v>
      </c>
      <c r="K34" s="147">
        <v>19.314285714285713</v>
      </c>
      <c r="M34" s="62"/>
      <c r="N34" s="62" t="s">
        <v>1193</v>
      </c>
      <c r="O34" s="62" t="s">
        <v>822</v>
      </c>
      <c r="P34" s="62" t="s">
        <v>1195</v>
      </c>
      <c r="Q34" s="62" t="s">
        <v>824</v>
      </c>
      <c r="R34" s="62" t="s">
        <v>1196</v>
      </c>
      <c r="S34" s="62" t="s">
        <v>1192</v>
      </c>
      <c r="T34" s="62" t="s">
        <v>1189</v>
      </c>
      <c r="U34" s="62" t="s">
        <v>1188</v>
      </c>
      <c r="V34" s="62" t="s">
        <v>1200</v>
      </c>
      <c r="W34" s="62" t="s">
        <v>1191</v>
      </c>
    </row>
    <row r="35" spans="1:23" ht="22.8" x14ac:dyDescent="0.3">
      <c r="A35" s="150" t="s">
        <v>67</v>
      </c>
      <c r="B35" s="151">
        <v>214</v>
      </c>
      <c r="C35" s="151">
        <f>VLOOKUP($A35,'спортивные сооружния'!A39:G148,7,FALSE)</f>
        <v>35</v>
      </c>
      <c r="D35" s="162">
        <f>VLOOKUP($A35,библиотеки!A37:N149,14,FALSE)/'Экономические факторы'!G35*1000</f>
        <v>301.15326622926767</v>
      </c>
      <c r="E35" s="151">
        <f>VLOOKUP($A35,Газеты!$A$3:$G$111,7,FALSE)</f>
        <v>156</v>
      </c>
      <c r="F35" s="162">
        <f>'Культурные факторы'!F35/Данные!K35*1000</f>
        <v>3602.4573128489342</v>
      </c>
      <c r="G35" s="163">
        <f>'Экономические факторы'!B35/'Экономические факторы'!G35*100</f>
        <v>48.090794245894287</v>
      </c>
      <c r="H35" s="147">
        <v>35575</v>
      </c>
      <c r="I35" s="164">
        <v>496352.74461061979</v>
      </c>
      <c r="J35" s="147">
        <f>'Экономические факторы'!F35/'Экономические факторы'!G35*1000</f>
        <v>118.74974530339458</v>
      </c>
      <c r="K35" s="147">
        <v>21.735163861824624</v>
      </c>
      <c r="M35" t="s">
        <v>1193</v>
      </c>
      <c r="N35" cm="1">
        <f t="array" ref="N35:W44">ABS(N21:W30)</f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23" ht="22.8" x14ac:dyDescent="0.3">
      <c r="A36" s="150" t="s">
        <v>70</v>
      </c>
      <c r="B36" s="151">
        <v>204</v>
      </c>
      <c r="C36" s="151">
        <f>VLOOKUP($A36,'спортивные сооружния'!A40:G149,7,FALSE)</f>
        <v>56</v>
      </c>
      <c r="D36" s="162">
        <f>VLOOKUP($A36,библиотеки!A38:N150,14,FALSE)/'Экономические факторы'!G36*1000</f>
        <v>416.61649608669478</v>
      </c>
      <c r="E36" s="151">
        <f>VLOOKUP($A36,Газеты!$A$3:$G$111,7,FALSE)</f>
        <v>310</v>
      </c>
      <c r="F36" s="162">
        <f>'Культурные факторы'!F36/Данные!K36*1000</f>
        <v>1442.3359422034919</v>
      </c>
      <c r="G36" s="163">
        <f>'Экономические факторы'!B36/'Экономические факторы'!G36*100</f>
        <v>50.38169777242625</v>
      </c>
      <c r="H36" s="147">
        <v>46840</v>
      </c>
      <c r="I36" s="164">
        <v>560144.49127031909</v>
      </c>
      <c r="J36" s="147">
        <f>'Экономические факторы'!F36/'Экономические факторы'!G36*1000</f>
        <v>155.01505117399159</v>
      </c>
      <c r="K36" s="147">
        <v>41.113861386138616</v>
      </c>
      <c r="M36" t="s">
        <v>822</v>
      </c>
      <c r="N36">
        <v>0.15652014011010879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 ht="34.200000000000003" x14ac:dyDescent="0.3">
      <c r="A37" s="150" t="s">
        <v>71</v>
      </c>
      <c r="B37" s="151">
        <v>358</v>
      </c>
      <c r="C37" s="151">
        <f>VLOOKUP($A37,'спортивные сооружния'!A41:G150,7,FALSE)</f>
        <v>3</v>
      </c>
      <c r="D37" s="162">
        <f>VLOOKUP($A37,библиотеки!A39:N151,14,FALSE)/'Экономические факторы'!G37*1000</f>
        <v>267.18916993231204</v>
      </c>
      <c r="E37" s="151">
        <f>VLOOKUP($A37,Газеты!$A$3:$G$111,7,FALSE)</f>
        <v>195</v>
      </c>
      <c r="F37" s="162">
        <f>'Культурные факторы'!F37/Данные!K37*1000</f>
        <v>7.6950480940505877</v>
      </c>
      <c r="G37" s="163">
        <f>'Экономические факторы'!B37/'Экономические факторы'!G37*100</f>
        <v>44.780904880655505</v>
      </c>
      <c r="H37" s="147">
        <v>39968</v>
      </c>
      <c r="I37" s="164">
        <v>409690.06056287856</v>
      </c>
      <c r="J37" s="147">
        <f>'Экономические факторы'!F37/'Экономические факторы'!G37*1000</f>
        <v>96.188101175632355</v>
      </c>
      <c r="K37" s="147">
        <v>623.77777777777771</v>
      </c>
      <c r="M37" t="s">
        <v>1195</v>
      </c>
      <c r="N37">
        <v>9.0616888840854629E-2</v>
      </c>
      <c r="O37">
        <v>0.28191394439796424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 ht="22.8" x14ac:dyDescent="0.3">
      <c r="A38" s="150" t="s">
        <v>74</v>
      </c>
      <c r="B38" s="151">
        <v>122</v>
      </c>
      <c r="C38" s="151">
        <f>VLOOKUP($A38,'спортивные сооружния'!A43:G152,7,FALSE)</f>
        <v>13</v>
      </c>
      <c r="D38" s="162">
        <f>VLOOKUP($A38,библиотеки!A40:N152,14,FALSE)/'Экономические факторы'!G38*1000</f>
        <v>286.80155930944869</v>
      </c>
      <c r="E38" s="151">
        <f>VLOOKUP($A38,Газеты!$A$3:$G$111,7,FALSE)</f>
        <v>56</v>
      </c>
      <c r="F38" s="162">
        <f>'Культурные факторы'!F38/Данные!K38*1000</f>
        <v>410.84091330981994</v>
      </c>
      <c r="G38" s="163">
        <f>'Экономические факторы'!B38/'Экономические факторы'!G38*100</f>
        <v>38.06076356661098</v>
      </c>
      <c r="H38" s="147">
        <v>39686</v>
      </c>
      <c r="I38" s="164">
        <v>282470.14417424664</v>
      </c>
      <c r="J38" s="147">
        <f>'Экономические факторы'!F38/'Экономические факторы'!G38*1000</f>
        <v>108.47101045727369</v>
      </c>
      <c r="K38" s="147">
        <v>64.258449304174945</v>
      </c>
      <c r="M38" t="s">
        <v>824</v>
      </c>
      <c r="N38">
        <v>0.34779721843584316</v>
      </c>
      <c r="O38">
        <v>4.4235627754614246E-2</v>
      </c>
      <c r="P38">
        <v>6.336002532607031E-2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 ht="34.200000000000003" x14ac:dyDescent="0.3">
      <c r="A39" s="152" t="s">
        <v>76</v>
      </c>
      <c r="B39" s="151">
        <v>210</v>
      </c>
      <c r="C39" s="151">
        <f>VLOOKUP($A39,'спортивные сооружния'!A45:G154,7,FALSE)</f>
        <v>11</v>
      </c>
      <c r="D39" s="162">
        <f>VLOOKUP($A39,библиотеки!A41:N153,14,FALSE)/'Экономические факторы'!G39*1000</f>
        <v>278.29928216454999</v>
      </c>
      <c r="E39" s="151">
        <f>VLOOKUP($A39,Газеты!$A$3:$G$111,7,FALSE)</f>
        <v>49</v>
      </c>
      <c r="F39" s="162">
        <f>'Культурные факторы'!F39/Данные!K39*1000</f>
        <v>35.891772501380451</v>
      </c>
      <c r="G39" s="163">
        <f>'Экономические факторы'!B39/'Экономические факторы'!G39*100</f>
        <v>42.628382109331859</v>
      </c>
      <c r="H39" s="147">
        <v>38948</v>
      </c>
      <c r="I39" s="164">
        <v>286029.81778023188</v>
      </c>
      <c r="J39" s="147">
        <f>'Экономические факторы'!F39/'Экономические факторы'!G39*1000</f>
        <v>75.427940364439536</v>
      </c>
      <c r="K39" s="147">
        <v>72.44</v>
      </c>
      <c r="M39" t="s">
        <v>1196</v>
      </c>
      <c r="N39">
        <v>0.15454919231292058</v>
      </c>
      <c r="O39">
        <v>0.12334240255850971</v>
      </c>
      <c r="P39">
        <v>0.4225395649471248</v>
      </c>
      <c r="Q39">
        <v>0.23088087277752206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23" ht="34.200000000000003" x14ac:dyDescent="0.3">
      <c r="A40" s="150" t="s">
        <v>77</v>
      </c>
      <c r="B40" s="151">
        <v>99</v>
      </c>
      <c r="C40" s="151">
        <f>VLOOKUP($A40,'спортивные сооружния'!A46:G155,7,FALSE)</f>
        <v>4</v>
      </c>
      <c r="D40" s="162">
        <f>VLOOKUP($A40,библиотеки!A42:N154,14,FALSE)/'Экономические факторы'!G40*1000</f>
        <v>439.88896006833227</v>
      </c>
      <c r="E40" s="151">
        <f>VLOOKUP($A40,Газеты!$A$3:$G$111,7,FALSE)</f>
        <v>95</v>
      </c>
      <c r="F40" s="162">
        <f>'Культурные факторы'!F40/Данные!K40*1000</f>
        <v>201.53747597693786</v>
      </c>
      <c r="G40" s="163">
        <f>'Экономические факторы'!B40/'Экономические факторы'!G40*100</f>
        <v>40.145206064488576</v>
      </c>
      <c r="H40" s="147">
        <v>25619</v>
      </c>
      <c r="I40" s="164">
        <v>269058.29596412554</v>
      </c>
      <c r="J40" s="147">
        <f>'Экономические факторы'!F40/'Экономические факторы'!G40*1000</f>
        <v>61.712577407644666</v>
      </c>
      <c r="K40" s="147">
        <v>32.748251748251747</v>
      </c>
      <c r="M40" t="s">
        <v>1192</v>
      </c>
      <c r="N40">
        <v>0.13332201244868505</v>
      </c>
      <c r="O40">
        <v>6.3422933952194241E-2</v>
      </c>
      <c r="P40">
        <v>9.5565237932750999E-2</v>
      </c>
      <c r="Q40">
        <v>0.2037000245334816</v>
      </c>
      <c r="R40">
        <v>0.2377116397219588</v>
      </c>
      <c r="S40">
        <v>1</v>
      </c>
      <c r="T40">
        <v>0</v>
      </c>
      <c r="U40">
        <v>0</v>
      </c>
      <c r="V40">
        <v>0</v>
      </c>
      <c r="W40">
        <v>0</v>
      </c>
    </row>
    <row r="41" spans="1:23" ht="34.200000000000003" x14ac:dyDescent="0.3">
      <c r="A41" s="150" t="s">
        <v>1066</v>
      </c>
      <c r="B41" s="151">
        <v>317</v>
      </c>
      <c r="C41" s="151">
        <f>VLOOKUP($A41,'спортивные сооружния'!A47:G156,7,FALSE)</f>
        <v>12</v>
      </c>
      <c r="D41" s="162">
        <f>VLOOKUP($A41,библиотеки!A43:N155,14,FALSE)/'Экономические факторы'!G41*1000</f>
        <v>194.43216968625717</v>
      </c>
      <c r="E41" s="151">
        <f>VLOOKUP($A41,Газеты!$A$3:$G$111,7,FALSE)</f>
        <v>85</v>
      </c>
      <c r="F41" s="162">
        <f>'Культурные факторы'!F41/Данные!K41*1000</f>
        <v>194.43216968625717</v>
      </c>
      <c r="G41" s="163">
        <f>'Экономические факторы'!B41/'Экономические факторы'!G41*100</f>
        <v>40.388864339372518</v>
      </c>
      <c r="H41" s="147">
        <v>35276</v>
      </c>
      <c r="I41" s="164">
        <v>318161.7322138754</v>
      </c>
      <c r="J41" s="147">
        <f>'Экономические факторы'!F41/'Экономические факторы'!G41*1000</f>
        <v>64.074237737516569</v>
      </c>
      <c r="K41" s="147">
        <v>84.862499999999997</v>
      </c>
      <c r="M41" t="s">
        <v>1189</v>
      </c>
      <c r="N41">
        <v>4.7448704244560179E-2</v>
      </c>
      <c r="O41">
        <v>7.4577147306388772E-2</v>
      </c>
      <c r="P41">
        <v>4.63828414978735E-2</v>
      </c>
      <c r="Q41">
        <v>0.1708428491340723</v>
      </c>
      <c r="R41">
        <v>0.24265462732893675</v>
      </c>
      <c r="S41">
        <v>0.74215470048720344</v>
      </c>
      <c r="T41">
        <v>1</v>
      </c>
      <c r="U41">
        <v>0</v>
      </c>
      <c r="V41">
        <v>0</v>
      </c>
      <c r="W41">
        <v>0</v>
      </c>
    </row>
    <row r="42" spans="1:23" ht="22.8" x14ac:dyDescent="0.3">
      <c r="A42" s="150" t="s">
        <v>78</v>
      </c>
      <c r="B42" s="151">
        <v>154</v>
      </c>
      <c r="C42" s="151">
        <f>VLOOKUP($A42,'спортивные сооружния'!A48:G157,7,FALSE)</f>
        <v>13</v>
      </c>
      <c r="D42" s="162">
        <f>VLOOKUP($A42,библиотеки!A44:N156,14,FALSE)/'Экономические факторы'!G42*1000</f>
        <v>227.96058986412518</v>
      </c>
      <c r="E42" s="151">
        <f>VLOOKUP($A42,Газеты!$A$3:$G$111,7,FALSE)</f>
        <v>28</v>
      </c>
      <c r="F42" s="162">
        <f>'Культурные факторы'!F42/Данные!K42*1000</f>
        <v>93.888853113529507</v>
      </c>
      <c r="G42" s="163">
        <f>'Экономические факторы'!B42/'Экономические факторы'!G42*100</f>
        <v>36.654002189451994</v>
      </c>
      <c r="H42" s="147">
        <v>35920</v>
      </c>
      <c r="I42" s="164">
        <v>202846.28759095885</v>
      </c>
      <c r="J42" s="147">
        <f>'Экономические факторы'!F42/'Экономические факторы'!G42*1000</f>
        <v>105.22248695988151</v>
      </c>
      <c r="K42" s="147">
        <v>95.85802469135804</v>
      </c>
      <c r="M42" t="s">
        <v>1188</v>
      </c>
      <c r="N42">
        <v>5.3523264352086125E-2</v>
      </c>
      <c r="O42">
        <v>0.12509049673890257</v>
      </c>
      <c r="P42">
        <v>4.9585360905895257E-2</v>
      </c>
      <c r="Q42">
        <v>7.8376950925714547E-2</v>
      </c>
      <c r="R42">
        <v>0.25705958946560803</v>
      </c>
      <c r="S42">
        <v>0.7428764548853265</v>
      </c>
      <c r="T42">
        <v>0.77286882903461485</v>
      </c>
      <c r="U42">
        <v>1</v>
      </c>
      <c r="V42">
        <v>0</v>
      </c>
      <c r="W42">
        <v>0</v>
      </c>
    </row>
    <row r="43" spans="1:23" ht="22.8" x14ac:dyDescent="0.3">
      <c r="A43" s="150" t="s">
        <v>79</v>
      </c>
      <c r="B43" s="151">
        <v>117</v>
      </c>
      <c r="C43" s="151">
        <f>VLOOKUP($A43,'спортивные сооружния'!A49:G158,7,FALSE)</f>
        <v>40</v>
      </c>
      <c r="D43" s="162">
        <f>VLOOKUP($A43,библиотеки!A45:N157,14,FALSE)/'Экономические факторы'!G43*1000</f>
        <v>345.10238730466722</v>
      </c>
      <c r="E43" s="151">
        <f>VLOOKUP($A43,Газеты!$A$3:$G$111,7,FALSE)</f>
        <v>173</v>
      </c>
      <c r="F43" s="162">
        <f>'Культурные факторы'!F43/Данные!K43*1000</f>
        <v>1791.4209486850768</v>
      </c>
      <c r="G43" s="163">
        <f>'Экономические факторы'!B43/'Экономические факторы'!G43*100</f>
        <v>46.581892519316732</v>
      </c>
      <c r="H43" s="147">
        <v>32930</v>
      </c>
      <c r="I43" s="164">
        <v>415786.00880080386</v>
      </c>
      <c r="J43" s="147">
        <f>'Экономические факторы'!F43/'Экономические факторы'!G43*1000</f>
        <v>115.96964762135754</v>
      </c>
      <c r="K43" s="147">
        <v>43.596676737160116</v>
      </c>
      <c r="M43" t="s">
        <v>1200</v>
      </c>
      <c r="N43">
        <v>0.23550611731829391</v>
      </c>
      <c r="O43">
        <v>0.64269623740793935</v>
      </c>
      <c r="P43">
        <v>0.472483257494069</v>
      </c>
      <c r="Q43">
        <v>0.27572738936108687</v>
      </c>
      <c r="R43">
        <v>0.33012227482434486</v>
      </c>
      <c r="S43">
        <v>0.31557328292715003</v>
      </c>
      <c r="T43">
        <v>0.260072444644182</v>
      </c>
      <c r="U43">
        <v>0.18283796165803123</v>
      </c>
      <c r="V43">
        <v>1</v>
      </c>
      <c r="W43">
        <v>0</v>
      </c>
    </row>
    <row r="44" spans="1:23" ht="34.799999999999997" thickBot="1" x14ac:dyDescent="0.35">
      <c r="A44" s="150" t="s">
        <v>81</v>
      </c>
      <c r="B44" s="151">
        <v>257</v>
      </c>
      <c r="C44" s="151">
        <f>VLOOKUP($A44,'спортивные сооружния'!A51:G160,7,FALSE)</f>
        <v>25</v>
      </c>
      <c r="D44" s="162">
        <f>VLOOKUP($A44,библиотеки!A46:N158,14,FALSE)/'Экономические факторы'!G44*1000</f>
        <v>587.30900770120309</v>
      </c>
      <c r="E44" s="151">
        <f>VLOOKUP($A44,Газеты!$A$3:$G$111,7,FALSE)</f>
        <v>278</v>
      </c>
      <c r="F44" s="162">
        <f>'Культурные факторы'!F44/Данные!K44*1000</f>
        <v>6142.4181285830273</v>
      </c>
      <c r="G44" s="163">
        <f>'Экономические факторы'!B44/'Экономические факторы'!G44*100</f>
        <v>42.565755480648569</v>
      </c>
      <c r="H44" s="147">
        <v>40022</v>
      </c>
      <c r="I44" s="164">
        <v>551878.55227222398</v>
      </c>
      <c r="J44" s="147">
        <f>'Экономические факторы'!F44/'Экономические факторы'!G44*1000</f>
        <v>152.5477942081047</v>
      </c>
      <c r="K44" s="147">
        <v>28.441567529741079</v>
      </c>
      <c r="M44" s="61" t="s">
        <v>1191</v>
      </c>
      <c r="N44" s="61">
        <v>0.18154516346574429</v>
      </c>
      <c r="O44" s="61">
        <v>0.12938105519739568</v>
      </c>
      <c r="P44" s="61">
        <v>3.9347792322218982E-3</v>
      </c>
      <c r="Q44" s="61">
        <v>8.1516789694718331E-2</v>
      </c>
      <c r="R44" s="61">
        <v>0.37770523666342681</v>
      </c>
      <c r="S44" s="61">
        <v>0.64521186309781065</v>
      </c>
      <c r="T44" s="61">
        <v>0.81818804765519493</v>
      </c>
      <c r="U44" s="61">
        <v>0.77972885194278851</v>
      </c>
      <c r="V44" s="61">
        <v>1.7868446970199049E-2</v>
      </c>
      <c r="W44" s="61">
        <v>1</v>
      </c>
    </row>
    <row r="45" spans="1:23" ht="22.8" x14ac:dyDescent="0.3">
      <c r="A45" s="150" t="s">
        <v>82</v>
      </c>
      <c r="B45" s="151">
        <v>561</v>
      </c>
      <c r="C45" s="151">
        <f>VLOOKUP($A45,'спортивные сооружния'!A52:G161,7,FALSE)</f>
        <v>8</v>
      </c>
      <c r="D45" s="162">
        <f>VLOOKUP($A45,библиотеки!A47:N159,14,FALSE)/'Экономические факторы'!G45*1000</f>
        <v>473.27560465810694</v>
      </c>
      <c r="E45" s="151">
        <f>VLOOKUP($A45,Газеты!$A$3:$G$111,7,FALSE)</f>
        <v>1618</v>
      </c>
      <c r="F45" s="162">
        <f>'Культурные факторы'!F45/Данные!K45*1000</f>
        <v>772.08121827411173</v>
      </c>
      <c r="G45" s="163">
        <f>'Экономические факторы'!B45/'Экономические факторы'!G45*100</f>
        <v>41.90803224843237</v>
      </c>
      <c r="H45" s="147">
        <v>31013</v>
      </c>
      <c r="I45" s="164">
        <v>391161.54075843544</v>
      </c>
      <c r="J45" s="147">
        <f>'Экономические факторы'!F45/'Экономические факторы'!G45*1000</f>
        <v>77.933711555688276</v>
      </c>
      <c r="K45" s="147">
        <v>28.623931623931625</v>
      </c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4"/>
    </row>
    <row r="46" spans="1:23" ht="22.8" x14ac:dyDescent="0.3">
      <c r="A46" s="150" t="s">
        <v>83</v>
      </c>
      <c r="B46" s="151">
        <v>324</v>
      </c>
      <c r="C46" s="151">
        <f>VLOOKUP($A46,'спортивные сооружния'!A53:G162,7,FALSE)</f>
        <v>6</v>
      </c>
      <c r="D46" s="162">
        <f>VLOOKUP($A46,библиотеки!A48:N160,14,FALSE)/'Экономические факторы'!G46*1000</f>
        <v>531.40096618357495</v>
      </c>
      <c r="E46" s="151">
        <f>VLOOKUP($A46,Газеты!$A$3:$G$111,7,FALSE)</f>
        <v>225</v>
      </c>
      <c r="F46" s="162">
        <f>'Культурные факторы'!F46/Данные!K46*1000</f>
        <v>804.23031727379566</v>
      </c>
      <c r="G46" s="163">
        <f>'Экономические факторы'!B46/'Экономические факторы'!G46*100</f>
        <v>48.217783000391698</v>
      </c>
      <c r="H46" s="147">
        <v>30647</v>
      </c>
      <c r="I46" s="164">
        <v>447839.1434913174</v>
      </c>
      <c r="J46" s="147">
        <f>'Экономические факторы'!F46/'Экономические факторы'!G46*1000</f>
        <v>96.748922835879355</v>
      </c>
      <c r="K46" s="147">
        <v>29.344827586206893</v>
      </c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4"/>
    </row>
    <row r="47" spans="1:23" ht="22.8" x14ac:dyDescent="0.3">
      <c r="A47" s="150" t="s">
        <v>84</v>
      </c>
      <c r="B47" s="151">
        <v>341</v>
      </c>
      <c r="C47" s="151">
        <f>VLOOKUP($A47,'спортивные сооружния'!A54:G163,7,FALSE)</f>
        <v>46</v>
      </c>
      <c r="D47" s="162">
        <f>VLOOKUP($A47,библиотеки!A49:N161,14,FALSE)/'Экономические факторы'!G47*1000</f>
        <v>444.91631276542591</v>
      </c>
      <c r="E47" s="151">
        <f>VLOOKUP($A47,Газеты!$A$3:$G$111,7,FALSE)</f>
        <v>349</v>
      </c>
      <c r="F47" s="162">
        <f>'Культурные факторы'!F47/Данные!K47*1000</f>
        <v>2489.7826630027475</v>
      </c>
      <c r="G47" s="163">
        <f>'Экономические факторы'!B47/'Экономические факторы'!G47*100</f>
        <v>50.874344241818633</v>
      </c>
      <c r="H47" s="147">
        <v>52524</v>
      </c>
      <c r="I47" s="164">
        <v>1043967.0247314514</v>
      </c>
      <c r="J47" s="147">
        <f>'Экономические факторы'!F47/'Экономические факторы'!G47*1000</f>
        <v>294.87884086934804</v>
      </c>
      <c r="K47" s="147">
        <v>59.041297935103245</v>
      </c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</row>
    <row r="48" spans="1:23" ht="22.8" x14ac:dyDescent="0.3">
      <c r="A48" s="150" t="s">
        <v>85</v>
      </c>
      <c r="B48" s="151">
        <v>312</v>
      </c>
      <c r="C48" s="151">
        <f>VLOOKUP($A48,'спортивные сооружния'!A55:G164,7,FALSE)</f>
        <v>25</v>
      </c>
      <c r="D48" s="162">
        <f>VLOOKUP($A48,библиотеки!A50:N162,14,FALSE)/'Экономические факторы'!G48*1000</f>
        <v>443.32915098285241</v>
      </c>
      <c r="E48" s="151">
        <f>VLOOKUP($A48,Газеты!$A$3:$G$111,7,FALSE)</f>
        <v>520</v>
      </c>
      <c r="F48" s="162">
        <f>'Культурные факторы'!F48/Данные!K48*1000</f>
        <v>1640.4502997351181</v>
      </c>
      <c r="G48" s="163">
        <f>'Экономические факторы'!B48/'Экономические факторы'!G48*100</f>
        <v>47.504530879687721</v>
      </c>
      <c r="H48" s="147">
        <v>38939</v>
      </c>
      <c r="I48" s="164">
        <v>673358.4274362193</v>
      </c>
      <c r="J48" s="147">
        <f>'Экономические факторы'!F48/'Экономические факторы'!G48*1000</f>
        <v>115.92081416422698</v>
      </c>
      <c r="K48" s="147">
        <v>34.076009501187642</v>
      </c>
      <c r="M48" s="154"/>
      <c r="N48" s="154"/>
      <c r="O48" s="154"/>
      <c r="P48" s="154"/>
      <c r="Q48" s="154"/>
      <c r="R48" s="154"/>
      <c r="S48" s="154"/>
      <c r="T48" s="154"/>
      <c r="U48" s="154"/>
      <c r="V48" s="154"/>
      <c r="W48" s="154"/>
    </row>
    <row r="49" spans="1:23" ht="22.8" x14ac:dyDescent="0.3">
      <c r="A49" s="150" t="s">
        <v>86</v>
      </c>
      <c r="B49" s="151">
        <v>388</v>
      </c>
      <c r="C49" s="151">
        <f>VLOOKUP($A49,'спортивные сооружния'!A56:G165,7,FALSE)</f>
        <v>12</v>
      </c>
      <c r="D49" s="162">
        <f>VLOOKUP($A49,библиотеки!A51:N163,14,FALSE)/'Экономические факторы'!G49*1000</f>
        <v>704.30982777825375</v>
      </c>
      <c r="E49" s="151">
        <f>VLOOKUP($A49,Газеты!$A$3:$G$111,7,FALSE)</f>
        <v>509</v>
      </c>
      <c r="F49" s="162">
        <f>'Культурные факторы'!F49/Данные!K49*1000</f>
        <v>500.18850141376072</v>
      </c>
      <c r="G49" s="163">
        <f>'Экономические факторы'!B49/'Экономические факторы'!G49*100</f>
        <v>43.586667809099481</v>
      </c>
      <c r="H49" s="147">
        <v>34129</v>
      </c>
      <c r="I49" s="164">
        <v>429269.1286093737</v>
      </c>
      <c r="J49" s="147">
        <f>'Экономические факторы'!F49/'Экономические факторы'!G49*1000</f>
        <v>105.73215662753836</v>
      </c>
      <c r="K49" s="147">
        <v>63.775956284152997</v>
      </c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</row>
    <row r="50" spans="1:23" ht="22.8" x14ac:dyDescent="0.3">
      <c r="A50" s="150" t="s">
        <v>87</v>
      </c>
      <c r="B50" s="151">
        <v>349</v>
      </c>
      <c r="C50" s="151">
        <f>VLOOKUP($A50,'спортивные сооружния'!A56:G166,7,FALSE)</f>
        <v>25</v>
      </c>
      <c r="D50" s="162">
        <f>VLOOKUP($A50,библиотеки!A52:N164,14,FALSE)/'Экономические факторы'!G50*1000</f>
        <v>454.05362080711734</v>
      </c>
      <c r="E50" s="151">
        <f>VLOOKUP($A50,Газеты!$A$3:$G$111,7,FALSE)</f>
        <v>370</v>
      </c>
      <c r="F50" s="162">
        <f>'Культурные факторы'!F50/Данные!K50*1000</f>
        <v>6265.9880575481893</v>
      </c>
      <c r="G50" s="163">
        <f>'Экономические факторы'!B50/'Экономические факторы'!G50*100</f>
        <v>45.910311385404547</v>
      </c>
      <c r="H50" s="147">
        <v>45639</v>
      </c>
      <c r="I50" s="164">
        <v>802709.09309501864</v>
      </c>
      <c r="J50" s="147">
        <f>'Экономические факторы'!F50/'Экономические факторы'!G50*1000</f>
        <v>192.92269466597202</v>
      </c>
      <c r="K50" s="147">
        <v>15.576154806491887</v>
      </c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</row>
    <row r="51" spans="1:23" ht="22.8" x14ac:dyDescent="0.3">
      <c r="A51" s="150" t="s">
        <v>88</v>
      </c>
      <c r="B51" s="151">
        <v>236</v>
      </c>
      <c r="C51" s="151">
        <f>VLOOKUP($A51,'спортивные сооружния'!A57:G167,7,FALSE)</f>
        <v>24</v>
      </c>
      <c r="D51" s="162">
        <f>VLOOKUP($A51,библиотеки!A53:N165,14,FALSE)/'Экономические факторы'!G51*1000</f>
        <v>734.57828126382867</v>
      </c>
      <c r="E51" s="151">
        <f>VLOOKUP($A51,Газеты!$A$3:$G$111,7,FALSE)</f>
        <v>605</v>
      </c>
      <c r="F51" s="162">
        <f>'Культурные факторы'!F51/Данные!K51*1000</f>
        <v>5445.1190370829281</v>
      </c>
      <c r="G51" s="163">
        <f>'Экономические факторы'!B51/'Экономические факторы'!G51*100</f>
        <v>46.906805912027608</v>
      </c>
      <c r="H51" s="147">
        <v>38277</v>
      </c>
      <c r="I51" s="164">
        <v>491193.91096557211</v>
      </c>
      <c r="J51" s="147">
        <f>'Экономические факторы'!F51/'Экономические факторы'!G51*1000</f>
        <v>93.990618638817594</v>
      </c>
      <c r="K51" s="147">
        <v>9.3845514950166109</v>
      </c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</row>
    <row r="52" spans="1:23" ht="22.8" x14ac:dyDescent="0.3">
      <c r="A52" s="150" t="s">
        <v>89</v>
      </c>
      <c r="B52" s="151">
        <v>317</v>
      </c>
      <c r="C52" s="151">
        <f>VLOOKUP($A52,'спортивные сооружния'!A57:G168,7,FALSE)</f>
        <v>42</v>
      </c>
      <c r="D52" s="162">
        <f>VLOOKUP($A52,библиотеки!A54:N166,14,FALSE)/'Экономические факторы'!G52*1000</f>
        <v>440.80645688331202</v>
      </c>
      <c r="E52" s="151">
        <f>VLOOKUP($A52,Газеты!$A$3:$G$111,7,FALSE)</f>
        <v>1201</v>
      </c>
      <c r="F52" s="162">
        <f>'Культурные факторы'!F52/Данные!K52*1000</f>
        <v>2440.4470149985295</v>
      </c>
      <c r="G52" s="163">
        <f>'Экономические факторы'!B52/'Экономические факторы'!G52*100</f>
        <v>54.259386334673067</v>
      </c>
      <c r="H52" s="147">
        <v>50601</v>
      </c>
      <c r="I52" s="164">
        <v>747639.12034767831</v>
      </c>
      <c r="J52" s="147">
        <f>'Экономические факторы'!F52/'Экономические факторы'!G52*1000</f>
        <v>224.45511877920464</v>
      </c>
      <c r="K52" s="147">
        <v>39.951697127937344</v>
      </c>
      <c r="M52" s="154"/>
      <c r="N52" s="154"/>
      <c r="O52" s="154"/>
      <c r="P52" s="154"/>
      <c r="Q52" s="154"/>
      <c r="R52" s="154"/>
      <c r="S52" s="154"/>
      <c r="T52" s="154"/>
      <c r="U52" s="154"/>
      <c r="V52" s="154"/>
      <c r="W52" s="154"/>
    </row>
    <row r="53" spans="1:23" ht="22.8" x14ac:dyDescent="0.3">
      <c r="A53" s="152" t="s">
        <v>90</v>
      </c>
      <c r="B53" s="151">
        <v>220</v>
      </c>
      <c r="C53" s="151">
        <f>VLOOKUP($A53,'спортивные сооружния'!A58:G169,7,FALSE)</f>
        <v>35</v>
      </c>
      <c r="D53" s="162">
        <f>VLOOKUP($A53,библиотеки!A55:N167,14,FALSE)/'Экономические факторы'!G53*1000</f>
        <v>475.74779898288398</v>
      </c>
      <c r="E53" s="151">
        <f>VLOOKUP($A53,Газеты!$A$3:$G$111,7,FALSE)</f>
        <v>291</v>
      </c>
      <c r="F53" s="162">
        <f>'Культурные факторы'!F53/Данные!K53*1000</f>
        <v>4160.0864001749878</v>
      </c>
      <c r="G53" s="163">
        <f>'Экономические факторы'!B53/'Экономические факторы'!G53*100</f>
        <v>46.388144583583966</v>
      </c>
      <c r="H53" s="147">
        <v>36756</v>
      </c>
      <c r="I53" s="164">
        <v>859080.22092196648</v>
      </c>
      <c r="J53" s="147">
        <f>'Экономические факторы'!F53/'Экономические факторы'!G53*1000</f>
        <v>160.44184393284846</v>
      </c>
      <c r="K53" s="147">
        <v>14.783346806790622</v>
      </c>
      <c r="M53" s="154"/>
      <c r="N53" s="154"/>
      <c r="O53" s="154"/>
      <c r="P53" s="154"/>
      <c r="Q53" s="154"/>
      <c r="R53" s="154"/>
      <c r="S53" s="154"/>
      <c r="T53" s="154"/>
      <c r="U53" s="154"/>
      <c r="V53" s="154"/>
      <c r="W53" s="154"/>
    </row>
    <row r="54" spans="1:23" ht="22.8" x14ac:dyDescent="0.3">
      <c r="A54" s="152" t="s">
        <v>91</v>
      </c>
      <c r="B54" s="151">
        <v>175</v>
      </c>
      <c r="C54" s="151">
        <f>VLOOKUP($A54,'спортивные сооружния'!A58:G170,7,FALSE)</f>
        <v>25</v>
      </c>
      <c r="D54" s="162">
        <f>VLOOKUP($A54,библиотеки!A56:N168,14,FALSE)/'Экономические факторы'!G54*1000</f>
        <v>491.86958983900979</v>
      </c>
      <c r="E54" s="151">
        <f>VLOOKUP($A54,Газеты!$A$3:$G$111,7,FALSE)</f>
        <v>455</v>
      </c>
      <c r="F54" s="162">
        <f>'Культурные факторы'!F54/Данные!K54*1000</f>
        <v>1351.7514764177656</v>
      </c>
      <c r="G54" s="163">
        <f>'Экономические факторы'!B54/'Экономические факторы'!G54*100</f>
        <v>46.962219885122565</v>
      </c>
      <c r="H54" s="147">
        <v>36429</v>
      </c>
      <c r="I54" s="164">
        <v>479734.64930021844</v>
      </c>
      <c r="J54" s="147">
        <f>'Экономические факторы'!F54/'Экономические факторы'!G54*1000</f>
        <v>98.535717174985848</v>
      </c>
      <c r="K54" s="147">
        <v>28.481566820276498</v>
      </c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</row>
    <row r="55" spans="1:23" ht="22.8" x14ac:dyDescent="0.3">
      <c r="A55" s="150" t="s">
        <v>92</v>
      </c>
      <c r="B55" s="151">
        <v>277</v>
      </c>
      <c r="C55" s="151">
        <f>VLOOKUP($A55,'спортивные сооружния'!A59:G171,7,FALSE)</f>
        <v>39</v>
      </c>
      <c r="D55" s="162">
        <f>VLOOKUP($A55,библиотеки!A57:N169,14,FALSE)/'Экономические факторы'!G55*1000</f>
        <v>326.10780740456545</v>
      </c>
      <c r="E55" s="151">
        <f>VLOOKUP($A55,Газеты!$A$3:$G$111,7,FALSE)</f>
        <v>285</v>
      </c>
      <c r="F55" s="162">
        <f>'Культурные факторы'!F55/Данные!K55*1000</f>
        <v>1602.2763603810986</v>
      </c>
      <c r="G55" s="163">
        <f>'Экономические факторы'!B55/'Экономические факторы'!G55*100</f>
        <v>52.634439542170206</v>
      </c>
      <c r="H55" s="147">
        <v>42701</v>
      </c>
      <c r="I55" s="164">
        <v>760278.79020397714</v>
      </c>
      <c r="J55" s="147">
        <f>'Экономические факторы'!F55/'Экономические факторы'!G55*1000</f>
        <v>165.1640130443123</v>
      </c>
      <c r="K55" s="147">
        <v>58.354477611940297</v>
      </c>
      <c r="M55" s="154"/>
      <c r="N55" s="154"/>
      <c r="O55" s="154"/>
      <c r="P55" s="154"/>
      <c r="Q55" s="154"/>
      <c r="R55" s="154"/>
      <c r="S55" s="154"/>
      <c r="T55" s="154"/>
      <c r="U55" s="154"/>
      <c r="V55" s="154"/>
      <c r="W55" s="154"/>
    </row>
    <row r="56" spans="1:23" ht="22.8" x14ac:dyDescent="0.3">
      <c r="A56" s="150" t="s">
        <v>93</v>
      </c>
      <c r="B56" s="151">
        <v>266</v>
      </c>
      <c r="C56" s="151">
        <f>VLOOKUP($A56,'спортивные сооружния'!A60:G172,7,FALSE)</f>
        <v>24</v>
      </c>
      <c r="D56" s="162">
        <f>VLOOKUP($A56,библиотеки!A58:N170,14,FALSE)/'Экономические факторы'!G56*1000</f>
        <v>384.03488177092072</v>
      </c>
      <c r="E56" s="151">
        <f>VLOOKUP($A56,Газеты!$A$3:$G$111,7,FALSE)</f>
        <v>405</v>
      </c>
      <c r="F56" s="162">
        <f>'Культурные факторы'!F56/Данные!K56*1000</f>
        <v>2155.3580412544025</v>
      </c>
      <c r="G56" s="163">
        <f>'Экономические факторы'!B56/'Экономические факторы'!G56*100</f>
        <v>46.973000167700832</v>
      </c>
      <c r="H56" s="147">
        <v>33348</v>
      </c>
      <c r="I56" s="164">
        <v>500586.95287606912</v>
      </c>
      <c r="J56" s="147">
        <f>'Экономические факторы'!F56/'Экономические факторы'!G56*1000</f>
        <v>120.11571356699649</v>
      </c>
      <c r="K56" s="147">
        <v>23.569169960474305</v>
      </c>
      <c r="M56" s="154"/>
      <c r="N56" s="154"/>
      <c r="O56" s="154"/>
      <c r="P56" s="154"/>
      <c r="Q56" s="154"/>
      <c r="R56" s="154"/>
      <c r="S56" s="154"/>
      <c r="T56" s="154"/>
      <c r="U56" s="154"/>
      <c r="V56" s="154"/>
      <c r="W56" s="154"/>
    </row>
    <row r="57" spans="1:23" ht="22.8" x14ac:dyDescent="0.3">
      <c r="A57" s="150" t="s">
        <v>94</v>
      </c>
      <c r="B57" s="151">
        <v>189</v>
      </c>
      <c r="C57" s="151">
        <f>VLOOKUP($A57,'спортивные сооружния'!A61:G173,7,FALSE)</f>
        <v>17</v>
      </c>
      <c r="D57" s="162">
        <f>VLOOKUP($A57,библиотеки!A59:N171,14,FALSE)/'Экономические факторы'!G57*1000</f>
        <v>416.95088676671213</v>
      </c>
      <c r="E57" s="151">
        <f>VLOOKUP($A57,Газеты!$A$3:$G$111,7,FALSE)</f>
        <v>1143</v>
      </c>
      <c r="F57" s="162">
        <f>'Культурные факторы'!F57/Данные!K57*1000</f>
        <v>1290.9618008185541</v>
      </c>
      <c r="G57" s="163">
        <f>'Экономические факторы'!B57/'Экономические факторы'!G57*100</f>
        <v>47.552864938608465</v>
      </c>
      <c r="H57" s="147">
        <v>35783</v>
      </c>
      <c r="I57" s="164">
        <v>502216.91678035475</v>
      </c>
      <c r="J57" s="147">
        <f>'Экономические факторы'!F57/'Экономические факторы'!G57*1000</f>
        <v>103.00136425648023</v>
      </c>
      <c r="K57" s="147">
        <v>31.526881720430104</v>
      </c>
      <c r="M57" s="154"/>
      <c r="N57" s="154"/>
      <c r="O57" s="154"/>
      <c r="P57" s="154"/>
      <c r="Q57" s="154"/>
      <c r="R57" s="154"/>
      <c r="S57" s="154"/>
      <c r="T57" s="154"/>
      <c r="U57" s="154"/>
      <c r="V57" s="154"/>
      <c r="W57" s="154"/>
    </row>
    <row r="58" spans="1:23" ht="34.200000000000003" x14ac:dyDescent="0.3">
      <c r="A58" s="153" t="s">
        <v>97</v>
      </c>
      <c r="B58" s="151">
        <v>325</v>
      </c>
      <c r="C58" s="151">
        <f>VLOOKUP($A58,'спортивные сооружния'!A64:G176,7,FALSE)</f>
        <v>45</v>
      </c>
      <c r="D58" s="162">
        <f>VLOOKUP($A58,библиотеки!A60:N172,14,FALSE)/'Экономические факторы'!G58*1000</f>
        <v>298.8609183697634</v>
      </c>
      <c r="E58" s="151">
        <f>VLOOKUP($A58,Газеты!$A$3:$G$111,7,FALSE)</f>
        <v>375</v>
      </c>
      <c r="F58" s="162">
        <f>'Культурные факторы'!F58/Данные!K58*1000</f>
        <v>1683.2168991403607</v>
      </c>
      <c r="G58" s="163">
        <f>'Экономические факторы'!B58/'Экономические факторы'!G58*100</f>
        <v>49.617543277997491</v>
      </c>
      <c r="H58" s="147">
        <v>53413</v>
      </c>
      <c r="I58" s="164">
        <v>821512.3025552372</v>
      </c>
      <c r="J58" s="147">
        <f>'Экономические факторы'!F58/'Экономические факторы'!G58*1000</f>
        <v>170.60174769697116</v>
      </c>
      <c r="K58" s="147">
        <v>21.744078269824922</v>
      </c>
      <c r="M58" s="154"/>
      <c r="N58" s="154"/>
      <c r="O58" s="154"/>
      <c r="P58" s="154"/>
      <c r="Q58" s="154"/>
      <c r="R58" s="154"/>
      <c r="S58" s="154"/>
      <c r="T58" s="154"/>
      <c r="U58" s="154"/>
      <c r="V58" s="154"/>
      <c r="W58" s="154"/>
    </row>
    <row r="59" spans="1:23" ht="22.8" x14ac:dyDescent="0.3">
      <c r="A59" s="153" t="s">
        <v>98</v>
      </c>
      <c r="B59" s="151">
        <v>200</v>
      </c>
      <c r="C59" s="151">
        <f>VLOOKUP($A59,'спортивные сооружния'!A65:G177,7,FALSE)</f>
        <v>22</v>
      </c>
      <c r="D59" s="162">
        <f>VLOOKUP($A59,библиотеки!A61:N173,14,FALSE)/'Экономические факторы'!G59*1000</f>
        <v>369.84681813508791</v>
      </c>
      <c r="E59" s="151">
        <f>VLOOKUP($A59,Газеты!$A$3:$G$111,7,FALSE)</f>
        <v>204</v>
      </c>
      <c r="F59" s="162">
        <f>'Культурные факторы'!F59/Данные!K59*1000</f>
        <v>67813.519070628143</v>
      </c>
      <c r="G59" s="163">
        <f>'Экономические факторы'!B59/'Экономические факторы'!G59*100</f>
        <v>58.049758404441242</v>
      </c>
      <c r="H59" s="147">
        <v>69341</v>
      </c>
      <c r="I59" s="164">
        <v>3588979.1302559883</v>
      </c>
      <c r="J59" s="147">
        <f>'Экономические факторы'!F59/'Экономические факторы'!G59*1000</f>
        <v>862.70175799321464</v>
      </c>
      <c r="K59" s="147">
        <v>2.6572872558393663</v>
      </c>
      <c r="M59" s="154"/>
      <c r="N59" s="154"/>
      <c r="O59" s="154"/>
      <c r="P59" s="154"/>
      <c r="Q59" s="154"/>
      <c r="R59" s="154"/>
      <c r="S59" s="154"/>
      <c r="T59" s="154"/>
      <c r="U59" s="154"/>
      <c r="V59" s="154"/>
      <c r="W59" s="154"/>
    </row>
    <row r="60" spans="1:23" ht="57" x14ac:dyDescent="0.3">
      <c r="A60" s="153" t="s">
        <v>1069</v>
      </c>
      <c r="B60" s="151">
        <v>162</v>
      </c>
      <c r="C60" s="151">
        <f>VLOOKUP($A60,'спортивные сооружния'!A66:G178,7,FALSE)</f>
        <v>4</v>
      </c>
      <c r="D60" s="162">
        <f>VLOOKUP($A60,библиотеки!A62:N174,14,FALSE)/'Экономические факторы'!G60*1000</f>
        <v>259.17926565874728</v>
      </c>
      <c r="E60" s="151">
        <f>VLOOKUP($A60,Газеты!$A$3:$G$111,7,FALSE)</f>
        <v>222</v>
      </c>
      <c r="F60" s="162">
        <f>'Культурные факторы'!F60/Данные!K60*1000</f>
        <v>14894.39581675571</v>
      </c>
      <c r="G60" s="163">
        <f>'Экономические факторы'!B60/'Экономические факторы'!G60*100</f>
        <v>62.629305445038085</v>
      </c>
      <c r="H60" s="147">
        <v>72634</v>
      </c>
      <c r="I60" s="164">
        <v>3918949.6419233829</v>
      </c>
      <c r="J60" s="147">
        <f>'Экономические факторы'!F60/'Экономические факторы'!G60*1000</f>
        <v>882.57360463794464</v>
      </c>
      <c r="K60" s="147">
        <v>3.289827973074047</v>
      </c>
      <c r="M60" s="154"/>
      <c r="N60" s="154"/>
      <c r="O60" s="154"/>
      <c r="P60" s="154"/>
      <c r="Q60" s="154"/>
      <c r="R60" s="154"/>
      <c r="S60" s="154"/>
      <c r="T60" s="154"/>
      <c r="U60" s="154"/>
      <c r="V60" s="154"/>
      <c r="W60" s="154"/>
    </row>
    <row r="61" spans="1:23" ht="45.6" x14ac:dyDescent="0.3">
      <c r="A61" s="150" t="s">
        <v>922</v>
      </c>
      <c r="B61" s="151">
        <v>304</v>
      </c>
      <c r="C61" s="151">
        <f>VLOOKUP($A61,'спортивные сооружния'!A68:G180,7,FALSE)</f>
        <v>18</v>
      </c>
      <c r="D61" s="162">
        <f>VLOOKUP($A61,библиотеки!A63:N175,14,FALSE)/'Экономические факторы'!G61*1000</f>
        <v>506.37612975114519</v>
      </c>
      <c r="E61" s="151">
        <f>VLOOKUP($A61,Газеты!$A$3:$G$111,7,FALSE)</f>
        <v>193</v>
      </c>
      <c r="F61" s="162">
        <f>'Культурные факторы'!F61/Данные!K61*1000</f>
        <v>10000.055713755106</v>
      </c>
      <c r="G61" s="163">
        <f>'Экономические факторы'!B61/'Экономические факторы'!G61*100</f>
        <v>46.26717840782468</v>
      </c>
      <c r="H61" s="147">
        <v>43350</v>
      </c>
      <c r="I61" s="164">
        <v>1064751.7642689117</v>
      </c>
      <c r="J61" s="147">
        <f>'Экономические факторы'!F61/'Экономические факторы'!G61*1000</f>
        <v>203.97424786430605</v>
      </c>
      <c r="K61" s="147">
        <v>10.089943785134292</v>
      </c>
      <c r="M61" s="154"/>
      <c r="N61" s="154"/>
      <c r="O61" s="154"/>
      <c r="P61" s="154"/>
      <c r="Q61" s="154"/>
      <c r="R61" s="154"/>
      <c r="S61" s="154"/>
      <c r="T61" s="154"/>
      <c r="U61" s="154"/>
      <c r="V61" s="154"/>
      <c r="W61" s="154"/>
    </row>
    <row r="62" spans="1:23" ht="22.8" x14ac:dyDescent="0.3">
      <c r="A62" s="152" t="s">
        <v>103</v>
      </c>
      <c r="B62" s="151">
        <v>225</v>
      </c>
      <c r="C62" s="151">
        <f>VLOOKUP($A62,'спортивные сооружния'!A69:G181,7,FALSE)</f>
        <v>37</v>
      </c>
      <c r="D62" s="162">
        <f>VLOOKUP($A62,библиотеки!A64:N176,14,FALSE)/'Экономические факторы'!G62*1000</f>
        <v>325.69644855409626</v>
      </c>
      <c r="E62" s="151">
        <f>VLOOKUP($A62,Газеты!$A$3:$G$111,7,FALSE)</f>
        <v>450</v>
      </c>
      <c r="F62" s="162">
        <f>'Культурные факторы'!F62/Данные!K62*1000</f>
        <v>3655.3566169974665</v>
      </c>
      <c r="G62" s="163">
        <f>'Экономические факторы'!B62/'Экономические факторы'!G62*100</f>
        <v>52.603215737086984</v>
      </c>
      <c r="H62" s="147">
        <v>39703</v>
      </c>
      <c r="I62" s="164">
        <v>677307.26191177336</v>
      </c>
      <c r="J62" s="147">
        <f>'Экономические факторы'!F62/'Экономические факторы'!G62*1000</f>
        <v>131.36816066906178</v>
      </c>
      <c r="K62" s="147">
        <v>38.327313769751697</v>
      </c>
      <c r="M62" s="154"/>
      <c r="N62" s="154"/>
      <c r="O62" s="154"/>
      <c r="P62" s="154"/>
      <c r="Q62" s="154"/>
      <c r="R62" s="154"/>
      <c r="S62" s="154"/>
      <c r="T62" s="154"/>
      <c r="U62" s="154"/>
      <c r="V62" s="154"/>
      <c r="W62" s="154"/>
    </row>
    <row r="63" spans="1:23" ht="22.8" x14ac:dyDescent="0.3">
      <c r="A63" s="150" t="s">
        <v>105</v>
      </c>
      <c r="B63" s="151">
        <v>135</v>
      </c>
      <c r="C63" s="151">
        <f>VLOOKUP($A63,'спортивные сооружния'!A71:G183,7,FALSE)</f>
        <v>8</v>
      </c>
      <c r="D63" s="162">
        <f>VLOOKUP($A63,библиотеки!A65:N177,14,FALSE)/'Экономические факторы'!G63*1000</f>
        <v>569.25996204933585</v>
      </c>
      <c r="E63" s="151">
        <f>VLOOKUP($A63,Газеты!$A$3:$G$111,7,FALSE)</f>
        <v>318</v>
      </c>
      <c r="F63" s="162">
        <f>'Культурные факторы'!F63/Данные!K63*1000</f>
        <v>4407.0208728652742</v>
      </c>
      <c r="G63" s="163">
        <f>'Экономические факторы'!B63/'Экономические факторы'!G63*100</f>
        <v>38.187855787476281</v>
      </c>
      <c r="H63" s="147">
        <v>34817</v>
      </c>
      <c r="I63" s="164">
        <v>436432.63757115742</v>
      </c>
      <c r="J63" s="147">
        <f>'Экономические факторы'!F63/'Экономические факторы'!G63*1000</f>
        <v>231.02466793168881</v>
      </c>
      <c r="K63" s="147">
        <v>2.2691065662002154</v>
      </c>
      <c r="M63" s="154"/>
      <c r="N63" s="154"/>
      <c r="O63" s="154"/>
      <c r="P63" s="154"/>
      <c r="Q63" s="154"/>
      <c r="R63" s="154"/>
      <c r="S63" s="154"/>
      <c r="T63" s="154"/>
      <c r="U63" s="154"/>
      <c r="V63" s="154"/>
      <c r="W63" s="154"/>
    </row>
    <row r="64" spans="1:23" ht="22.8" x14ac:dyDescent="0.3">
      <c r="A64" s="150" t="s">
        <v>106</v>
      </c>
      <c r="B64" s="151">
        <v>420</v>
      </c>
      <c r="C64" s="151">
        <f>VLOOKUP($A64,'спортивные сооружния'!A72:G184,7,FALSE)</f>
        <v>10</v>
      </c>
      <c r="D64" s="162">
        <f>VLOOKUP($A64,библиотеки!A66:N178,14,FALSE)/'Экономические факторы'!G64*1000</f>
        <v>411.85185185185185</v>
      </c>
      <c r="E64" s="151">
        <f>VLOOKUP($A64,Газеты!$A$3:$G$111,7,FALSE)</f>
        <v>73</v>
      </c>
      <c r="F64" s="162">
        <f>'Культурные факторы'!F64/Данные!K64*1000</f>
        <v>8342.5777777777766</v>
      </c>
      <c r="G64" s="163">
        <f>'Экономические факторы'!B64/'Экономические факторы'!G64*100</f>
        <v>33.274074074074072</v>
      </c>
      <c r="H64" s="147">
        <v>28934</v>
      </c>
      <c r="I64" s="164">
        <v>320000</v>
      </c>
      <c r="J64" s="147">
        <f>'Экономические факторы'!F64/'Экономические факторы'!G64*1000</f>
        <v>75.259259259259267</v>
      </c>
      <c r="K64" s="147">
        <v>2.0017793594306053</v>
      </c>
      <c r="M64" s="154"/>
      <c r="N64" s="154"/>
      <c r="O64" s="154"/>
      <c r="P64" s="154"/>
      <c r="Q64" s="154"/>
      <c r="R64" s="154"/>
      <c r="S64" s="154"/>
      <c r="T64" s="154"/>
      <c r="U64" s="154"/>
      <c r="V64" s="154"/>
      <c r="W64" s="154"/>
    </row>
    <row r="65" spans="1:23" ht="22.8" x14ac:dyDescent="0.3">
      <c r="A65" s="150" t="s">
        <v>107</v>
      </c>
      <c r="B65" s="151">
        <v>258</v>
      </c>
      <c r="C65" s="151">
        <f>VLOOKUP($A65,'спортивные сооружния'!A73:G185,7,FALSE)</f>
        <v>21</v>
      </c>
      <c r="D65" s="162">
        <f>VLOOKUP($A65,библиотеки!A67:N179,14,FALSE)/'Экономические факторы'!G65*1000</f>
        <v>350.24611889435818</v>
      </c>
      <c r="E65" s="151">
        <f>VLOOKUP($A65,Газеты!$A$3:$G$111,7,FALSE)</f>
        <v>788</v>
      </c>
      <c r="F65" s="162">
        <f>'Культурные факторы'!F65/Данные!K65*1000</f>
        <v>2554.0325634229457</v>
      </c>
      <c r="G65" s="163">
        <f>'Экономические факторы'!B65/'Экономические факторы'!G65*100</f>
        <v>46.98977659977281</v>
      </c>
      <c r="H65" s="147">
        <v>34999</v>
      </c>
      <c r="I65" s="164">
        <v>660734.570238546</v>
      </c>
      <c r="J65" s="147">
        <f>'Экономические факторы'!F65/'Экономические факторы'!G65*1000</f>
        <v>113.40401363120029</v>
      </c>
      <c r="K65" s="147">
        <v>8.5746753246753258</v>
      </c>
      <c r="M65" s="154"/>
      <c r="N65" s="154"/>
      <c r="O65" s="154"/>
      <c r="P65" s="154"/>
      <c r="Q65" s="154"/>
      <c r="R65" s="154"/>
      <c r="S65" s="154"/>
      <c r="T65" s="154"/>
      <c r="U65" s="154"/>
      <c r="V65" s="154"/>
      <c r="W65" s="154"/>
    </row>
    <row r="66" spans="1:23" ht="22.8" x14ac:dyDescent="0.3">
      <c r="A66" s="150" t="s">
        <v>108</v>
      </c>
      <c r="B66" s="151">
        <v>234</v>
      </c>
      <c r="C66" s="151">
        <f>VLOOKUP($A66,'спортивные сооружния'!A74:G186,7,FALSE)</f>
        <v>49</v>
      </c>
      <c r="D66" s="162">
        <f>VLOOKUP($A66,библиотеки!A68:N180,14,FALSE)/'Экономические факторы'!G66*1000</f>
        <v>439.65394979435536</v>
      </c>
      <c r="E66" s="151">
        <f>VLOOKUP($A66,Газеты!$A$3:$G$111,7,FALSE)</f>
        <v>294</v>
      </c>
      <c r="F66" s="162">
        <f>'Культурные факторы'!F66/Данные!K66*1000</f>
        <v>7767.4088781733071</v>
      </c>
      <c r="G66" s="163">
        <f>'Экономические факторы'!B66/'Экономические факторы'!G66*100</f>
        <v>50.007091192738621</v>
      </c>
      <c r="H66" s="147">
        <v>36431</v>
      </c>
      <c r="I66" s="164">
        <v>446745.14253297402</v>
      </c>
      <c r="J66" s="147">
        <f>'Экономические факторы'!F66/'Экономические факторы'!G66*1000</f>
        <v>85.047038245166164</v>
      </c>
      <c r="K66" s="147">
        <v>12.59107142857143</v>
      </c>
      <c r="M66" s="154"/>
      <c r="N66" s="154"/>
      <c r="O66" s="154"/>
      <c r="P66" s="154"/>
      <c r="Q66" s="154"/>
      <c r="R66" s="154"/>
      <c r="S66" s="154"/>
      <c r="T66" s="154"/>
      <c r="U66" s="154"/>
      <c r="V66" s="154"/>
      <c r="W66" s="154"/>
    </row>
    <row r="67" spans="1:23" ht="22.8" x14ac:dyDescent="0.3">
      <c r="A67" s="150" t="s">
        <v>109</v>
      </c>
      <c r="B67" s="151">
        <v>385</v>
      </c>
      <c r="C67" s="151">
        <f>VLOOKUP($A67,'спортивные сооружния'!A75:G187,7,FALSE)</f>
        <v>16</v>
      </c>
      <c r="D67" s="162">
        <f>VLOOKUP($A67,библиотеки!A69:N181,14,FALSE)/'Экономические факторы'!G67*1000</f>
        <v>466.95478022557188</v>
      </c>
      <c r="E67" s="151">
        <f>VLOOKUP($A67,Газеты!$A$3:$G$111,7,FALSE)</f>
        <v>314</v>
      </c>
      <c r="F67" s="162">
        <f>'Культурные факторы'!F67/Данные!K67*1000</f>
        <v>89313.207547169834</v>
      </c>
      <c r="G67" s="163">
        <f>'Экономические факторы'!B67/'Экономические факторы'!G67*100</f>
        <v>49.520396331822496</v>
      </c>
      <c r="H67" s="147">
        <v>50380</v>
      </c>
      <c r="I67" s="164">
        <v>1166157.1975686026</v>
      </c>
      <c r="J67" s="147">
        <f>'Экономические факторы'!F67/'Экономические факторы'!G67*1000</f>
        <v>325.49804996310746</v>
      </c>
      <c r="K67" s="147">
        <v>1.2025097177623794</v>
      </c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4"/>
    </row>
    <row r="68" spans="1:23" ht="22.8" x14ac:dyDescent="0.3">
      <c r="A68" s="150" t="s">
        <v>110</v>
      </c>
      <c r="B68" s="151">
        <v>251</v>
      </c>
      <c r="C68" s="151">
        <f>VLOOKUP($A68,'спортивные сооружния'!A76:G188,7,FALSE)</f>
        <v>24</v>
      </c>
      <c r="D68" s="162">
        <f>VLOOKUP($A68,библиотеки!A70:N182,14,FALSE)/'Экономические факторы'!G68*1000</f>
        <v>311.95022527354644</v>
      </c>
      <c r="E68" s="151">
        <f>VLOOKUP($A68,Газеты!$A$3:$G$111,7,FALSE)</f>
        <v>354</v>
      </c>
      <c r="F68" s="162">
        <f>'Культурные факторы'!F68/Данные!K68*1000</f>
        <v>26563.621540441964</v>
      </c>
      <c r="G68" s="163">
        <f>'Экономические факторы'!B68/'Экономические факторы'!G68*100</f>
        <v>46.929843381248659</v>
      </c>
      <c r="H68" s="147">
        <v>42483</v>
      </c>
      <c r="I68" s="164">
        <v>1011370.9504398198</v>
      </c>
      <c r="J68" s="147">
        <f>'Экономические факторы'!F68/'Экономические факторы'!G68*1000</f>
        <v>390.55996567260246</v>
      </c>
      <c r="K68" s="147">
        <v>3.0078729994837379</v>
      </c>
      <c r="M68" s="154"/>
      <c r="N68" s="154"/>
      <c r="O68" s="154"/>
      <c r="P68" s="154"/>
      <c r="Q68" s="154"/>
      <c r="R68" s="154"/>
      <c r="S68" s="154"/>
      <c r="T68" s="154"/>
      <c r="U68" s="154"/>
      <c r="V68" s="154"/>
      <c r="W68" s="154"/>
    </row>
    <row r="69" spans="1:23" ht="22.8" x14ac:dyDescent="0.3">
      <c r="A69" s="150" t="s">
        <v>111</v>
      </c>
      <c r="B69" s="151">
        <v>178</v>
      </c>
      <c r="C69" s="151">
        <f>VLOOKUP($A69,'спортивные сооружния'!A77:G189,7,FALSE)</f>
        <v>26</v>
      </c>
      <c r="D69" s="162">
        <f>VLOOKUP($A69,библиотеки!A71:N183,14,FALSE)/'Экономические факторы'!G69*1000</f>
        <v>388.58578325548535</v>
      </c>
      <c r="E69" s="151">
        <f>VLOOKUP($A69,Газеты!$A$3:$G$111,7,FALSE)</f>
        <v>122</v>
      </c>
      <c r="F69" s="162">
        <f>'Культурные факторы'!F69/Данные!K69*1000</f>
        <v>3902.8260784236768</v>
      </c>
      <c r="G69" s="163">
        <f>'Экономические факторы'!B69/'Экономические факторы'!G69*100</f>
        <v>45.064175530870983</v>
      </c>
      <c r="H69" s="147">
        <v>39408</v>
      </c>
      <c r="I69" s="164">
        <v>859206.34297601762</v>
      </c>
      <c r="J69" s="147">
        <f>'Экономические факторы'!F69/'Экономические факторы'!G69*1000</f>
        <v>162.77426698590887</v>
      </c>
      <c r="K69" s="147">
        <v>26.621734587251826</v>
      </c>
      <c r="M69" s="154"/>
      <c r="N69" s="154"/>
      <c r="O69" s="154"/>
      <c r="P69" s="154"/>
      <c r="Q69" s="154"/>
      <c r="R69" s="154"/>
      <c r="S69" s="154"/>
      <c r="T69" s="154"/>
      <c r="U69" s="154"/>
      <c r="V69" s="154"/>
      <c r="W69" s="154"/>
    </row>
    <row r="70" spans="1:23" ht="22.8" x14ac:dyDescent="0.3">
      <c r="A70" s="150" t="s">
        <v>112</v>
      </c>
      <c r="B70" s="151">
        <v>394</v>
      </c>
      <c r="C70" s="151">
        <f>VLOOKUP($A70,'спортивные сооружния'!A78:G190,7,FALSE)</f>
        <v>24</v>
      </c>
      <c r="D70" s="162">
        <f>VLOOKUP($A70,библиотеки!A72:N184,14,FALSE)/'Экономические факторы'!G70*1000</f>
        <v>311.88385015235701</v>
      </c>
      <c r="E70" s="151">
        <f>VLOOKUP($A70,Газеты!$A$3:$G$111,7,FALSE)</f>
        <v>363</v>
      </c>
      <c r="F70" s="162">
        <f>'Культурные факторы'!F70/Данные!K70*1000</f>
        <v>6826.4491844416561</v>
      </c>
      <c r="G70" s="163">
        <f>'Экономические факторы'!B70/'Экономические факторы'!G70*100</f>
        <v>47.137479835095895</v>
      </c>
      <c r="H70" s="147">
        <v>49936</v>
      </c>
      <c r="I70" s="164">
        <v>695106.64993726485</v>
      </c>
      <c r="J70" s="147">
        <f>'Экономические факторы'!F70/'Экономические факторы'!G70*1000</f>
        <v>136.5836171356874</v>
      </c>
      <c r="K70" s="147">
        <v>15.688976377952756</v>
      </c>
      <c r="M70" s="154"/>
      <c r="N70" s="154"/>
      <c r="O70" s="154"/>
      <c r="P70" s="154"/>
      <c r="Q70" s="154"/>
      <c r="R70" s="154"/>
      <c r="S70" s="154"/>
      <c r="T70" s="154"/>
      <c r="U70" s="154"/>
      <c r="V70" s="154"/>
      <c r="W70" s="154"/>
    </row>
    <row r="71" spans="1:23" ht="22.8" x14ac:dyDescent="0.3">
      <c r="A71" s="150" t="s">
        <v>113</v>
      </c>
      <c r="B71" s="151">
        <v>342</v>
      </c>
      <c r="C71" s="151">
        <f>VLOOKUP($A71,'спортивные сооружния'!A79:G191,7,FALSE)</f>
        <v>39</v>
      </c>
      <c r="D71" s="162">
        <f>VLOOKUP($A71,библиотеки!A73:N185,14,FALSE)/'Экономические факторы'!G71*1000</f>
        <v>441.11985039326771</v>
      </c>
      <c r="E71" s="151">
        <f>VLOOKUP($A71,Газеты!$A$3:$G$111,7,FALSE)</f>
        <v>266</v>
      </c>
      <c r="F71" s="162">
        <f>'Культурные факторы'!F71/Данные!K71*1000</f>
        <v>5215.2906880809633</v>
      </c>
      <c r="G71" s="163">
        <f>'Экономические факторы'!B71/'Экономические факторы'!G71*100</f>
        <v>45.971068698091415</v>
      </c>
      <c r="H71" s="147">
        <v>40804</v>
      </c>
      <c r="I71" s="164">
        <v>520873.43930476869</v>
      </c>
      <c r="J71" s="147">
        <f>'Экономические факторы'!F71/'Экономические факторы'!G71*1000</f>
        <v>114.40514823167044</v>
      </c>
      <c r="K71" s="147">
        <v>12.885187810063785</v>
      </c>
      <c r="M71" s="154"/>
      <c r="N71" s="154"/>
      <c r="O71" s="154"/>
      <c r="P71" s="154"/>
      <c r="Q71" s="154"/>
      <c r="R71" s="154"/>
      <c r="S71" s="154"/>
      <c r="T71" s="154"/>
      <c r="U71" s="154"/>
      <c r="V71" s="154"/>
      <c r="W71" s="154"/>
    </row>
    <row r="72" spans="1:23" ht="22.8" x14ac:dyDescent="0.3">
      <c r="A72" s="150" t="s">
        <v>114</v>
      </c>
      <c r="B72" s="151">
        <v>278</v>
      </c>
      <c r="C72" s="151">
        <f>VLOOKUP($A72,'спортивные сооружния'!A80:G192,7,FALSE)</f>
        <v>14</v>
      </c>
      <c r="D72" s="162">
        <f>VLOOKUP($A72,библиотеки!A74:N186,14,FALSE)/'Экономические факторы'!G72*1000</f>
        <v>415.94786275637335</v>
      </c>
      <c r="E72" s="151">
        <f>VLOOKUP($A72,Газеты!$A$3:$G$111,7,FALSE)</f>
        <v>416</v>
      </c>
      <c r="F72" s="162">
        <f>'Культурные факторы'!F72/Данные!K72*1000</f>
        <v>12896.607245543413</v>
      </c>
      <c r="G72" s="163">
        <f>'Экономические факторы'!B72/'Экономические факторы'!G72*100</f>
        <v>47.393137818669729</v>
      </c>
      <c r="H72" s="147">
        <v>41600</v>
      </c>
      <c r="I72" s="164">
        <v>775349.81790300924</v>
      </c>
      <c r="J72" s="147">
        <f>'Экономические факторы'!F72/'Экономические факторы'!G72*1000</f>
        <v>142.32317423806785</v>
      </c>
      <c r="K72" s="147">
        <v>3.3187022900763363</v>
      </c>
      <c r="M72" s="154"/>
      <c r="N72" s="154"/>
      <c r="O72" s="154"/>
      <c r="P72" s="154"/>
      <c r="Q72" s="154"/>
      <c r="R72" s="154"/>
      <c r="S72" s="154"/>
      <c r="T72" s="154"/>
      <c r="U72" s="154"/>
      <c r="V72" s="154"/>
      <c r="W72" s="154"/>
    </row>
    <row r="73" spans="1:23" ht="22.8" x14ac:dyDescent="0.3">
      <c r="A73" s="152" t="s">
        <v>116</v>
      </c>
      <c r="B73" s="151">
        <v>263</v>
      </c>
      <c r="C73" s="151">
        <f>VLOOKUP($A73,'спортивные сооружния'!A82:G194,7,FALSE)</f>
        <v>19</v>
      </c>
      <c r="D73" s="162">
        <f>VLOOKUP($A73,библиотеки!A75:N187,14,FALSE)/'Экономические факторы'!G73*1000</f>
        <v>496.96470830332339</v>
      </c>
      <c r="E73" s="151">
        <f>VLOOKUP($A73,Газеты!$A$3:$G$111,7,FALSE)</f>
        <v>342</v>
      </c>
      <c r="F73" s="162">
        <f>'Культурные факторы'!F73/Данные!K73*1000</f>
        <v>11494.330692458072</v>
      </c>
      <c r="G73" s="163">
        <f>'Экономические факторы'!B73/'Экономические факторы'!G73*100</f>
        <v>38.76942072229653</v>
      </c>
      <c r="H73" s="147">
        <v>38412</v>
      </c>
      <c r="I73" s="164">
        <v>459923.86047947319</v>
      </c>
      <c r="J73" s="147">
        <f>'Экономические факторы'!F73/'Экономические факторы'!G73*1000</f>
        <v>170.07922625784548</v>
      </c>
      <c r="K73" s="147">
        <v>2.7665812695701679</v>
      </c>
      <c r="M73" s="154"/>
      <c r="N73" s="154"/>
      <c r="O73" s="154"/>
      <c r="P73" s="154"/>
      <c r="Q73" s="154"/>
      <c r="R73" s="154"/>
      <c r="S73" s="154"/>
      <c r="T73" s="154"/>
      <c r="U73" s="154"/>
      <c r="V73" s="154"/>
      <c r="W73" s="154"/>
    </row>
    <row r="74" spans="1:23" ht="34.200000000000003" x14ac:dyDescent="0.3">
      <c r="A74" s="150" t="s">
        <v>117</v>
      </c>
      <c r="B74" s="151">
        <v>242</v>
      </c>
      <c r="C74" s="151">
        <f>VLOOKUP($A74,'спортивные сооружния'!A83:G195,7,FALSE)</f>
        <v>24</v>
      </c>
      <c r="D74" s="162">
        <f>VLOOKUP($A74,библиотеки!A76:N188,14,FALSE)/'Экономические факторы'!G74*1000</f>
        <v>442.24817809723464</v>
      </c>
      <c r="E74" s="151">
        <f>VLOOKUP($A74,Газеты!$A$3:$G$111,7,FALSE)</f>
        <v>135</v>
      </c>
      <c r="F74" s="162">
        <f>'Культурные факторы'!F74/Данные!K74*1000</f>
        <v>106200.20964360588</v>
      </c>
      <c r="G74" s="163">
        <f>'Экономические факторы'!B74/'Экономические факторы'!G74*100</f>
        <v>52.580612957971454</v>
      </c>
      <c r="H74" s="147">
        <v>69031</v>
      </c>
      <c r="I74" s="164">
        <v>2021563.3423180594</v>
      </c>
      <c r="J74" s="147">
        <f>'Экономические факторы'!F74/'Экономические факторы'!G74*1000</f>
        <v>738.24498352800242</v>
      </c>
      <c r="K74" s="147">
        <v>0.32485811577752555</v>
      </c>
      <c r="M74" s="154"/>
      <c r="N74" s="154"/>
      <c r="O74" s="154"/>
      <c r="P74" s="154"/>
      <c r="Q74" s="154"/>
      <c r="R74" s="154"/>
      <c r="S74" s="154"/>
      <c r="T74" s="154"/>
      <c r="U74" s="154"/>
      <c r="V74" s="154"/>
      <c r="W74" s="154"/>
    </row>
    <row r="75" spans="1:23" ht="22.8" x14ac:dyDescent="0.3">
      <c r="A75" s="150" t="s">
        <v>118</v>
      </c>
      <c r="B75" s="151">
        <v>276</v>
      </c>
      <c r="C75" s="151">
        <f>VLOOKUP($A75,'спортивные сооружния'!A83:G196,7,FALSE)</f>
        <v>12</v>
      </c>
      <c r="D75" s="162">
        <f>VLOOKUP($A75,библиотеки!A77:N189,14,FALSE)/'Экономические факторы'!G75*1000</f>
        <v>473.38480292563997</v>
      </c>
      <c r="E75" s="151">
        <f>VLOOKUP($A75,Газеты!$A$3:$G$111,7,FALSE)</f>
        <v>163</v>
      </c>
      <c r="F75" s="162">
        <f>'Культурные факторы'!F75/Данные!K75*1000</f>
        <v>16321.292157659489</v>
      </c>
      <c r="G75" s="163">
        <f>'Экономические факторы'!B75/'Экономические факторы'!G75*100</f>
        <v>43.417310036570498</v>
      </c>
      <c r="H75" s="147">
        <v>42758</v>
      </c>
      <c r="I75" s="164">
        <v>555668.42746850871</v>
      </c>
      <c r="J75" s="147">
        <f>'Экономические факторы'!F75/'Экономические факторы'!G75*1000</f>
        <v>274.58350264120281</v>
      </c>
      <c r="K75" s="147">
        <v>2.2792313035424869</v>
      </c>
      <c r="M75" s="154"/>
      <c r="N75" s="154"/>
      <c r="O75" s="154"/>
      <c r="P75" s="154"/>
      <c r="Q75" s="154"/>
      <c r="R75" s="154"/>
      <c r="S75" s="154"/>
      <c r="T75" s="154"/>
      <c r="U75" s="154"/>
      <c r="V75" s="154"/>
      <c r="W75" s="154"/>
    </row>
    <row r="76" spans="1:23" ht="22.8" x14ac:dyDescent="0.3">
      <c r="A76" s="150" t="s">
        <v>119</v>
      </c>
      <c r="B76" s="151">
        <v>271</v>
      </c>
      <c r="C76" s="151">
        <f>VLOOKUP($A76,'спортивные сооружния'!A84:G197,7,FALSE)</f>
        <v>1</v>
      </c>
      <c r="D76" s="162">
        <f>VLOOKUP($A76,библиотеки!A78:N190,14,FALSE)/'Экономические факторы'!G76*1000</f>
        <v>526.13361024575977</v>
      </c>
      <c r="E76" s="151">
        <f>VLOOKUP($A76,Газеты!$A$3:$G$111,7,FALSE)</f>
        <v>487</v>
      </c>
      <c r="F76" s="162">
        <f>'Культурные факторы'!F76/Данные!K76*1000</f>
        <v>20731.983385254418</v>
      </c>
      <c r="G76" s="163">
        <f>'Экономические факторы'!B76/'Экономические факторы'!G76*100</f>
        <v>55.867082035306339</v>
      </c>
      <c r="H76" s="147">
        <v>87054</v>
      </c>
      <c r="I76" s="164">
        <v>1235721.7030114227</v>
      </c>
      <c r="J76" s="147">
        <f>'Экономические факторы'!F76/'Экономические факторы'!G76*1000</f>
        <v>443.7521633783316</v>
      </c>
      <c r="K76" s="147">
        <v>0.62222700839974143</v>
      </c>
      <c r="M76" s="154"/>
      <c r="N76" s="154"/>
      <c r="O76" s="154"/>
      <c r="P76" s="154"/>
      <c r="Q76" s="154"/>
      <c r="R76" s="154"/>
      <c r="S76" s="154"/>
      <c r="T76" s="154"/>
      <c r="U76" s="154"/>
      <c r="V76" s="154"/>
      <c r="W76" s="154"/>
    </row>
    <row r="77" spans="1:23" ht="22.8" x14ac:dyDescent="0.3">
      <c r="A77" s="150" t="s">
        <v>120</v>
      </c>
      <c r="B77" s="151">
        <v>318</v>
      </c>
      <c r="C77" s="151">
        <f>VLOOKUP($A77,'спортивные сооружния'!A85:G198,7,FALSE)</f>
        <v>24</v>
      </c>
      <c r="D77" s="162">
        <f>VLOOKUP($A77,библиотеки!A79:N191,14,FALSE)/'Экономические факторы'!G77*1000</f>
        <v>293.95482728077945</v>
      </c>
      <c r="E77" s="151">
        <f>VLOOKUP($A77,Газеты!$A$3:$G$111,7,FALSE)</f>
        <v>150</v>
      </c>
      <c r="F77" s="162">
        <f>'Культурные факторы'!F77/Данные!K77*1000</f>
        <v>8406.4105403011508</v>
      </c>
      <c r="G77" s="163">
        <f>'Экономические факторы'!B77/'Экономические факторы'!G77*100</f>
        <v>51.826837909654564</v>
      </c>
      <c r="H77" s="147">
        <v>54494</v>
      </c>
      <c r="I77" s="164">
        <v>851970.77059344552</v>
      </c>
      <c r="J77" s="147">
        <f>'Экономические факторы'!F77/'Экономические факторы'!G77*1000</f>
        <v>221.76705048715678</v>
      </c>
      <c r="K77" s="147">
        <v>10.96782027929569</v>
      </c>
      <c r="M77" s="154"/>
      <c r="N77" s="154"/>
      <c r="O77" s="154"/>
      <c r="P77" s="154"/>
      <c r="Q77" s="154"/>
      <c r="R77" s="154"/>
      <c r="S77" s="154"/>
      <c r="T77" s="154"/>
      <c r="U77" s="154"/>
      <c r="V77" s="154"/>
      <c r="W77" s="154"/>
    </row>
    <row r="78" spans="1:23" ht="22.8" x14ac:dyDescent="0.3">
      <c r="A78" s="150" t="s">
        <v>121</v>
      </c>
      <c r="B78" s="151">
        <v>246</v>
      </c>
      <c r="C78" s="151">
        <f>VLOOKUP($A78,'спортивные сооружния'!A85:G199,7,FALSE)</f>
        <v>16</v>
      </c>
      <c r="D78" s="162">
        <f>VLOOKUP($A78,библиотеки!A80:N192,14,FALSE)/'Экономические факторы'!G78*1000</f>
        <v>263.67263907362491</v>
      </c>
      <c r="E78" s="151">
        <f>VLOOKUP($A78,Газеты!$A$3:$G$111,7,FALSE)</f>
        <v>193</v>
      </c>
      <c r="F78" s="162">
        <f>'Культурные факторы'!F78/Данные!K78*1000</f>
        <v>24833.956654408892</v>
      </c>
      <c r="G78" s="163">
        <f>'Экономические факторы'!B78/'Экономические факторы'!G78*100</f>
        <v>53.18050230811361</v>
      </c>
      <c r="H78" s="147">
        <v>58092</v>
      </c>
      <c r="I78" s="164">
        <v>835615.36655973713</v>
      </c>
      <c r="J78" s="147">
        <f>'Экономические факторы'!F78/'Экономические факторы'!G78*1000</f>
        <v>327.59564979266099</v>
      </c>
      <c r="K78" s="147">
        <v>1.6227780599288977</v>
      </c>
      <c r="M78" s="154"/>
      <c r="N78" s="154"/>
      <c r="O78" s="154"/>
      <c r="P78" s="154"/>
      <c r="Q78" s="154"/>
      <c r="R78" s="154"/>
      <c r="S78" s="154"/>
      <c r="T78" s="154"/>
      <c r="U78" s="154"/>
      <c r="V78" s="154"/>
      <c r="W78" s="154"/>
    </row>
    <row r="79" spans="1:23" ht="22.8" x14ac:dyDescent="0.3">
      <c r="A79" s="150" t="s">
        <v>122</v>
      </c>
      <c r="B79" s="151">
        <v>172</v>
      </c>
      <c r="C79" s="151">
        <f>VLOOKUP($A79,'спортивные сооружния'!A86:G200,7,FALSE)</f>
        <v>26</v>
      </c>
      <c r="D79" s="162">
        <f>VLOOKUP($A79,библиотеки!A81:N193,14,FALSE)/'Экономические факторы'!G79*1000</f>
        <v>299.9600053326223</v>
      </c>
      <c r="E79" s="151">
        <f>VLOOKUP($A79,Газеты!$A$3:$G$111,7,FALSE)</f>
        <v>208</v>
      </c>
      <c r="F79" s="162">
        <f>'Культурные факторы'!F79/Данные!K79*1000</f>
        <v>9504.6393814158109</v>
      </c>
      <c r="G79" s="163">
        <f>'Экономические факторы'!B79/'Экономические факторы'!G79*100</f>
        <v>53.312891614451395</v>
      </c>
      <c r="H79" s="147">
        <v>54055</v>
      </c>
      <c r="I79" s="164">
        <v>805225.96987068385</v>
      </c>
      <c r="J79" s="147">
        <f>'Экономические факторы'!F79/'Экономические факторы'!G79*1000</f>
        <v>1001.3331555792562</v>
      </c>
      <c r="K79" s="147">
        <v>2.0726720088422219</v>
      </c>
      <c r="M79" s="154"/>
      <c r="N79" s="154"/>
      <c r="O79" s="154"/>
      <c r="P79" s="154"/>
      <c r="Q79" s="154"/>
      <c r="R79" s="154"/>
      <c r="S79" s="154"/>
      <c r="T79" s="154"/>
      <c r="U79" s="154"/>
      <c r="V79" s="154"/>
      <c r="W79" s="154"/>
    </row>
    <row r="80" spans="1:23" ht="22.8" x14ac:dyDescent="0.3">
      <c r="A80" s="150" t="s">
        <v>123</v>
      </c>
      <c r="B80" s="151">
        <v>350</v>
      </c>
      <c r="C80" s="151">
        <f>VLOOKUP($A80,'спортивные сооружния'!A87:G201,7,FALSE)</f>
        <v>1</v>
      </c>
      <c r="D80" s="162">
        <f>VLOOKUP($A80,библиотеки!A82:N194,14,FALSE)/'Экономические факторы'!G80*1000</f>
        <v>562.21889055472263</v>
      </c>
      <c r="E80" s="151">
        <f>VLOOKUP($A80,Газеты!$A$3:$G$111,7,FALSE)</f>
        <v>280</v>
      </c>
      <c r="F80" s="162">
        <f>'Культурные факторы'!F80/Данные!K80*1000</f>
        <v>25309.220389805094</v>
      </c>
      <c r="G80" s="163">
        <f>'Экономические факторы'!B80/'Экономические факторы'!G80*100</f>
        <v>63.343328335832084</v>
      </c>
      <c r="H80" s="147">
        <v>111157</v>
      </c>
      <c r="I80" s="164">
        <v>2368815.5922038984</v>
      </c>
      <c r="J80" s="147">
        <f>'Экономические факторы'!F80/'Экономические факторы'!G80*1000</f>
        <v>727.88605697151422</v>
      </c>
      <c r="K80" s="147">
        <v>0.28843243243243244</v>
      </c>
      <c r="M80" s="154"/>
      <c r="N80" s="154"/>
      <c r="O80" s="154"/>
      <c r="P80" s="154"/>
      <c r="Q80" s="154"/>
      <c r="R80" s="154"/>
      <c r="S80" s="154"/>
      <c r="T80" s="154"/>
      <c r="U80" s="154"/>
      <c r="V80" s="154"/>
      <c r="W80" s="154"/>
    </row>
    <row r="81" spans="1:23" ht="22.8" x14ac:dyDescent="0.3">
      <c r="A81" s="150" t="s">
        <v>124</v>
      </c>
      <c r="B81" s="151">
        <v>246</v>
      </c>
      <c r="C81" s="151">
        <f>VLOOKUP($A81,'спортивные сооружния'!A88:G202,7,FALSE)</f>
        <v>3</v>
      </c>
      <c r="D81" s="162">
        <f>VLOOKUP($A81,библиотеки!A83:N195,14,FALSE)/'Экономические факторы'!G81*1000</f>
        <v>467.65734265734267</v>
      </c>
      <c r="E81" s="151">
        <f>VLOOKUP($A81,Газеты!$A$3:$G$111,7,FALSE)</f>
        <v>160</v>
      </c>
      <c r="F81" s="162">
        <f>'Культурные факторы'!F81/Данные!K81*1000</f>
        <v>5196.3068181818171</v>
      </c>
      <c r="G81" s="163">
        <f>'Экономические факторы'!B81/'Экономические факторы'!G81*100</f>
        <v>61.210664335664333</v>
      </c>
      <c r="H81" s="147">
        <v>87902</v>
      </c>
      <c r="I81" s="164">
        <v>3343531.4685314684</v>
      </c>
      <c r="J81" s="147">
        <f>'Экономические факторы'!F81/'Экономические факторы'!G81*1000</f>
        <v>667.39510489510474</v>
      </c>
      <c r="K81" s="147">
        <v>5.253731343283583</v>
      </c>
      <c r="M81" s="154"/>
      <c r="N81" s="154"/>
      <c r="O81" s="154"/>
      <c r="P81" s="154"/>
      <c r="Q81" s="154"/>
      <c r="R81" s="154"/>
      <c r="S81" s="154"/>
      <c r="T81" s="154"/>
      <c r="U81" s="154"/>
      <c r="V81" s="154"/>
      <c r="W81" s="154"/>
    </row>
    <row r="82" spans="1:23" ht="34.200000000000003" x14ac:dyDescent="0.3">
      <c r="A82" s="150" t="s">
        <v>125</v>
      </c>
      <c r="B82" s="151">
        <v>138</v>
      </c>
      <c r="C82" s="151">
        <f>VLOOKUP($A82,'спортивные сооружния'!A89:G203,7,FALSE)</f>
        <v>2</v>
      </c>
      <c r="D82" s="162">
        <f>VLOOKUP($A82,библиотеки!A84:N196,14,FALSE)/'Экономические факторы'!G82*1000</f>
        <v>384.08779149519887</v>
      </c>
      <c r="E82" s="151">
        <f>VLOOKUP($A82,Газеты!$A$3:$G$111,7,FALSE)</f>
        <v>173</v>
      </c>
      <c r="F82" s="162">
        <f>'Культурные факторы'!F82/Данные!K82*1000</f>
        <v>2041.5637860082302</v>
      </c>
      <c r="G82" s="163">
        <f>'Экономические факторы'!B82/'Экономические факторы'!G82*100</f>
        <v>41.289437585733879</v>
      </c>
      <c r="H82" s="147">
        <v>43479</v>
      </c>
      <c r="I82" s="164">
        <v>555555.55555555539</v>
      </c>
      <c r="J82" s="147">
        <f>'Экономические факторы'!F82/'Экономические факторы'!G82*1000</f>
        <v>200.960219478738</v>
      </c>
      <c r="K82" s="147">
        <v>4.0165289256198351</v>
      </c>
      <c r="M82" s="154"/>
      <c r="N82" s="154"/>
      <c r="O82" s="154"/>
      <c r="P82" s="154"/>
      <c r="Q82" s="154"/>
      <c r="R82" s="154"/>
      <c r="S82" s="154"/>
      <c r="T82" s="154"/>
      <c r="U82" s="154"/>
      <c r="V82" s="154"/>
      <c r="W82" s="154"/>
    </row>
    <row r="83" spans="1:23" ht="34.200000000000003" x14ac:dyDescent="0.3">
      <c r="A83" s="152" t="s">
        <v>126</v>
      </c>
      <c r="B83" s="151">
        <v>0</v>
      </c>
      <c r="C83" s="151">
        <v>0</v>
      </c>
      <c r="D83" s="162">
        <f>VLOOKUP($A83,библиотеки!A85:N197,14,FALSE)/'Экономические факторы'!G83*1000</f>
        <v>541.66666666666663</v>
      </c>
      <c r="E83" s="151">
        <f>VLOOKUP($A83,Газеты!$A$3:$G$111,7,FALSE)</f>
        <v>108</v>
      </c>
      <c r="F83" s="162">
        <f>'Культурные факторы'!F83/Данные!K83*1000</f>
        <v>63131.25</v>
      </c>
      <c r="G83" s="163">
        <f>'Экономические факторы'!B83/'Экономические факторы'!G83*100</f>
        <v>66.666666666666657</v>
      </c>
      <c r="H83" s="147">
        <v>156988</v>
      </c>
      <c r="I83" s="164">
        <v>2937500</v>
      </c>
      <c r="J83" s="147">
        <f>'Экономические факторы'!F83/'Экономические факторы'!G83*1000</f>
        <v>1837.5000000000002</v>
      </c>
      <c r="K83" s="147">
        <v>6.6528066528066532E-2</v>
      </c>
      <c r="M83" s="154"/>
      <c r="N83" s="154"/>
      <c r="O83" s="154"/>
      <c r="P83" s="154"/>
      <c r="Q83" s="154"/>
      <c r="R83" s="154"/>
      <c r="S83" s="154"/>
      <c r="T83" s="154"/>
      <c r="U83" s="154"/>
      <c r="V83" s="154"/>
      <c r="W83" s="154"/>
    </row>
    <row r="84" spans="1:23" x14ac:dyDescent="0.3">
      <c r="A84" s="176" t="s">
        <v>1210</v>
      </c>
      <c r="B84" s="177">
        <f>ROUND(MIN(B$2:B$83),1)</f>
        <v>0</v>
      </c>
      <c r="C84" s="177">
        <f t="shared" ref="C84:K84" si="0">ROUND(MIN(C$2:C$83),1)</f>
        <v>0</v>
      </c>
      <c r="D84" s="177">
        <f t="shared" si="0"/>
        <v>108.8</v>
      </c>
      <c r="E84" s="177">
        <f t="shared" si="0"/>
        <v>28</v>
      </c>
      <c r="F84" s="177">
        <f t="shared" si="0"/>
        <v>0.2</v>
      </c>
      <c r="G84" s="177">
        <f t="shared" si="0"/>
        <v>31.3</v>
      </c>
      <c r="H84" s="177">
        <f t="shared" si="0"/>
        <v>25619</v>
      </c>
      <c r="I84" s="177">
        <f t="shared" si="0"/>
        <v>202846.3</v>
      </c>
      <c r="J84" s="177">
        <f>ROUND(MIN(J$2:J$83),1)</f>
        <v>61.7</v>
      </c>
      <c r="K84" s="177">
        <f t="shared" si="0"/>
        <v>0.1</v>
      </c>
    </row>
    <row r="85" spans="1:23" x14ac:dyDescent="0.3">
      <c r="A85" s="176" t="s">
        <v>1211</v>
      </c>
      <c r="B85" s="177">
        <f>ROUND(MAX(B$2:B$83),1)</f>
        <v>822</v>
      </c>
      <c r="C85" s="177">
        <f t="shared" ref="C85:K85" si="1">ROUND(MAX(C$2:C$83),1)</f>
        <v>118</v>
      </c>
      <c r="D85" s="177">
        <f t="shared" si="1"/>
        <v>762.8</v>
      </c>
      <c r="E85" s="177">
        <f t="shared" si="1"/>
        <v>2592</v>
      </c>
      <c r="F85" s="177">
        <f t="shared" si="1"/>
        <v>106200.2</v>
      </c>
      <c r="G85" s="177">
        <f t="shared" si="1"/>
        <v>66.7</v>
      </c>
      <c r="H85" s="177">
        <f t="shared" si="1"/>
        <v>156988</v>
      </c>
      <c r="I85" s="177">
        <f t="shared" si="1"/>
        <v>3918949.6</v>
      </c>
      <c r="J85" s="177">
        <f>ROUND(MAX(J$2:J$83),1)</f>
        <v>1837.5</v>
      </c>
      <c r="K85" s="177">
        <f t="shared" si="1"/>
        <v>5057.6000000000004</v>
      </c>
    </row>
    <row r="86" spans="1:23" x14ac:dyDescent="0.3">
      <c r="A86" s="176" t="s">
        <v>1228</v>
      </c>
      <c r="B86" s="177">
        <f>ROUND(AVERAGE(B2:B83),3)</f>
        <v>255.56100000000001</v>
      </c>
      <c r="C86" s="177">
        <f t="shared" ref="C86:K86" si="2">ROUND(AVERAGE(C2:C83),3)</f>
        <v>19.853999999999999</v>
      </c>
      <c r="D86" s="177">
        <f t="shared" si="2"/>
        <v>409.798</v>
      </c>
      <c r="E86" s="177">
        <f t="shared" si="2"/>
        <v>447.25599999999997</v>
      </c>
      <c r="F86" s="177">
        <f t="shared" si="2"/>
        <v>8424.1679999999997</v>
      </c>
      <c r="G86" s="177">
        <f t="shared" si="2"/>
        <v>47.999000000000002</v>
      </c>
      <c r="H86" s="177">
        <f t="shared" si="2"/>
        <v>48504.243999999999</v>
      </c>
      <c r="I86" s="177">
        <f t="shared" si="2"/>
        <v>865259.30200000003</v>
      </c>
      <c r="J86" s="177">
        <f>ROUND(AVERAGE(J2:J83),3)</f>
        <v>230.852</v>
      </c>
      <c r="K86" s="177">
        <f t="shared" si="2"/>
        <v>145.25200000000001</v>
      </c>
    </row>
    <row r="87" spans="1:23" x14ac:dyDescent="0.3">
      <c r="A87" s="176" t="s">
        <v>1204</v>
      </c>
      <c r="B87">
        <f>ROUND(MEDIAN(B2:B83),3)</f>
        <v>248.5</v>
      </c>
      <c r="C87">
        <f t="shared" ref="C87:K87" si="3">ROUND(MEDIAN(C2:C83),3)</f>
        <v>16.5</v>
      </c>
      <c r="D87">
        <f t="shared" si="3"/>
        <v>425.55099999999999</v>
      </c>
      <c r="E87">
        <f t="shared" si="3"/>
        <v>312</v>
      </c>
      <c r="F87">
        <f t="shared" si="3"/>
        <v>1916.492</v>
      </c>
      <c r="G87">
        <f t="shared" si="3"/>
        <v>47.384</v>
      </c>
      <c r="H87">
        <f t="shared" si="3"/>
        <v>42704.5</v>
      </c>
      <c r="I87">
        <f t="shared" si="3"/>
        <v>663758.95499999996</v>
      </c>
      <c r="J87">
        <f>ROUND(MEDIAN(J2:J83),3)</f>
        <v>144.93199999999999</v>
      </c>
      <c r="K87">
        <f t="shared" si="3"/>
        <v>23.917000000000002</v>
      </c>
    </row>
    <row r="88" spans="1:23" x14ac:dyDescent="0.3">
      <c r="A88" s="176" t="s">
        <v>1197</v>
      </c>
      <c r="B88">
        <f>ROUND(SUM(B2:B83),2)</f>
        <v>20956</v>
      </c>
      <c r="C88">
        <f t="shared" ref="C88:K88" si="4">ROUND(SUM(C2:C83),2)</f>
        <v>1628</v>
      </c>
      <c r="D88">
        <f t="shared" si="4"/>
        <v>33603.42</v>
      </c>
      <c r="E88">
        <f t="shared" si="4"/>
        <v>36675</v>
      </c>
      <c r="F88">
        <f t="shared" si="4"/>
        <v>690781.74</v>
      </c>
      <c r="G88">
        <f t="shared" si="4"/>
        <v>3935.94</v>
      </c>
      <c r="H88">
        <f t="shared" si="4"/>
        <v>3977348</v>
      </c>
      <c r="I88">
        <f t="shared" si="4"/>
        <v>70951262.75</v>
      </c>
      <c r="J88">
        <f>ROUND(SUM(J2:J83),2)</f>
        <v>18929.86</v>
      </c>
      <c r="K88">
        <f t="shared" si="4"/>
        <v>11910.63</v>
      </c>
    </row>
    <row r="89" spans="1:23" ht="68.400000000000006" x14ac:dyDescent="0.3">
      <c r="A89" s="176" t="s">
        <v>1229</v>
      </c>
      <c r="B89">
        <f>ROUND(B91/B90,3)</f>
        <v>1.647</v>
      </c>
      <c r="C89">
        <f t="shared" ref="C89:K89" si="5">ROUND(C91/C90,3)</f>
        <v>3.125</v>
      </c>
      <c r="D89">
        <f t="shared" si="5"/>
        <v>1.5589999999999999</v>
      </c>
      <c r="E89">
        <f t="shared" si="5"/>
        <v>2.7</v>
      </c>
      <c r="F89">
        <f t="shared" si="5"/>
        <v>8.0909999999999993</v>
      </c>
      <c r="G89">
        <f t="shared" si="5"/>
        <v>1.119</v>
      </c>
      <c r="H89">
        <f t="shared" si="5"/>
        <v>1.3440000000000001</v>
      </c>
      <c r="I89">
        <f t="shared" si="5"/>
        <v>1.756</v>
      </c>
      <c r="J89">
        <f>ROUND(J91/J90,3)</f>
        <v>1.99</v>
      </c>
      <c r="K89">
        <f t="shared" si="5"/>
        <v>9.18</v>
      </c>
    </row>
    <row r="90" spans="1:23" x14ac:dyDescent="0.3">
      <c r="A90" s="176" t="s">
        <v>1216</v>
      </c>
      <c r="B90">
        <f>QUARTILE(B2:B83,1)</f>
        <v>191.75</v>
      </c>
      <c r="C90">
        <f t="shared" ref="C90:K90" si="6">QUARTILE(C2:C83,1)</f>
        <v>8</v>
      </c>
      <c r="D90">
        <f t="shared" si="6"/>
        <v>313.65344963849634</v>
      </c>
      <c r="E90">
        <f t="shared" si="6"/>
        <v>186.5</v>
      </c>
      <c r="F90">
        <f t="shared" si="6"/>
        <v>826.37596067367372</v>
      </c>
      <c r="G90">
        <f t="shared" si="6"/>
        <v>44.988190550779258</v>
      </c>
      <c r="H90">
        <f t="shared" si="6"/>
        <v>38712.5</v>
      </c>
      <c r="I90">
        <f t="shared" si="6"/>
        <v>488329.115212698</v>
      </c>
      <c r="J90">
        <f>QUARTILE(J2:J83,1)</f>
        <v>106.41687008497219</v>
      </c>
      <c r="K90">
        <f t="shared" si="6"/>
        <v>4.7109483637712062</v>
      </c>
    </row>
    <row r="91" spans="1:23" x14ac:dyDescent="0.3">
      <c r="A91" s="176" t="s">
        <v>1217</v>
      </c>
      <c r="B91">
        <f>QUARTILE(B2:B83,3)</f>
        <v>315.75</v>
      </c>
      <c r="C91">
        <f t="shared" ref="C91:K91" si="7">QUARTILE(C2:C83,3)</f>
        <v>25</v>
      </c>
      <c r="D91">
        <f t="shared" si="7"/>
        <v>488.9410488877225</v>
      </c>
      <c r="E91">
        <f t="shared" si="7"/>
        <v>503.5</v>
      </c>
      <c r="F91">
        <f t="shared" si="7"/>
        <v>6686.3339027182892</v>
      </c>
      <c r="G91">
        <f t="shared" si="7"/>
        <v>50.349451914119385</v>
      </c>
      <c r="H91">
        <f t="shared" si="7"/>
        <v>52043.25</v>
      </c>
      <c r="I91">
        <f t="shared" si="7"/>
        <v>857302.85833983624</v>
      </c>
      <c r="J91">
        <f>QUARTILE(J2:J83,3)</f>
        <v>211.78596724179312</v>
      </c>
      <c r="K91">
        <f t="shared" si="7"/>
        <v>43.24673702868192</v>
      </c>
    </row>
    <row r="92" spans="1:23" x14ac:dyDescent="0.3">
      <c r="A92" s="176" t="s">
        <v>1232</v>
      </c>
      <c r="B92">
        <f>KURT(B2:B83)</f>
        <v>7.0500608602626418</v>
      </c>
      <c r="C92">
        <f t="shared" ref="C92:K92" si="8">KURT(C2:C83)</f>
        <v>10.821734280272</v>
      </c>
      <c r="D92">
        <f t="shared" si="8"/>
        <v>0.41896058402665792</v>
      </c>
      <c r="E92">
        <f t="shared" si="8"/>
        <v>8.5769268149940334</v>
      </c>
      <c r="F92">
        <f t="shared" si="8"/>
        <v>15.840267081623089</v>
      </c>
      <c r="G92">
        <f t="shared" si="8"/>
        <v>1.7892315865721655</v>
      </c>
      <c r="H92">
        <f t="shared" si="8"/>
        <v>11.675951463788449</v>
      </c>
      <c r="I92">
        <f t="shared" si="8"/>
        <v>7.1804844554515928</v>
      </c>
      <c r="J92">
        <f>KURT(J2:J83)</f>
        <v>17.483912562049156</v>
      </c>
      <c r="K92">
        <f t="shared" si="8"/>
        <v>39.874626005651116</v>
      </c>
    </row>
    <row r="93" spans="1:23" x14ac:dyDescent="0.3">
      <c r="A93" s="176" t="s">
        <v>1233</v>
      </c>
      <c r="B93">
        <f>SKEW(B2:B83)</f>
        <v>1.6976266068430694</v>
      </c>
      <c r="C93">
        <f t="shared" ref="C93:K93" si="9">SKEW(C2:C83)</f>
        <v>2.6314334306712586</v>
      </c>
      <c r="D93">
        <f t="shared" si="9"/>
        <v>0.21294045515351936</v>
      </c>
      <c r="E93">
        <f t="shared" si="9"/>
        <v>2.6762369275688327</v>
      </c>
      <c r="F93">
        <f t="shared" si="9"/>
        <v>3.8619728054715368</v>
      </c>
      <c r="G93">
        <f t="shared" si="9"/>
        <v>0.56781177409979222</v>
      </c>
      <c r="H93">
        <f t="shared" si="9"/>
        <v>3.0245147990944528</v>
      </c>
      <c r="I93">
        <f t="shared" si="9"/>
        <v>2.6498255990801005</v>
      </c>
      <c r="J93">
        <f>SKEW(J2:J83)</f>
        <v>3.722794235905353</v>
      </c>
      <c r="K93">
        <f t="shared" si="9"/>
        <v>6.321610410480714</v>
      </c>
    </row>
    <row r="95" spans="1:23" ht="44.4" customHeight="1" x14ac:dyDescent="0.3">
      <c r="A95" s="178"/>
      <c r="B95" s="178" t="str" cm="1">
        <f t="array" ref="B95:G105">TRANSPOSE(A84:K89)</f>
        <v>Минимум</v>
      </c>
      <c r="C95" s="178" t="str">
        <v>Максимум</v>
      </c>
      <c r="D95" s="178" t="str">
        <v>Cреднее</v>
      </c>
      <c r="E95" s="178" t="str">
        <v>Медиана</v>
      </c>
      <c r="F95" s="178" t="str">
        <v>Сумма</v>
      </c>
      <c r="G95" s="179" t="str">
        <v>Квартильный коэффициент дифференциации</v>
      </c>
    </row>
    <row r="96" spans="1:23" x14ac:dyDescent="0.3">
      <c r="A96" s="178" t="s">
        <v>1218</v>
      </c>
      <c r="B96" s="178">
        <v>0</v>
      </c>
      <c r="C96" s="178">
        <v>822</v>
      </c>
      <c r="D96" s="178">
        <v>255.56100000000001</v>
      </c>
      <c r="E96" s="178">
        <v>248.5</v>
      </c>
      <c r="F96" s="178">
        <v>20956</v>
      </c>
      <c r="G96" s="178">
        <v>1.647</v>
      </c>
      <c r="J96" s="144" t="str" cm="1">
        <f t="array" ref="J96:J105">TRANSPOSE(B1:K1)</f>
        <v>Численность зрителей театров, на тыс чел</v>
      </c>
    </row>
    <row r="97" spans="1:10" x14ac:dyDescent="0.3">
      <c r="A97" s="178" t="s">
        <v>1219</v>
      </c>
      <c r="B97" s="178">
        <v>0</v>
      </c>
      <c r="C97" s="178">
        <v>118</v>
      </c>
      <c r="D97" s="178">
        <v>19.853999999999999</v>
      </c>
      <c r="E97" s="178">
        <v>16.5</v>
      </c>
      <c r="F97" s="178">
        <v>1628</v>
      </c>
      <c r="G97" s="178">
        <v>3.125</v>
      </c>
      <c r="J97" s="144" t="str">
        <v>Стадионы с трибунами на 1500 мест и более</v>
      </c>
    </row>
    <row r="98" spans="1:10" x14ac:dyDescent="0.3">
      <c r="A98" s="178" t="s">
        <v>1220</v>
      </c>
      <c r="B98" s="178">
        <v>108.8</v>
      </c>
      <c r="C98" s="178">
        <v>762.8</v>
      </c>
      <c r="D98" s="178">
        <v>409.798</v>
      </c>
      <c r="E98" s="178">
        <v>425.55099999999999</v>
      </c>
      <c r="F98" s="178">
        <v>33603.42</v>
      </c>
      <c r="G98" s="178">
        <v>1.5589999999999999</v>
      </c>
      <c r="J98" s="144" t="str">
        <v>Численность пользователей библиотек на 1000 чел</v>
      </c>
    </row>
    <row r="99" spans="1:10" x14ac:dyDescent="0.3">
      <c r="A99" s="178" t="s">
        <v>1221</v>
      </c>
      <c r="B99" s="178">
        <v>28</v>
      </c>
      <c r="C99" s="178">
        <v>2592</v>
      </c>
      <c r="D99" s="178">
        <v>447.25599999999997</v>
      </c>
      <c r="E99" s="178">
        <v>312</v>
      </c>
      <c r="F99" s="178">
        <v>36675</v>
      </c>
      <c r="G99" s="178">
        <v>2.7</v>
      </c>
      <c r="J99" s="144" t="str">
        <v>ВЫПУСК ГАЗЕТ на 1 000 человек населения</v>
      </c>
    </row>
    <row r="100" spans="1:10" x14ac:dyDescent="0.3">
      <c r="A100" s="178" t="s">
        <v>1222</v>
      </c>
      <c r="B100" s="178">
        <v>0.2</v>
      </c>
      <c r="C100" s="178">
        <v>106200.2</v>
      </c>
      <c r="D100" s="178">
        <v>8424.1679999999997</v>
      </c>
      <c r="E100" s="178">
        <v>1916.492</v>
      </c>
      <c r="F100" s="178">
        <v>690781.74</v>
      </c>
      <c r="G100" s="178">
        <v>8.0909999999999993</v>
      </c>
      <c r="J100" s="144" t="str">
        <v>Численность детей, отдохнувших в них за лето на 1000  человек</v>
      </c>
    </row>
    <row r="101" spans="1:10" x14ac:dyDescent="0.3">
      <c r="A101" s="178" t="s">
        <v>1223</v>
      </c>
      <c r="B101" s="178">
        <v>31.3</v>
      </c>
      <c r="C101" s="178">
        <v>66.7</v>
      </c>
      <c r="D101" s="178">
        <v>47.999000000000002</v>
      </c>
      <c r="E101" s="178">
        <v>47.384</v>
      </c>
      <c r="F101" s="178">
        <v>3935.94</v>
      </c>
      <c r="G101" s="178">
        <v>1.119</v>
      </c>
      <c r="J101" s="144" t="str">
        <v>СРЕДНЕГОДОВАЯ ЧИСЛЕННОСТЬ ЗАНЯТЫХ на 100 чел</v>
      </c>
    </row>
    <row r="102" spans="1:10" x14ac:dyDescent="0.3">
      <c r="A102" s="178" t="s">
        <v>1224</v>
      </c>
      <c r="B102" s="178">
        <v>25619</v>
      </c>
      <c r="C102" s="178">
        <v>156988</v>
      </c>
      <c r="D102" s="178">
        <v>48504.243999999999</v>
      </c>
      <c r="E102" s="178">
        <v>42704.5</v>
      </c>
      <c r="F102" s="178">
        <v>3977348</v>
      </c>
      <c r="G102" s="178">
        <v>1.3440000000000001</v>
      </c>
      <c r="J102" s="144" t="str">
        <v>РЕАЛЬНЫЕ ДЕНЕЖНЫЕ ДОХОДЫ НАСЕЛЕНИЯ</v>
      </c>
    </row>
    <row r="103" spans="1:10" x14ac:dyDescent="0.3">
      <c r="A103" s="178" t="s">
        <v>1225</v>
      </c>
      <c r="B103" s="178">
        <v>202846.3</v>
      </c>
      <c r="C103" s="178">
        <v>3918949.6</v>
      </c>
      <c r="D103" s="178">
        <v>865259.30200000003</v>
      </c>
      <c r="E103" s="178">
        <v>663758.95499999996</v>
      </c>
      <c r="F103" s="178">
        <v>70951262.75</v>
      </c>
      <c r="G103" s="178">
        <v>1.756</v>
      </c>
      <c r="J103" s="144" t="str">
        <v>ВРП на душу</v>
      </c>
    </row>
    <row r="104" spans="1:10" x14ac:dyDescent="0.3">
      <c r="A104" s="178" t="s">
        <v>1226</v>
      </c>
      <c r="B104" s="178">
        <v>61.7</v>
      </c>
      <c r="C104" s="178">
        <v>1837.5</v>
      </c>
      <c r="D104" s="178">
        <v>230.852</v>
      </c>
      <c r="E104" s="178">
        <v>144.93199999999999</v>
      </c>
      <c r="F104" s="178">
        <v>18929.86</v>
      </c>
      <c r="G104" s="178">
        <v>1.99</v>
      </c>
      <c r="J104" s="144" t="str">
        <v>Инвестиции основной капитал</v>
      </c>
    </row>
    <row r="105" spans="1:10" x14ac:dyDescent="0.3">
      <c r="A105" s="178" t="s">
        <v>1227</v>
      </c>
      <c r="B105" s="178">
        <v>0.1</v>
      </c>
      <c r="C105" s="178">
        <v>5057.6000000000004</v>
      </c>
      <c r="D105" s="178">
        <v>145.25200000000001</v>
      </c>
      <c r="E105" s="178">
        <v>23.917000000000002</v>
      </c>
      <c r="F105" s="178">
        <v>11910.63</v>
      </c>
      <c r="G105" s="178">
        <v>9.18</v>
      </c>
      <c r="J105" s="144" t="str">
        <v>Плотность населения чел/км2</v>
      </c>
    </row>
    <row r="106" spans="1:10" x14ac:dyDescent="0.3">
      <c r="B106" t="s">
        <v>1210</v>
      </c>
      <c r="C106" t="s">
        <v>1211</v>
      </c>
      <c r="D106" t="s">
        <v>1228</v>
      </c>
      <c r="E106" t="s">
        <v>1204</v>
      </c>
      <c r="F106" t="s">
        <v>1197</v>
      </c>
      <c r="G106" s="144" t="s">
        <v>1229</v>
      </c>
    </row>
    <row r="107" spans="1:10" x14ac:dyDescent="0.3">
      <c r="A107" t="str">
        <f>A96&amp;" ("&amp;J96&amp;")"</f>
        <v>X1 (Численность зрителей театров, на тыс чел)</v>
      </c>
      <c r="B107">
        <v>0</v>
      </c>
      <c r="C107">
        <v>822</v>
      </c>
      <c r="D107">
        <v>255.56100000000001</v>
      </c>
      <c r="E107">
        <v>248.5</v>
      </c>
      <c r="F107">
        <v>20956</v>
      </c>
      <c r="G107" s="144">
        <v>1.647</v>
      </c>
    </row>
    <row r="108" spans="1:10" x14ac:dyDescent="0.3">
      <c r="A108" t="str">
        <f t="shared" ref="A108:A116" si="10">A97&amp;" ("&amp;J97&amp;")"</f>
        <v>X2 (Стадионы с трибунами на 1500 мест и более)</v>
      </c>
      <c r="B108">
        <v>0</v>
      </c>
      <c r="C108">
        <v>118</v>
      </c>
      <c r="D108">
        <v>19.853999999999999</v>
      </c>
      <c r="E108">
        <v>16.5</v>
      </c>
      <c r="F108">
        <v>1628</v>
      </c>
      <c r="G108" s="144">
        <v>3.125</v>
      </c>
    </row>
    <row r="109" spans="1:10" x14ac:dyDescent="0.3">
      <c r="A109" t="str">
        <f t="shared" si="10"/>
        <v>X3 (Численность пользователей библиотек на 1000 чел)</v>
      </c>
      <c r="B109">
        <v>108.8</v>
      </c>
      <c r="C109">
        <v>762.8</v>
      </c>
      <c r="D109">
        <v>409.798</v>
      </c>
      <c r="E109">
        <v>425.55099999999999</v>
      </c>
      <c r="F109">
        <v>33603.42</v>
      </c>
      <c r="G109" s="144">
        <v>1.5589999999999999</v>
      </c>
    </row>
    <row r="110" spans="1:10" x14ac:dyDescent="0.3">
      <c r="A110" t="str">
        <f t="shared" si="10"/>
        <v>X4 (ВЫПУСК ГАЗЕТ на 1 000 человек населения)</v>
      </c>
      <c r="B110">
        <v>28</v>
      </c>
      <c r="C110">
        <v>2592</v>
      </c>
      <c r="D110">
        <v>447.25599999999997</v>
      </c>
      <c r="E110">
        <v>312</v>
      </c>
      <c r="F110">
        <v>36675</v>
      </c>
      <c r="G110" s="144">
        <v>2.7</v>
      </c>
    </row>
    <row r="111" spans="1:10" x14ac:dyDescent="0.3">
      <c r="A111" t="str">
        <f t="shared" si="10"/>
        <v>X5 (Численность детей, отдохнувших в них за лето на 1000  человек)</v>
      </c>
      <c r="B111">
        <v>0.2</v>
      </c>
      <c r="C111">
        <v>106200.2</v>
      </c>
      <c r="D111">
        <v>8424.1679999999997</v>
      </c>
      <c r="E111">
        <v>1916.492</v>
      </c>
      <c r="F111">
        <v>690781.74</v>
      </c>
      <c r="G111" s="144">
        <v>8.0909999999999993</v>
      </c>
    </row>
    <row r="112" spans="1:10" x14ac:dyDescent="0.3">
      <c r="A112" t="str">
        <f t="shared" si="10"/>
        <v>X6 (СРЕДНЕГОДОВАЯ ЧИСЛЕННОСТЬ ЗАНЯТЫХ на 100 чел)</v>
      </c>
      <c r="B112">
        <v>31.3</v>
      </c>
      <c r="C112">
        <v>66.7</v>
      </c>
      <c r="D112">
        <v>47.999000000000002</v>
      </c>
      <c r="E112">
        <v>47.384</v>
      </c>
      <c r="F112">
        <v>3935.94</v>
      </c>
      <c r="G112" s="144">
        <v>1.119</v>
      </c>
    </row>
    <row r="113" spans="1:7" x14ac:dyDescent="0.3">
      <c r="A113" t="str">
        <f t="shared" si="10"/>
        <v>X7 (РЕАЛЬНЫЕ ДЕНЕЖНЫЕ ДОХОДЫ НАСЕЛЕНИЯ)</v>
      </c>
      <c r="B113">
        <v>25619</v>
      </c>
      <c r="C113">
        <v>156988</v>
      </c>
      <c r="D113">
        <v>48504.243999999999</v>
      </c>
      <c r="E113">
        <v>42704.5</v>
      </c>
      <c r="F113">
        <v>3977348</v>
      </c>
      <c r="G113" s="144">
        <v>1.3440000000000001</v>
      </c>
    </row>
    <row r="114" spans="1:7" x14ac:dyDescent="0.3">
      <c r="A114" t="str">
        <f t="shared" si="10"/>
        <v>X8 (ВРП на душу)</v>
      </c>
      <c r="B114">
        <v>202846.3</v>
      </c>
      <c r="C114">
        <v>3918949.6</v>
      </c>
      <c r="D114">
        <v>865259.30200000003</v>
      </c>
      <c r="E114">
        <v>663758.95499999996</v>
      </c>
      <c r="F114">
        <v>70951262.75</v>
      </c>
      <c r="G114" s="144">
        <v>1.756</v>
      </c>
    </row>
    <row r="115" spans="1:7" x14ac:dyDescent="0.3">
      <c r="A115" t="str">
        <f t="shared" si="10"/>
        <v>X9 (Инвестиции основной капитал)</v>
      </c>
      <c r="B115">
        <v>61.7</v>
      </c>
      <c r="C115">
        <v>1837.5</v>
      </c>
      <c r="D115">
        <v>230.852</v>
      </c>
      <c r="E115">
        <v>144.93199999999999</v>
      </c>
      <c r="F115">
        <v>18929.86</v>
      </c>
      <c r="G115" s="144">
        <v>1.99</v>
      </c>
    </row>
    <row r="116" spans="1:7" x14ac:dyDescent="0.3">
      <c r="A116" t="str">
        <f t="shared" si="10"/>
        <v>X10 (Плотность населения чел/км2)</v>
      </c>
      <c r="B116">
        <v>0.1</v>
      </c>
      <c r="C116">
        <v>5057.6000000000004</v>
      </c>
      <c r="D116">
        <v>145.25200000000001</v>
      </c>
      <c r="E116">
        <v>23.917000000000002</v>
      </c>
      <c r="F116">
        <v>11910.63</v>
      </c>
      <c r="G116" s="144">
        <v>9.18</v>
      </c>
    </row>
  </sheetData>
  <mergeCells count="10">
    <mergeCell ref="Y2:Z3"/>
    <mergeCell ref="AA2:AB3"/>
    <mergeCell ref="AC2:AD3"/>
    <mergeCell ref="AE2:AF3"/>
    <mergeCell ref="M2:N3"/>
    <mergeCell ref="O2:P3"/>
    <mergeCell ref="Q2:R3"/>
    <mergeCell ref="S2:T3"/>
    <mergeCell ref="U2:V3"/>
    <mergeCell ref="W2:X3"/>
  </mergeCells>
  <phoneticPr fontId="22" type="noConversion"/>
  <conditionalFormatting sqref="N36:N44 O37:O44 P38:P44 Q39:Q44 R40:R44 S41:S44 T42:T44 U43:U44 V44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22:N30 O23 O24:P30 Q25:Q30 R26:R30 S27:S30 T28:T30 U29:U30 V30">
    <cfRule type="colorScale" priority="1">
      <colorScale>
        <cfvo type="num" val="-1"/>
        <cfvo type="num" val="0"/>
        <cfvo type="num" val="1"/>
        <color rgb="FF63BE7B"/>
        <color rgb="FFFCFCFF"/>
        <color rgb="FFF8696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7EC8A-B41D-4EEE-9870-824EB393309D}">
  <dimension ref="A1:AZ80"/>
  <sheetViews>
    <sheetView tabSelected="1" zoomScale="70" zoomScaleNormal="70" workbookViewId="0">
      <selection activeCell="AB74" sqref="AB74"/>
    </sheetView>
  </sheetViews>
  <sheetFormatPr defaultRowHeight="14.4" x14ac:dyDescent="0.3"/>
  <cols>
    <col min="40" max="40" width="10.6640625" customWidth="1"/>
  </cols>
  <sheetData>
    <row r="1" spans="1:52" x14ac:dyDescent="0.3">
      <c r="A1" s="148" t="s">
        <v>1072</v>
      </c>
      <c r="B1" s="149" t="s">
        <v>1218</v>
      </c>
      <c r="C1" s="149" t="s">
        <v>1219</v>
      </c>
      <c r="D1" s="149" t="s">
        <v>1220</v>
      </c>
      <c r="E1" s="149" t="s">
        <v>1221</v>
      </c>
      <c r="F1" s="149" t="s">
        <v>1222</v>
      </c>
      <c r="G1" s="146" t="s">
        <v>1223</v>
      </c>
      <c r="H1" s="146" t="s">
        <v>1224</v>
      </c>
      <c r="I1" s="146" t="s">
        <v>1225</v>
      </c>
      <c r="J1" s="146" t="s">
        <v>1226</v>
      </c>
      <c r="K1" s="146" t="s">
        <v>1227</v>
      </c>
      <c r="Y1" s="185" t="s">
        <v>1072</v>
      </c>
      <c r="Z1" s="146" t="s">
        <v>1224</v>
      </c>
      <c r="AA1" s="146" t="s">
        <v>1226</v>
      </c>
    </row>
    <row r="2" spans="1:52" ht="34.200000000000003" x14ac:dyDescent="0.3">
      <c r="A2" s="150" t="s">
        <v>7</v>
      </c>
      <c r="B2" s="170">
        <v>152</v>
      </c>
      <c r="C2" s="170">
        <v>41.533950822949286</v>
      </c>
      <c r="D2" s="171">
        <v>497.10135270207235</v>
      </c>
      <c r="E2" s="170">
        <v>852</v>
      </c>
      <c r="F2" s="171">
        <v>39.648164190044646</v>
      </c>
      <c r="G2" s="172">
        <v>50.996201772506154</v>
      </c>
      <c r="H2" s="173">
        <v>47257</v>
      </c>
      <c r="I2" s="174">
        <v>873592.32358232816</v>
      </c>
      <c r="J2" s="172">
        <v>141.40067968281465</v>
      </c>
      <c r="K2" s="173">
        <v>55.376383763837637</v>
      </c>
      <c r="M2" s="222"/>
      <c r="N2" s="222" t="s">
        <v>1218</v>
      </c>
      <c r="O2" s="222" t="s">
        <v>1219</v>
      </c>
      <c r="P2" s="222" t="s">
        <v>1220</v>
      </c>
      <c r="Q2" s="222" t="s">
        <v>1221</v>
      </c>
      <c r="R2" s="222" t="s">
        <v>1222</v>
      </c>
      <c r="S2" s="222" t="s">
        <v>1223</v>
      </c>
      <c r="T2" s="222" t="s">
        <v>1224</v>
      </c>
      <c r="U2" s="222" t="s">
        <v>1225</v>
      </c>
      <c r="V2" s="222" t="s">
        <v>1226</v>
      </c>
      <c r="W2" s="223" t="s">
        <v>1227</v>
      </c>
      <c r="X2" s="42"/>
      <c r="Y2" s="186" t="s">
        <v>7</v>
      </c>
      <c r="Z2" s="173">
        <v>47257</v>
      </c>
      <c r="AA2" s="172">
        <v>141.40067968281465</v>
      </c>
      <c r="AN2" s="288" t="s">
        <v>1238</v>
      </c>
      <c r="AO2" s="288"/>
      <c r="AP2" s="288"/>
      <c r="AQ2" s="288"/>
      <c r="AR2" s="288"/>
      <c r="AS2" s="288"/>
      <c r="AT2" s="288"/>
      <c r="AU2" s="288"/>
      <c r="AV2" s="288"/>
      <c r="AW2" s="288"/>
      <c r="AX2" s="288"/>
      <c r="AY2" s="288"/>
      <c r="AZ2" s="190"/>
    </row>
    <row r="3" spans="1:52" ht="27.6" x14ac:dyDescent="0.3">
      <c r="A3" s="150" t="s">
        <v>8</v>
      </c>
      <c r="B3" s="170">
        <v>173</v>
      </c>
      <c r="C3" s="170">
        <v>54.989495798319318</v>
      </c>
      <c r="D3" s="171">
        <v>426.2955182072829</v>
      </c>
      <c r="E3" s="170">
        <v>234</v>
      </c>
      <c r="F3" s="171">
        <v>28.974089635854341</v>
      </c>
      <c r="G3" s="172">
        <v>44.161414565826327</v>
      </c>
      <c r="H3" s="173">
        <v>40927</v>
      </c>
      <c r="I3" s="174">
        <v>480567.22689075628</v>
      </c>
      <c r="J3" s="172">
        <v>82.37044817927169</v>
      </c>
      <c r="K3" s="173">
        <v>32.733524355300865</v>
      </c>
      <c r="M3" s="224" t="s">
        <v>1218</v>
      </c>
      <c r="N3" s="225">
        <v>1</v>
      </c>
      <c r="O3" s="225">
        <v>4.5425085757247144E-2</v>
      </c>
      <c r="P3" s="225">
        <v>0.16688455181537654</v>
      </c>
      <c r="Q3" s="225">
        <v>0.15590562981477429</v>
      </c>
      <c r="R3" s="225">
        <v>5.8248997807752195E-2</v>
      </c>
      <c r="S3" s="225">
        <v>-0.10515134620066095</v>
      </c>
      <c r="T3" s="225">
        <v>-0.18187734021321569</v>
      </c>
      <c r="U3" s="225">
        <v>-0.12593098204873787</v>
      </c>
      <c r="V3" s="225">
        <v>-0.26739107740988693</v>
      </c>
      <c r="W3" s="226">
        <v>-0.22419707811294867</v>
      </c>
      <c r="Y3" s="186" t="s">
        <v>8</v>
      </c>
      <c r="Z3" s="173">
        <v>40927</v>
      </c>
      <c r="AA3" s="172">
        <v>82.37044817927169</v>
      </c>
      <c r="AN3" s="189" t="s">
        <v>1238</v>
      </c>
      <c r="AO3" s="189"/>
      <c r="AP3" s="189"/>
      <c r="AQ3" s="189"/>
      <c r="AR3" s="189"/>
      <c r="AS3" s="189"/>
      <c r="AT3" s="189"/>
      <c r="AU3" s="189"/>
      <c r="AV3" s="189"/>
      <c r="AW3" s="189"/>
      <c r="AX3" s="189"/>
      <c r="AY3" s="189"/>
      <c r="AZ3" s="190"/>
    </row>
    <row r="4" spans="1:52" ht="34.200000000000003" x14ac:dyDescent="0.3">
      <c r="A4" s="150" t="s">
        <v>9</v>
      </c>
      <c r="B4" s="170">
        <v>78</v>
      </c>
      <c r="C4" s="170">
        <v>62.203221619970996</v>
      </c>
      <c r="D4" s="171">
        <v>383.99877853271244</v>
      </c>
      <c r="E4" s="170">
        <v>552</v>
      </c>
      <c r="F4" s="171">
        <v>35.34620963432323</v>
      </c>
      <c r="G4" s="172">
        <v>48.782349797694479</v>
      </c>
      <c r="H4" s="173">
        <v>38649</v>
      </c>
      <c r="I4" s="174">
        <v>596228.71974959911</v>
      </c>
      <c r="J4" s="172">
        <v>138.71287884571339</v>
      </c>
      <c r="K4" s="173">
        <v>45.013745704467354</v>
      </c>
      <c r="M4" s="224" t="s">
        <v>1219</v>
      </c>
      <c r="N4" s="225">
        <v>4.5425085757247144E-2</v>
      </c>
      <c r="O4" s="225">
        <v>1</v>
      </c>
      <c r="P4" s="225">
        <v>9.3586903896917834E-3</v>
      </c>
      <c r="Q4" s="225">
        <v>-8.9249203151608975E-2</v>
      </c>
      <c r="R4" s="225">
        <v>5.3655059084697122E-2</v>
      </c>
      <c r="S4" s="225">
        <v>0.12233752318904434</v>
      </c>
      <c r="T4" s="225">
        <v>0.15422300475481979</v>
      </c>
      <c r="U4" s="225">
        <v>0.2383930066543252</v>
      </c>
      <c r="V4" s="225">
        <v>0.29827049073500383</v>
      </c>
      <c r="W4" s="226">
        <v>-0.23319483097773164</v>
      </c>
      <c r="Y4" s="186" t="s">
        <v>9</v>
      </c>
      <c r="Z4" s="173">
        <v>38649</v>
      </c>
      <c r="AA4" s="172">
        <v>138.71287884571339</v>
      </c>
      <c r="AN4" s="219" t="s">
        <v>1237</v>
      </c>
      <c r="AO4" s="219"/>
      <c r="AP4" s="191" t="s">
        <v>1218</v>
      </c>
      <c r="AQ4" s="192" t="s">
        <v>1219</v>
      </c>
      <c r="AR4" s="192" t="s">
        <v>1220</v>
      </c>
      <c r="AS4" s="192" t="s">
        <v>1221</v>
      </c>
      <c r="AT4" s="192" t="s">
        <v>1222</v>
      </c>
      <c r="AU4" s="192" t="s">
        <v>1223</v>
      </c>
      <c r="AV4" s="192" t="s">
        <v>1224</v>
      </c>
      <c r="AW4" s="192" t="s">
        <v>1225</v>
      </c>
      <c r="AX4" s="192" t="s">
        <v>1226</v>
      </c>
      <c r="AY4" s="193" t="s">
        <v>1227</v>
      </c>
      <c r="AZ4" s="190"/>
    </row>
    <row r="5" spans="1:52" ht="34.200000000000003" x14ac:dyDescent="0.3">
      <c r="A5" s="150" t="s">
        <v>12</v>
      </c>
      <c r="B5" s="170">
        <v>228</v>
      </c>
      <c r="C5" s="170">
        <v>22.961203483768806</v>
      </c>
      <c r="D5" s="171">
        <v>342.2187032638339</v>
      </c>
      <c r="E5" s="170">
        <v>480</v>
      </c>
      <c r="F5" s="171">
        <v>30.526964018650482</v>
      </c>
      <c r="G5" s="172">
        <v>50.65540599982404</v>
      </c>
      <c r="H5" s="173">
        <v>45087</v>
      </c>
      <c r="I5" s="174">
        <v>606140.58238761325</v>
      </c>
      <c r="J5" s="172">
        <v>164.55529163367643</v>
      </c>
      <c r="K5" s="173">
        <v>43.551724137931032</v>
      </c>
      <c r="M5" s="224" t="s">
        <v>1220</v>
      </c>
      <c r="N5" s="225">
        <v>0.16688455181537654</v>
      </c>
      <c r="O5" s="225">
        <v>9.3586903896917834E-3</v>
      </c>
      <c r="P5" s="225">
        <v>1</v>
      </c>
      <c r="Q5" s="225">
        <v>0.28952369627432689</v>
      </c>
      <c r="R5" s="225">
        <v>0.33551732169828957</v>
      </c>
      <c r="S5" s="225">
        <v>3.6676762189728526E-2</v>
      </c>
      <c r="T5" s="225">
        <v>9.4153527422004418E-2</v>
      </c>
      <c r="U5" s="225">
        <v>3.8479075013236788E-2</v>
      </c>
      <c r="V5" s="225">
        <v>2.1276342412568115E-2</v>
      </c>
      <c r="W5" s="226">
        <v>-0.41733159643161988</v>
      </c>
      <c r="Y5" s="186" t="s">
        <v>12</v>
      </c>
      <c r="Z5" s="173">
        <v>45087</v>
      </c>
      <c r="AA5" s="172">
        <v>164.55529163367643</v>
      </c>
      <c r="AN5" s="220" t="s">
        <v>1218</v>
      </c>
      <c r="AO5" s="194" t="s">
        <v>1239</v>
      </c>
      <c r="AP5" s="195">
        <v>1</v>
      </c>
      <c r="AQ5" s="196">
        <v>4.5425085757247151E-2</v>
      </c>
      <c r="AR5" s="196">
        <v>0.16688455181537656</v>
      </c>
      <c r="AS5" s="196">
        <v>0.15590562981477429</v>
      </c>
      <c r="AT5" s="196">
        <v>5.8248997807752195E-2</v>
      </c>
      <c r="AU5" s="196">
        <v>-0.10515134620066095</v>
      </c>
      <c r="AV5" s="196">
        <v>-0.18187734021321572</v>
      </c>
      <c r="AW5" s="196">
        <v>-0.12593098204873784</v>
      </c>
      <c r="AX5" s="197" t="s">
        <v>1244</v>
      </c>
      <c r="AY5" s="198" t="s">
        <v>1245</v>
      </c>
      <c r="AZ5" s="190"/>
    </row>
    <row r="6" spans="1:52" ht="34.200000000000003" x14ac:dyDescent="0.3">
      <c r="A6" s="150" t="s">
        <v>13</v>
      </c>
      <c r="B6" s="170">
        <v>350</v>
      </c>
      <c r="C6" s="170">
        <v>33.072083011369905</v>
      </c>
      <c r="D6" s="171">
        <v>428.30334474003757</v>
      </c>
      <c r="E6" s="170">
        <v>321</v>
      </c>
      <c r="F6" s="171">
        <v>28.038414836074619</v>
      </c>
      <c r="G6" s="172">
        <v>46.60558560547522</v>
      </c>
      <c r="H6" s="173">
        <v>41108</v>
      </c>
      <c r="I6" s="174">
        <v>401810.35434374656</v>
      </c>
      <c r="J6" s="172">
        <v>74.511535489568388</v>
      </c>
      <c r="K6" s="173">
        <v>42.331775700934578</v>
      </c>
      <c r="M6" s="224" t="s">
        <v>1221</v>
      </c>
      <c r="N6" s="225">
        <v>0.15590562981477429</v>
      </c>
      <c r="O6" s="225">
        <v>-8.9249203151608975E-2</v>
      </c>
      <c r="P6" s="225">
        <v>0.28952369627432689</v>
      </c>
      <c r="Q6" s="225">
        <v>1</v>
      </c>
      <c r="R6" s="225">
        <v>-0.10668690521945334</v>
      </c>
      <c r="S6" s="225">
        <v>6.4060228563099491E-3</v>
      </c>
      <c r="T6" s="225">
        <v>-5.0368098777297463E-2</v>
      </c>
      <c r="U6" s="225">
        <v>-7.0596949802437844E-2</v>
      </c>
      <c r="V6" s="225">
        <v>-0.16471314107208906</v>
      </c>
      <c r="W6" s="226">
        <v>-0.16439734318992186</v>
      </c>
      <c r="Y6" s="186" t="s">
        <v>13</v>
      </c>
      <c r="Z6" s="173">
        <v>41108</v>
      </c>
      <c r="AA6" s="172">
        <v>74.511535489568388</v>
      </c>
      <c r="AN6" s="199"/>
      <c r="AO6" s="199" t="s">
        <v>1240</v>
      </c>
      <c r="AP6" s="200"/>
      <c r="AQ6" s="201">
        <v>0.69098633592505598</v>
      </c>
      <c r="AR6" s="201">
        <v>0.1415644954580873</v>
      </c>
      <c r="AS6" s="201">
        <v>0.17005151086326195</v>
      </c>
      <c r="AT6" s="201">
        <v>0.61011485152627865</v>
      </c>
      <c r="AU6" s="201">
        <v>0.35638834495060279</v>
      </c>
      <c r="AV6" s="201">
        <v>0.10866877783390995</v>
      </c>
      <c r="AW6" s="201">
        <v>0.26878381330649681</v>
      </c>
      <c r="AX6" s="201">
        <v>1.7205108917305322E-2</v>
      </c>
      <c r="AY6" s="202">
        <v>4.6999104688504392E-2</v>
      </c>
      <c r="AZ6" s="190"/>
    </row>
    <row r="7" spans="1:52" ht="22.8" x14ac:dyDescent="0.3">
      <c r="A7" s="150" t="s">
        <v>14</v>
      </c>
      <c r="B7" s="170">
        <v>205</v>
      </c>
      <c r="C7" s="170">
        <v>41.838262822912768</v>
      </c>
      <c r="D7" s="171">
        <v>535.38000748783224</v>
      </c>
      <c r="E7" s="170">
        <v>622</v>
      </c>
      <c r="F7" s="171">
        <v>25.271433919880192</v>
      </c>
      <c r="G7" s="172">
        <v>50.252714339198803</v>
      </c>
      <c r="H7" s="173">
        <v>44564</v>
      </c>
      <c r="I7" s="174">
        <v>649569.44964432798</v>
      </c>
      <c r="J7" s="172">
        <v>117.65256458255334</v>
      </c>
      <c r="K7" s="173">
        <v>35.852348993288594</v>
      </c>
      <c r="M7" s="224" t="s">
        <v>1222</v>
      </c>
      <c r="N7" s="225">
        <v>5.8248997807752195E-2</v>
      </c>
      <c r="O7" s="225">
        <v>5.3655059084697122E-2</v>
      </c>
      <c r="P7" s="225">
        <v>0.33551732169828957</v>
      </c>
      <c r="Q7" s="225">
        <v>-0.10668690521945334</v>
      </c>
      <c r="R7" s="225">
        <v>1</v>
      </c>
      <c r="S7" s="225">
        <v>0.40578451078740169</v>
      </c>
      <c r="T7" s="225">
        <v>0.41441167087410402</v>
      </c>
      <c r="U7" s="225">
        <v>0.36624933701224838</v>
      </c>
      <c r="V7" s="225">
        <v>0.4274276974703381</v>
      </c>
      <c r="W7" s="226">
        <v>-0.41768256193863545</v>
      </c>
      <c r="Y7" s="186" t="s">
        <v>14</v>
      </c>
      <c r="Z7" s="173">
        <v>44564</v>
      </c>
      <c r="AA7" s="172">
        <v>117.65256458255334</v>
      </c>
      <c r="AN7" s="203"/>
      <c r="AO7" s="203" t="s">
        <v>1241</v>
      </c>
      <c r="AP7" s="204">
        <v>79</v>
      </c>
      <c r="AQ7" s="205">
        <v>79</v>
      </c>
      <c r="AR7" s="205">
        <v>79</v>
      </c>
      <c r="AS7" s="205">
        <v>79</v>
      </c>
      <c r="AT7" s="205">
        <v>79</v>
      </c>
      <c r="AU7" s="205">
        <v>79</v>
      </c>
      <c r="AV7" s="205">
        <v>79</v>
      </c>
      <c r="AW7" s="205">
        <v>79</v>
      </c>
      <c r="AX7" s="205">
        <v>79</v>
      </c>
      <c r="AY7" s="206">
        <v>79</v>
      </c>
      <c r="AZ7" s="190"/>
    </row>
    <row r="8" spans="1:52" ht="34.200000000000003" x14ac:dyDescent="0.3">
      <c r="A8" s="150" t="s">
        <v>16</v>
      </c>
      <c r="B8" s="170">
        <v>257</v>
      </c>
      <c r="C8" s="170">
        <v>63.782447466007433</v>
      </c>
      <c r="D8" s="171">
        <v>762.84654776620175</v>
      </c>
      <c r="E8" s="170">
        <v>386</v>
      </c>
      <c r="F8" s="171">
        <v>44.32279710400848</v>
      </c>
      <c r="G8" s="172">
        <v>45.435281652834192</v>
      </c>
      <c r="H8" s="173">
        <v>43668</v>
      </c>
      <c r="I8" s="174">
        <v>487374.18329507328</v>
      </c>
      <c r="J8" s="172">
        <v>84.584142680558017</v>
      </c>
      <c r="K8" s="173">
        <v>9.4069767441860446</v>
      </c>
      <c r="M8" s="224" t="s">
        <v>1223</v>
      </c>
      <c r="N8" s="225">
        <v>-0.10515134620066095</v>
      </c>
      <c r="O8" s="225">
        <v>0.12233752318904434</v>
      </c>
      <c r="P8" s="225">
        <v>3.6676762189728526E-2</v>
      </c>
      <c r="Q8" s="225">
        <v>6.4060228563099491E-3</v>
      </c>
      <c r="R8" s="225">
        <v>0.40578451078740169</v>
      </c>
      <c r="S8" s="225">
        <v>1</v>
      </c>
      <c r="T8" s="225">
        <v>0.70164516031019741</v>
      </c>
      <c r="U8" s="225">
        <v>0.71892243750280072</v>
      </c>
      <c r="V8" s="225">
        <v>0.66436818757103433</v>
      </c>
      <c r="W8" s="226">
        <v>-0.2235694856645549</v>
      </c>
      <c r="Y8" s="186" t="s">
        <v>16</v>
      </c>
      <c r="Z8" s="173">
        <v>43668</v>
      </c>
      <c r="AA8" s="172">
        <v>84.584142680558017</v>
      </c>
      <c r="AN8" s="203" t="s">
        <v>1219</v>
      </c>
      <c r="AO8" s="199" t="s">
        <v>1239</v>
      </c>
      <c r="AP8" s="207">
        <v>4.5425085757247151E-2</v>
      </c>
      <c r="AQ8" s="208">
        <v>1</v>
      </c>
      <c r="AR8" s="201">
        <v>9.3586903896917869E-3</v>
      </c>
      <c r="AS8" s="201">
        <v>-8.9249203151608975E-2</v>
      </c>
      <c r="AT8" s="201">
        <v>5.3655059084697122E-2</v>
      </c>
      <c r="AU8" s="201">
        <v>0.12233752318904438</v>
      </c>
      <c r="AV8" s="201">
        <v>0.15422300475481976</v>
      </c>
      <c r="AW8" s="209" t="s">
        <v>1246</v>
      </c>
      <c r="AX8" s="209" t="s">
        <v>1247</v>
      </c>
      <c r="AY8" s="210" t="s">
        <v>1248</v>
      </c>
      <c r="AZ8" s="190"/>
    </row>
    <row r="9" spans="1:52" ht="34.200000000000003" x14ac:dyDescent="0.3">
      <c r="A9" s="150" t="s">
        <v>18</v>
      </c>
      <c r="B9" s="170">
        <v>234</v>
      </c>
      <c r="C9" s="170">
        <v>25.450089546611366</v>
      </c>
      <c r="D9" s="171">
        <v>503.34621547742478</v>
      </c>
      <c r="E9" s="170">
        <v>394</v>
      </c>
      <c r="F9" s="171">
        <v>27.335281364878874</v>
      </c>
      <c r="G9" s="172">
        <v>47.374870393062487</v>
      </c>
      <c r="H9" s="173">
        <v>43719</v>
      </c>
      <c r="I9" s="174">
        <v>627768.8754830804</v>
      </c>
      <c r="J9" s="172">
        <v>217.92817419172397</v>
      </c>
      <c r="K9" s="173">
        <v>35.363333333333337</v>
      </c>
      <c r="M9" s="224" t="s">
        <v>1224</v>
      </c>
      <c r="N9" s="225">
        <v>-0.18187734021321569</v>
      </c>
      <c r="O9" s="225">
        <v>0.15422300475481979</v>
      </c>
      <c r="P9" s="225">
        <v>9.4153527422004418E-2</v>
      </c>
      <c r="Q9" s="225">
        <v>-5.0368098777297463E-2</v>
      </c>
      <c r="R9" s="225">
        <v>0.41441167087410402</v>
      </c>
      <c r="S9" s="225">
        <v>0.70164516031019741</v>
      </c>
      <c r="T9" s="225">
        <v>1</v>
      </c>
      <c r="U9" s="225">
        <v>0.76230417061527256</v>
      </c>
      <c r="V9" s="225">
        <v>0.85122253277853588</v>
      </c>
      <c r="W9" s="226">
        <v>-0.2020202449980992</v>
      </c>
      <c r="Y9" s="186" t="s">
        <v>18</v>
      </c>
      <c r="Z9" s="173">
        <v>43719</v>
      </c>
      <c r="AA9" s="172">
        <v>217.92817419172397</v>
      </c>
      <c r="AN9" s="199"/>
      <c r="AO9" s="199" t="s">
        <v>1240</v>
      </c>
      <c r="AP9" s="207">
        <v>0.69098633592505598</v>
      </c>
      <c r="AQ9" s="211"/>
      <c r="AR9" s="201">
        <v>0.93475980945698134</v>
      </c>
      <c r="AS9" s="201">
        <v>0.4341070399984629</v>
      </c>
      <c r="AT9" s="201">
        <v>0.63861669350118777</v>
      </c>
      <c r="AU9" s="201">
        <v>0.28279194670222108</v>
      </c>
      <c r="AV9" s="201">
        <v>0.17476545166902663</v>
      </c>
      <c r="AW9" s="201">
        <v>3.4368932640542853E-2</v>
      </c>
      <c r="AX9" s="201">
        <v>7.5874684980456342E-3</v>
      </c>
      <c r="AY9" s="202">
        <v>3.8616348274477914E-2</v>
      </c>
      <c r="AZ9" s="190"/>
    </row>
    <row r="10" spans="1:52" ht="22.8" x14ac:dyDescent="0.3">
      <c r="A10" s="150" t="s">
        <v>19</v>
      </c>
      <c r="B10" s="170">
        <v>200</v>
      </c>
      <c r="C10" s="170">
        <v>47.299113141628602</v>
      </c>
      <c r="D10" s="171">
        <v>443.42918570276805</v>
      </c>
      <c r="E10" s="170">
        <v>132</v>
      </c>
      <c r="F10" s="171">
        <v>39.236764310669173</v>
      </c>
      <c r="G10" s="172">
        <v>50.676341485263819</v>
      </c>
      <c r="H10" s="173">
        <v>45458</v>
      </c>
      <c r="I10" s="174">
        <v>710382.51366120216</v>
      </c>
      <c r="J10" s="172">
        <v>167.69685568395593</v>
      </c>
      <c r="K10" s="173">
        <v>46.512499999999996</v>
      </c>
      <c r="M10" s="224" t="s">
        <v>1225</v>
      </c>
      <c r="N10" s="225">
        <v>-0.12593098204873787</v>
      </c>
      <c r="O10" s="225">
        <v>0.2383930066543252</v>
      </c>
      <c r="P10" s="225">
        <v>3.8479075013236788E-2</v>
      </c>
      <c r="Q10" s="225">
        <v>-7.0596949802437844E-2</v>
      </c>
      <c r="R10" s="225">
        <v>0.36624933701224838</v>
      </c>
      <c r="S10" s="225">
        <v>0.71892243750280072</v>
      </c>
      <c r="T10" s="225">
        <v>0.76230417061527256</v>
      </c>
      <c r="U10" s="225">
        <v>1</v>
      </c>
      <c r="V10" s="225">
        <v>0.79037755759736572</v>
      </c>
      <c r="W10" s="226">
        <v>-0.30803358017513705</v>
      </c>
      <c r="Y10" s="186" t="s">
        <v>19</v>
      </c>
      <c r="Z10" s="173">
        <v>45458</v>
      </c>
      <c r="AA10" s="172">
        <v>167.69685568395593</v>
      </c>
      <c r="AN10" s="203"/>
      <c r="AO10" s="203" t="s">
        <v>1241</v>
      </c>
      <c r="AP10" s="204">
        <v>79</v>
      </c>
      <c r="AQ10" s="205">
        <v>79</v>
      </c>
      <c r="AR10" s="205">
        <v>79</v>
      </c>
      <c r="AS10" s="205">
        <v>79</v>
      </c>
      <c r="AT10" s="205">
        <v>79</v>
      </c>
      <c r="AU10" s="205">
        <v>79</v>
      </c>
      <c r="AV10" s="205">
        <v>79</v>
      </c>
      <c r="AW10" s="205">
        <v>79</v>
      </c>
      <c r="AX10" s="205">
        <v>79</v>
      </c>
      <c r="AY10" s="206">
        <v>79</v>
      </c>
      <c r="AZ10" s="190"/>
    </row>
    <row r="11" spans="1:52" ht="34.200000000000003" x14ac:dyDescent="0.3">
      <c r="A11" s="150" t="s">
        <v>20</v>
      </c>
      <c r="B11" s="170">
        <v>104</v>
      </c>
      <c r="C11" s="170">
        <v>60.423288985470393</v>
      </c>
      <c r="D11" s="171">
        <v>171.65050339255373</v>
      </c>
      <c r="E11" s="170">
        <v>198</v>
      </c>
      <c r="F11" s="171">
        <v>12.113786367366755</v>
      </c>
      <c r="G11" s="172">
        <v>46.141042386693336</v>
      </c>
      <c r="H11" s="173">
        <v>64870</v>
      </c>
      <c r="I11" s="174">
        <v>892467.02807670529</v>
      </c>
      <c r="J11" s="172">
        <v>184.19197114884469</v>
      </c>
      <c r="K11" s="173">
        <v>195.28893905191873</v>
      </c>
      <c r="M11" s="224" t="s">
        <v>1226</v>
      </c>
      <c r="N11" s="225">
        <v>-0.26739107740988693</v>
      </c>
      <c r="O11" s="225">
        <v>0.29827049073500383</v>
      </c>
      <c r="P11" s="225">
        <v>2.1276342412568115E-2</v>
      </c>
      <c r="Q11" s="225">
        <v>-0.16471314107208906</v>
      </c>
      <c r="R11" s="225">
        <v>0.4274276974703381</v>
      </c>
      <c r="S11" s="225">
        <v>0.66436818757103433</v>
      </c>
      <c r="T11" s="225">
        <v>0.85122253277853588</v>
      </c>
      <c r="U11" s="225">
        <v>0.79037755759736572</v>
      </c>
      <c r="V11" s="225">
        <v>1</v>
      </c>
      <c r="W11" s="226">
        <v>-0.29885994316007453</v>
      </c>
      <c r="Y11" s="186" t="s">
        <v>20</v>
      </c>
      <c r="Z11" s="173">
        <v>64870</v>
      </c>
      <c r="AA11" s="172">
        <v>184.19197114884469</v>
      </c>
      <c r="AN11" s="203" t="s">
        <v>1220</v>
      </c>
      <c r="AO11" s="199" t="s">
        <v>1239</v>
      </c>
      <c r="AP11" s="207">
        <v>0.16688455181537656</v>
      </c>
      <c r="AQ11" s="201">
        <v>9.3586903896917869E-3</v>
      </c>
      <c r="AR11" s="208">
        <v>1</v>
      </c>
      <c r="AS11" s="209" t="s">
        <v>1249</v>
      </c>
      <c r="AT11" s="209" t="s">
        <v>1250</v>
      </c>
      <c r="AU11" s="201">
        <v>3.6676762189728533E-2</v>
      </c>
      <c r="AV11" s="201">
        <v>9.4153527422004432E-2</v>
      </c>
      <c r="AW11" s="201">
        <v>3.8479075013236795E-2</v>
      </c>
      <c r="AX11" s="201">
        <v>2.1276342412568112E-2</v>
      </c>
      <c r="AY11" s="210" t="s">
        <v>1251</v>
      </c>
      <c r="AZ11" s="190"/>
    </row>
    <row r="12" spans="1:52" ht="34.200000000000003" x14ac:dyDescent="0.3">
      <c r="A12" s="150" t="s">
        <v>21</v>
      </c>
      <c r="B12" s="170">
        <v>327</v>
      </c>
      <c r="C12" s="170">
        <v>10.700361010830326</v>
      </c>
      <c r="D12" s="171">
        <v>405.77617328519852</v>
      </c>
      <c r="E12" s="170">
        <v>188</v>
      </c>
      <c r="F12" s="171">
        <v>34.223826714801447</v>
      </c>
      <c r="G12" s="172">
        <v>43.537906137184116</v>
      </c>
      <c r="H12" s="173">
        <v>43730</v>
      </c>
      <c r="I12" s="174">
        <v>534296.02888086648</v>
      </c>
      <c r="J12" s="172">
        <v>84.332129963898907</v>
      </c>
      <c r="K12" s="173">
        <v>28.036437246963562</v>
      </c>
      <c r="M12" s="224" t="s">
        <v>1227</v>
      </c>
      <c r="N12" s="225">
        <v>-0.22419707811294867</v>
      </c>
      <c r="O12" s="225">
        <v>-0.23319483097773164</v>
      </c>
      <c r="P12" s="225">
        <v>-0.41733159643161988</v>
      </c>
      <c r="Q12" s="225">
        <v>-0.16439734318992186</v>
      </c>
      <c r="R12" s="225">
        <v>-0.41768256193863545</v>
      </c>
      <c r="S12" s="225">
        <v>-0.2235694856645549</v>
      </c>
      <c r="T12" s="225">
        <v>-0.2020202449980992</v>
      </c>
      <c r="U12" s="225">
        <v>-0.30803358017513705</v>
      </c>
      <c r="V12" s="225">
        <v>-0.29885994316007453</v>
      </c>
      <c r="W12" s="226">
        <v>1</v>
      </c>
      <c r="Y12" s="186" t="s">
        <v>21</v>
      </c>
      <c r="Z12" s="173">
        <v>43730</v>
      </c>
      <c r="AA12" s="172">
        <v>84.332129963898907</v>
      </c>
      <c r="AN12" s="199"/>
      <c r="AO12" s="199" t="s">
        <v>1240</v>
      </c>
      <c r="AP12" s="207">
        <v>0.1415644954580873</v>
      </c>
      <c r="AQ12" s="201">
        <v>0.93475980945698134</v>
      </c>
      <c r="AR12" s="211"/>
      <c r="AS12" s="201">
        <v>9.653251484632773E-3</v>
      </c>
      <c r="AT12" s="201">
        <v>2.5048988472042128E-3</v>
      </c>
      <c r="AU12" s="201">
        <v>0.74828453873247347</v>
      </c>
      <c r="AV12" s="201">
        <v>0.40917192589553064</v>
      </c>
      <c r="AW12" s="201">
        <v>0.73635598319764095</v>
      </c>
      <c r="AX12" s="201">
        <v>0.85235452474309481</v>
      </c>
      <c r="AY12" s="202">
        <v>1.3005690643491387E-4</v>
      </c>
      <c r="AZ12" s="190"/>
    </row>
    <row r="13" spans="1:52" ht="22.8" x14ac:dyDescent="0.3">
      <c r="A13" s="150" t="s">
        <v>22</v>
      </c>
      <c r="B13" s="170">
        <v>264</v>
      </c>
      <c r="C13" s="170">
        <v>47.569765292921829</v>
      </c>
      <c r="D13" s="171">
        <v>502.67972648309001</v>
      </c>
      <c r="E13" s="170">
        <v>408</v>
      </c>
      <c r="F13" s="171">
        <v>19.127702827573462</v>
      </c>
      <c r="G13" s="172">
        <v>46.174459434485307</v>
      </c>
      <c r="H13" s="173">
        <v>39905</v>
      </c>
      <c r="I13" s="174">
        <v>571982.9975974866</v>
      </c>
      <c r="J13" s="172">
        <v>93.605618185178329</v>
      </c>
      <c r="K13" s="173">
        <v>27.328282828282827</v>
      </c>
      <c r="Y13" s="186" t="s">
        <v>22</v>
      </c>
      <c r="Z13" s="173">
        <v>39905</v>
      </c>
      <c r="AA13" s="172">
        <v>93.605618185178329</v>
      </c>
      <c r="AN13" s="203"/>
      <c r="AO13" s="203" t="s">
        <v>1241</v>
      </c>
      <c r="AP13" s="204">
        <v>79</v>
      </c>
      <c r="AQ13" s="205">
        <v>79</v>
      </c>
      <c r="AR13" s="205">
        <v>79</v>
      </c>
      <c r="AS13" s="205">
        <v>79</v>
      </c>
      <c r="AT13" s="205">
        <v>79</v>
      </c>
      <c r="AU13" s="205">
        <v>79</v>
      </c>
      <c r="AV13" s="205">
        <v>79</v>
      </c>
      <c r="AW13" s="205">
        <v>79</v>
      </c>
      <c r="AX13" s="205">
        <v>79</v>
      </c>
      <c r="AY13" s="206">
        <v>79</v>
      </c>
      <c r="AZ13" s="190"/>
    </row>
    <row r="14" spans="1:52" ht="34.200000000000003" x14ac:dyDescent="0.3">
      <c r="A14" s="150" t="s">
        <v>23</v>
      </c>
      <c r="B14" s="170">
        <v>169</v>
      </c>
      <c r="C14" s="170">
        <v>138.33333333333331</v>
      </c>
      <c r="D14" s="171">
        <v>512.73148148148152</v>
      </c>
      <c r="E14" s="170">
        <v>2592</v>
      </c>
      <c r="F14" s="171">
        <v>16.203703703703702</v>
      </c>
      <c r="G14" s="172">
        <v>47.407407407407412</v>
      </c>
      <c r="H14" s="173">
        <v>42734</v>
      </c>
      <c r="I14" s="174">
        <v>559027.77777777787</v>
      </c>
      <c r="J14" s="172">
        <v>109.49074074074073</v>
      </c>
      <c r="K14" s="173">
        <v>17.349397590361448</v>
      </c>
      <c r="Y14" s="186" t="s">
        <v>23</v>
      </c>
      <c r="Z14" s="173">
        <v>42734</v>
      </c>
      <c r="AA14" s="172">
        <v>109.49074074074073</v>
      </c>
      <c r="AN14" s="203" t="s">
        <v>1221</v>
      </c>
      <c r="AO14" s="199" t="s">
        <v>1239</v>
      </c>
      <c r="AP14" s="207">
        <v>0.15590562981477429</v>
      </c>
      <c r="AQ14" s="201">
        <v>-8.9249203151608975E-2</v>
      </c>
      <c r="AR14" s="209" t="s">
        <v>1249</v>
      </c>
      <c r="AS14" s="208">
        <v>1</v>
      </c>
      <c r="AT14" s="201">
        <v>-0.10668690521945334</v>
      </c>
      <c r="AU14" s="201">
        <v>6.4060228563099508E-3</v>
      </c>
      <c r="AV14" s="201">
        <v>-5.0368098777297469E-2</v>
      </c>
      <c r="AW14" s="201">
        <v>-7.0596949802437831E-2</v>
      </c>
      <c r="AX14" s="201">
        <v>-0.16471314107208909</v>
      </c>
      <c r="AY14" s="202">
        <v>-0.16439734318992186</v>
      </c>
      <c r="AZ14" s="190"/>
    </row>
    <row r="15" spans="1:52" ht="34.200000000000003" x14ac:dyDescent="0.3">
      <c r="A15" s="150" t="s">
        <v>24</v>
      </c>
      <c r="B15" s="170">
        <v>255</v>
      </c>
      <c r="C15" s="170">
        <v>75.760744536233403</v>
      </c>
      <c r="D15" s="171">
        <v>529.1226602530586</v>
      </c>
      <c r="E15" s="170">
        <v>154</v>
      </c>
      <c r="F15" s="171">
        <v>51.134581198368714</v>
      </c>
      <c r="G15" s="172">
        <v>48.091603053435115</v>
      </c>
      <c r="H15" s="173">
        <v>39229</v>
      </c>
      <c r="I15" s="174">
        <v>495660.35762835928</v>
      </c>
      <c r="J15" s="172">
        <v>96.622398828819414</v>
      </c>
      <c r="K15" s="173">
        <v>27.718840579710143</v>
      </c>
      <c r="Y15" s="186" t="s">
        <v>24</v>
      </c>
      <c r="Z15" s="173">
        <v>39229</v>
      </c>
      <c r="AA15" s="172">
        <v>96.622398828819414</v>
      </c>
      <c r="AN15" s="199"/>
      <c r="AO15" s="199" t="s">
        <v>1240</v>
      </c>
      <c r="AP15" s="207">
        <v>0.17005151086326195</v>
      </c>
      <c r="AQ15" s="201">
        <v>0.4341070399984629</v>
      </c>
      <c r="AR15" s="201">
        <v>9.653251484632773E-3</v>
      </c>
      <c r="AS15" s="211"/>
      <c r="AT15" s="201">
        <v>0.34936897902837938</v>
      </c>
      <c r="AU15" s="201">
        <v>0.95531711911774553</v>
      </c>
      <c r="AV15" s="201">
        <v>0.65933915355986827</v>
      </c>
      <c r="AW15" s="201">
        <v>0.53641054722686388</v>
      </c>
      <c r="AX15" s="201">
        <v>0.14689250103043491</v>
      </c>
      <c r="AY15" s="202">
        <v>0.14767973442740165</v>
      </c>
      <c r="AZ15" s="190"/>
    </row>
    <row r="16" spans="1:52" ht="22.8" x14ac:dyDescent="0.3">
      <c r="A16" s="150" t="s">
        <v>25</v>
      </c>
      <c r="B16" s="170">
        <v>350</v>
      </c>
      <c r="C16" s="170">
        <v>119.31316162373926</v>
      </c>
      <c r="D16" s="171">
        <v>465.94982078853042</v>
      </c>
      <c r="E16" s="170">
        <v>307</v>
      </c>
      <c r="F16" s="171">
        <v>46.261565391347837</v>
      </c>
      <c r="G16" s="172">
        <v>48.195382178878056</v>
      </c>
      <c r="H16" s="173">
        <v>41274</v>
      </c>
      <c r="I16" s="174">
        <v>524297.74110194214</v>
      </c>
      <c r="J16" s="172">
        <v>117.69609068933899</v>
      </c>
      <c r="K16" s="173">
        <v>14.248218527315915</v>
      </c>
      <c r="Y16" s="186" t="s">
        <v>25</v>
      </c>
      <c r="Z16" s="173">
        <v>41274</v>
      </c>
      <c r="AA16" s="172">
        <v>117.69609068933899</v>
      </c>
      <c r="AN16" s="203"/>
      <c r="AO16" s="203" t="s">
        <v>1241</v>
      </c>
      <c r="AP16" s="204">
        <v>79</v>
      </c>
      <c r="AQ16" s="205">
        <v>79</v>
      </c>
      <c r="AR16" s="205">
        <v>79</v>
      </c>
      <c r="AS16" s="205">
        <v>79</v>
      </c>
      <c r="AT16" s="205">
        <v>79</v>
      </c>
      <c r="AU16" s="205">
        <v>79</v>
      </c>
      <c r="AV16" s="205">
        <v>79</v>
      </c>
      <c r="AW16" s="205">
        <v>79</v>
      </c>
      <c r="AX16" s="205">
        <v>79</v>
      </c>
      <c r="AY16" s="206">
        <v>79</v>
      </c>
      <c r="AZ16" s="190"/>
    </row>
    <row r="17" spans="1:52" ht="34.200000000000003" x14ac:dyDescent="0.3">
      <c r="A17" s="150" t="s">
        <v>26</v>
      </c>
      <c r="B17" s="170">
        <v>237</v>
      </c>
      <c r="C17" s="170">
        <v>29.698864795051321</v>
      </c>
      <c r="D17" s="171">
        <v>307.25307592957654</v>
      </c>
      <c r="E17" s="170">
        <v>191</v>
      </c>
      <c r="F17" s="171">
        <v>21.276595744680854</v>
      </c>
      <c r="G17" s="172">
        <v>50.050982258174159</v>
      </c>
      <c r="H17" s="173">
        <v>42375</v>
      </c>
      <c r="I17" s="174">
        <v>682482.49609136023</v>
      </c>
      <c r="J17" s="172">
        <v>159.81238528991912</v>
      </c>
      <c r="K17" s="173">
        <v>57.24124513618677</v>
      </c>
      <c r="Y17" s="186" t="s">
        <v>26</v>
      </c>
      <c r="Z17" s="173">
        <v>42375</v>
      </c>
      <c r="AA17" s="172">
        <v>159.81238528991912</v>
      </c>
      <c r="AN17" s="203" t="s">
        <v>1222</v>
      </c>
      <c r="AO17" s="199" t="s">
        <v>1239</v>
      </c>
      <c r="AP17" s="207">
        <v>5.8248997807752195E-2</v>
      </c>
      <c r="AQ17" s="201">
        <v>5.3655059084697122E-2</v>
      </c>
      <c r="AR17" s="209" t="s">
        <v>1250</v>
      </c>
      <c r="AS17" s="201">
        <v>-0.10668690521945334</v>
      </c>
      <c r="AT17" s="208">
        <v>1</v>
      </c>
      <c r="AU17" s="209" t="s">
        <v>1252</v>
      </c>
      <c r="AV17" s="209" t="s">
        <v>1253</v>
      </c>
      <c r="AW17" s="209" t="s">
        <v>1254</v>
      </c>
      <c r="AX17" s="209" t="s">
        <v>1255</v>
      </c>
      <c r="AY17" s="210" t="s">
        <v>1256</v>
      </c>
      <c r="AZ17" s="190"/>
    </row>
    <row r="18" spans="1:52" ht="34.200000000000003" x14ac:dyDescent="0.3">
      <c r="A18" s="150" t="s">
        <v>28</v>
      </c>
      <c r="B18" s="170">
        <v>287</v>
      </c>
      <c r="C18" s="170">
        <v>24.385314920848774</v>
      </c>
      <c r="D18" s="171">
        <v>379.75749410575952</v>
      </c>
      <c r="E18" s="170">
        <v>509</v>
      </c>
      <c r="F18" s="171">
        <v>38.733580330077466</v>
      </c>
      <c r="G18" s="172">
        <v>50.412596833950829</v>
      </c>
      <c r="H18" s="173">
        <v>46684</v>
      </c>
      <c r="I18" s="174">
        <v>629841.69754125969</v>
      </c>
      <c r="J18" s="172">
        <v>114.34826540922872</v>
      </c>
      <c r="K18" s="173">
        <v>32.806629834254139</v>
      </c>
      <c r="Y18" s="186" t="s">
        <v>28</v>
      </c>
      <c r="Z18" s="173">
        <v>46684</v>
      </c>
      <c r="AA18" s="172">
        <v>114.34826540922872</v>
      </c>
      <c r="AN18" s="199"/>
      <c r="AO18" s="199" t="s">
        <v>1240</v>
      </c>
      <c r="AP18" s="207">
        <v>0.61011485152627865</v>
      </c>
      <c r="AQ18" s="201">
        <v>0.63861669350118777</v>
      </c>
      <c r="AR18" s="201">
        <v>2.5048988472042128E-3</v>
      </c>
      <c r="AS18" s="201">
        <v>0.34936897902837938</v>
      </c>
      <c r="AT18" s="211"/>
      <c r="AU18" s="201">
        <v>2.0712154238086488E-4</v>
      </c>
      <c r="AV18" s="201">
        <v>1.4653107185345519E-4</v>
      </c>
      <c r="AW18" s="201">
        <v>9.0162025633446852E-4</v>
      </c>
      <c r="AX18" s="201">
        <v>8.5378167243258625E-5</v>
      </c>
      <c r="AY18" s="202">
        <v>1.2819636830453115E-4</v>
      </c>
      <c r="AZ18" s="190"/>
    </row>
    <row r="19" spans="1:52" ht="22.8" x14ac:dyDescent="0.3">
      <c r="A19" s="150" t="s">
        <v>36</v>
      </c>
      <c r="B19" s="170">
        <v>375</v>
      </c>
      <c r="C19" s="170">
        <v>103.35941973659095</v>
      </c>
      <c r="D19" s="171">
        <v>318.76312273334605</v>
      </c>
      <c r="E19" s="170">
        <v>564</v>
      </c>
      <c r="F19" s="171">
        <v>8.5894254628745941</v>
      </c>
      <c r="G19" s="172">
        <v>44.874976140484826</v>
      </c>
      <c r="H19" s="173">
        <v>53068</v>
      </c>
      <c r="I19" s="174">
        <v>746325.63466310361</v>
      </c>
      <c r="J19" s="172">
        <v>197.74766176751288</v>
      </c>
      <c r="K19" s="173">
        <v>2.9024930747922437</v>
      </c>
      <c r="Y19" s="186" t="s">
        <v>36</v>
      </c>
      <c r="Z19" s="173">
        <v>53068</v>
      </c>
      <c r="AA19" s="172">
        <v>197.74766176751288</v>
      </c>
      <c r="AN19" s="203"/>
      <c r="AO19" s="203" t="s">
        <v>1241</v>
      </c>
      <c r="AP19" s="204">
        <v>79</v>
      </c>
      <c r="AQ19" s="205">
        <v>79</v>
      </c>
      <c r="AR19" s="205">
        <v>79</v>
      </c>
      <c r="AS19" s="205">
        <v>79</v>
      </c>
      <c r="AT19" s="205">
        <v>79</v>
      </c>
      <c r="AU19" s="205">
        <v>79</v>
      </c>
      <c r="AV19" s="205">
        <v>79</v>
      </c>
      <c r="AW19" s="205">
        <v>79</v>
      </c>
      <c r="AX19" s="205">
        <v>79</v>
      </c>
      <c r="AY19" s="206">
        <v>79</v>
      </c>
      <c r="AZ19" s="190"/>
    </row>
    <row r="20" spans="1:52" ht="34.200000000000003" x14ac:dyDescent="0.3">
      <c r="A20" s="150" t="s">
        <v>38</v>
      </c>
      <c r="B20" s="170">
        <v>279</v>
      </c>
      <c r="C20" s="170">
        <v>404.8848182070497</v>
      </c>
      <c r="D20" s="171">
        <v>480.15542603386064</v>
      </c>
      <c r="E20" s="170">
        <v>770</v>
      </c>
      <c r="F20" s="171">
        <v>40.105467665834027</v>
      </c>
      <c r="G20" s="172">
        <v>46.572300860394115</v>
      </c>
      <c r="H20" s="173">
        <v>56152</v>
      </c>
      <c r="I20" s="174">
        <v>1354426.8665001388</v>
      </c>
      <c r="J20" s="172">
        <v>178.46239245073548</v>
      </c>
      <c r="K20" s="173">
        <v>1.7288867562380039</v>
      </c>
      <c r="Y20" s="186" t="s">
        <v>38</v>
      </c>
      <c r="Z20" s="173">
        <v>56152</v>
      </c>
      <c r="AA20" s="172">
        <v>178.46239245073548</v>
      </c>
      <c r="AN20" s="203" t="s">
        <v>1223</v>
      </c>
      <c r="AO20" s="199" t="s">
        <v>1239</v>
      </c>
      <c r="AP20" s="207">
        <v>-0.10515134620066095</v>
      </c>
      <c r="AQ20" s="201">
        <v>0.12233752318904438</v>
      </c>
      <c r="AR20" s="201">
        <v>3.6676762189728533E-2</v>
      </c>
      <c r="AS20" s="201">
        <v>6.4060228563099508E-3</v>
      </c>
      <c r="AT20" s="209" t="s">
        <v>1252</v>
      </c>
      <c r="AU20" s="208">
        <v>1</v>
      </c>
      <c r="AV20" s="209" t="s">
        <v>1257</v>
      </c>
      <c r="AW20" s="209" t="s">
        <v>1258</v>
      </c>
      <c r="AX20" s="209" t="s">
        <v>1259</v>
      </c>
      <c r="AY20" s="210" t="s">
        <v>1245</v>
      </c>
      <c r="AZ20" s="190"/>
    </row>
    <row r="21" spans="1:52" ht="34.200000000000003" x14ac:dyDescent="0.3">
      <c r="A21" s="150" t="s">
        <v>40</v>
      </c>
      <c r="B21" s="170">
        <v>256</v>
      </c>
      <c r="C21" s="170">
        <v>413.71606051497844</v>
      </c>
      <c r="D21" s="171">
        <v>424.80713355375212</v>
      </c>
      <c r="E21" s="170">
        <v>1250</v>
      </c>
      <c r="F21" s="171">
        <v>31.760344654844204</v>
      </c>
      <c r="G21" s="172">
        <v>46.137661556958221</v>
      </c>
      <c r="H21" s="173">
        <v>58967</v>
      </c>
      <c r="I21" s="174">
        <v>1190261.4968440034</v>
      </c>
      <c r="J21" s="172">
        <v>206.39214507564373</v>
      </c>
      <c r="K21" s="173">
        <v>1.6919816918121717</v>
      </c>
      <c r="Y21" s="186" t="s">
        <v>40</v>
      </c>
      <c r="Z21" s="173">
        <v>58967</v>
      </c>
      <c r="AA21" s="172">
        <v>206.39214507564373</v>
      </c>
      <c r="AN21" s="199"/>
      <c r="AO21" s="199" t="s">
        <v>1240</v>
      </c>
      <c r="AP21" s="207">
        <v>0.35638834495060279</v>
      </c>
      <c r="AQ21" s="201">
        <v>0.28279194670222108</v>
      </c>
      <c r="AR21" s="201">
        <v>0.74828453873247347</v>
      </c>
      <c r="AS21" s="201">
        <v>0.95531711911774553</v>
      </c>
      <c r="AT21" s="201">
        <v>2.0712154238086488E-4</v>
      </c>
      <c r="AU21" s="211"/>
      <c r="AV21" s="201">
        <v>5.9067396174349669E-13</v>
      </c>
      <c r="AW21" s="201">
        <v>8.5660048624382815E-14</v>
      </c>
      <c r="AX21" s="201">
        <v>2.4660542442298451E-11</v>
      </c>
      <c r="AY21" s="202">
        <v>4.7635854414925086E-2</v>
      </c>
      <c r="AZ21" s="190"/>
    </row>
    <row r="22" spans="1:52" ht="68.400000000000006" x14ac:dyDescent="0.3">
      <c r="A22" s="150" t="s">
        <v>45</v>
      </c>
      <c r="B22" s="170">
        <v>267</v>
      </c>
      <c r="C22" s="170">
        <v>302.51072287896227</v>
      </c>
      <c r="D22" s="171">
        <v>428.91515848938172</v>
      </c>
      <c r="E22" s="170">
        <v>1250</v>
      </c>
      <c r="F22" s="171">
        <v>31.27942253373784</v>
      </c>
      <c r="G22" s="172">
        <v>44.962862224082016</v>
      </c>
      <c r="H22" s="173">
        <v>55952</v>
      </c>
      <c r="I22" s="174">
        <v>732294.17303065176</v>
      </c>
      <c r="J22" s="172">
        <v>125.22230358824146</v>
      </c>
      <c r="K22" s="173">
        <v>2.3139675623335751</v>
      </c>
      <c r="Y22" s="186" t="s">
        <v>45</v>
      </c>
      <c r="Z22" s="173">
        <v>55952</v>
      </c>
      <c r="AA22" s="172">
        <v>125.22230358824146</v>
      </c>
      <c r="AN22" s="203"/>
      <c r="AO22" s="203" t="s">
        <v>1241</v>
      </c>
      <c r="AP22" s="204">
        <v>79</v>
      </c>
      <c r="AQ22" s="205">
        <v>79</v>
      </c>
      <c r="AR22" s="205">
        <v>79</v>
      </c>
      <c r="AS22" s="205">
        <v>79</v>
      </c>
      <c r="AT22" s="205">
        <v>79</v>
      </c>
      <c r="AU22" s="205">
        <v>79</v>
      </c>
      <c r="AV22" s="205">
        <v>79</v>
      </c>
      <c r="AW22" s="205">
        <v>79</v>
      </c>
      <c r="AX22" s="205">
        <v>79</v>
      </c>
      <c r="AY22" s="206">
        <v>79</v>
      </c>
      <c r="AZ22" s="190"/>
    </row>
    <row r="23" spans="1:52" ht="34.200000000000003" x14ac:dyDescent="0.3">
      <c r="A23" s="150" t="s">
        <v>47</v>
      </c>
      <c r="B23" s="170">
        <v>264</v>
      </c>
      <c r="C23" s="170">
        <v>141.74246477617262</v>
      </c>
      <c r="D23" s="171">
        <v>497.59229534510428</v>
      </c>
      <c r="E23" s="170">
        <v>1061</v>
      </c>
      <c r="F23" s="171">
        <v>29.516675584091313</v>
      </c>
      <c r="G23" s="172">
        <v>44.872480827537004</v>
      </c>
      <c r="H23" s="173">
        <v>42708</v>
      </c>
      <c r="I23" s="174">
        <v>913144.28393080074</v>
      </c>
      <c r="J23" s="172">
        <v>150.52612805421793</v>
      </c>
      <c r="K23" s="173">
        <v>7.7605536332179934</v>
      </c>
      <c r="Y23" s="186" t="s">
        <v>47</v>
      </c>
      <c r="Z23" s="173">
        <v>42708</v>
      </c>
      <c r="AA23" s="172">
        <v>150.52612805421793</v>
      </c>
      <c r="AN23" s="203" t="s">
        <v>1224</v>
      </c>
      <c r="AO23" s="199" t="s">
        <v>1239</v>
      </c>
      <c r="AP23" s="207">
        <v>-0.18187734021321572</v>
      </c>
      <c r="AQ23" s="201">
        <v>0.15422300475481976</v>
      </c>
      <c r="AR23" s="201">
        <v>9.4153527422004432E-2</v>
      </c>
      <c r="AS23" s="201">
        <v>-5.0368098777297469E-2</v>
      </c>
      <c r="AT23" s="209" t="s">
        <v>1253</v>
      </c>
      <c r="AU23" s="209" t="s">
        <v>1257</v>
      </c>
      <c r="AV23" s="208">
        <v>1</v>
      </c>
      <c r="AW23" s="209" t="s">
        <v>1260</v>
      </c>
      <c r="AX23" s="209" t="s">
        <v>1261</v>
      </c>
      <c r="AY23" s="202">
        <v>-0.20202024499809917</v>
      </c>
      <c r="AZ23" s="190"/>
    </row>
    <row r="24" spans="1:52" ht="34.200000000000003" x14ac:dyDescent="0.3">
      <c r="A24" s="150" t="s">
        <v>1064</v>
      </c>
      <c r="B24" s="170">
        <v>211</v>
      </c>
      <c r="C24" s="170">
        <v>8.762936454202535</v>
      </c>
      <c r="D24" s="171">
        <v>260.17990134442397</v>
      </c>
      <c r="E24" s="170">
        <v>319</v>
      </c>
      <c r="F24" s="171">
        <v>44.588451494341811</v>
      </c>
      <c r="G24" s="172">
        <v>50.227294709352933</v>
      </c>
      <c r="H24" s="173">
        <v>43543</v>
      </c>
      <c r="I24" s="174">
        <v>713802.10852113354</v>
      </c>
      <c r="J24" s="172">
        <v>189.57345971563979</v>
      </c>
      <c r="K24" s="173">
        <v>68.47019867549669</v>
      </c>
      <c r="Y24" s="186" t="s">
        <v>1064</v>
      </c>
      <c r="Z24" s="173">
        <v>43543</v>
      </c>
      <c r="AA24" s="172">
        <v>189.57345971563979</v>
      </c>
      <c r="AN24" s="199"/>
      <c r="AO24" s="199" t="s">
        <v>1240</v>
      </c>
      <c r="AP24" s="207">
        <v>0.10866877783390995</v>
      </c>
      <c r="AQ24" s="201">
        <v>0.17476545166902663</v>
      </c>
      <c r="AR24" s="201">
        <v>0.40917192589553064</v>
      </c>
      <c r="AS24" s="201">
        <v>0.65933915355986827</v>
      </c>
      <c r="AT24" s="201">
        <v>1.4653107185345519E-4</v>
      </c>
      <c r="AU24" s="201">
        <v>5.9067396174349669E-13</v>
      </c>
      <c r="AV24" s="211"/>
      <c r="AW24" s="201">
        <v>3.328291528226154E-16</v>
      </c>
      <c r="AX24" s="201">
        <v>2.9175189949117655E-23</v>
      </c>
      <c r="AY24" s="202">
        <v>7.41911128537939E-2</v>
      </c>
      <c r="AZ24" s="190"/>
    </row>
    <row r="25" spans="1:52" ht="34.200000000000003" x14ac:dyDescent="0.3">
      <c r="A25" s="150" t="s">
        <v>51</v>
      </c>
      <c r="B25" s="170">
        <v>126</v>
      </c>
      <c r="C25" s="170">
        <v>82.424599665978988</v>
      </c>
      <c r="D25" s="171">
        <v>202.86865114451322</v>
      </c>
      <c r="E25" s="170">
        <v>130</v>
      </c>
      <c r="F25" s="171">
        <v>29.718046959426268</v>
      </c>
      <c r="G25" s="172">
        <v>44.282346006483934</v>
      </c>
      <c r="H25" s="173">
        <v>45989</v>
      </c>
      <c r="I25" s="174">
        <v>814421.84890460758</v>
      </c>
      <c r="J25" s="172">
        <v>336.77178504764714</v>
      </c>
      <c r="K25" s="173">
        <v>24.264600715137068</v>
      </c>
      <c r="Y25" s="186" t="s">
        <v>51</v>
      </c>
      <c r="Z25" s="173">
        <v>45989</v>
      </c>
      <c r="AA25" s="172">
        <v>336.77178504764714</v>
      </c>
      <c r="AN25" s="203"/>
      <c r="AO25" s="203" t="s">
        <v>1241</v>
      </c>
      <c r="AP25" s="204">
        <v>79</v>
      </c>
      <c r="AQ25" s="205">
        <v>79</v>
      </c>
      <c r="AR25" s="205">
        <v>79</v>
      </c>
      <c r="AS25" s="205">
        <v>79</v>
      </c>
      <c r="AT25" s="205">
        <v>79</v>
      </c>
      <c r="AU25" s="205">
        <v>79</v>
      </c>
      <c r="AV25" s="205">
        <v>79</v>
      </c>
      <c r="AW25" s="205">
        <v>79</v>
      </c>
      <c r="AX25" s="205">
        <v>79</v>
      </c>
      <c r="AY25" s="206">
        <v>79</v>
      </c>
      <c r="AZ25" s="190"/>
    </row>
    <row r="26" spans="1:52" ht="34.200000000000003" x14ac:dyDescent="0.3">
      <c r="A26" s="150" t="s">
        <v>52</v>
      </c>
      <c r="B26" s="170">
        <v>214</v>
      </c>
      <c r="C26" s="170">
        <v>132.44972577696527</v>
      </c>
      <c r="D26" s="171">
        <v>612.4314442413164</v>
      </c>
      <c r="E26" s="170">
        <v>837</v>
      </c>
      <c r="F26" s="171">
        <v>11.121267519804997</v>
      </c>
      <c r="G26" s="172">
        <v>47.714808043875685</v>
      </c>
      <c r="H26" s="173">
        <v>75786</v>
      </c>
      <c r="I26" s="174">
        <v>1750457.038391225</v>
      </c>
      <c r="J26" s="172">
        <v>406.61182205971966</v>
      </c>
      <c r="K26" s="173">
        <v>4.5300207039337472</v>
      </c>
      <c r="Y26" s="186" t="s">
        <v>52</v>
      </c>
      <c r="Z26" s="173">
        <v>75786</v>
      </c>
      <c r="AA26" s="172">
        <v>406.61182205971966</v>
      </c>
      <c r="AN26" s="203" t="s">
        <v>1225</v>
      </c>
      <c r="AO26" s="199" t="s">
        <v>1239</v>
      </c>
      <c r="AP26" s="207">
        <v>-0.12593098204873784</v>
      </c>
      <c r="AQ26" s="209" t="s">
        <v>1246</v>
      </c>
      <c r="AR26" s="201">
        <v>3.8479075013236795E-2</v>
      </c>
      <c r="AS26" s="201">
        <v>-7.0596949802437831E-2</v>
      </c>
      <c r="AT26" s="209" t="s">
        <v>1254</v>
      </c>
      <c r="AU26" s="209" t="s">
        <v>1258</v>
      </c>
      <c r="AV26" s="209" t="s">
        <v>1260</v>
      </c>
      <c r="AW26" s="208">
        <v>1</v>
      </c>
      <c r="AX26" s="209" t="s">
        <v>1262</v>
      </c>
      <c r="AY26" s="210" t="s">
        <v>1263</v>
      </c>
      <c r="AZ26" s="190"/>
    </row>
    <row r="27" spans="1:52" ht="34.200000000000003" x14ac:dyDescent="0.3">
      <c r="A27" s="150" t="s">
        <v>53</v>
      </c>
      <c r="B27" s="170">
        <v>115</v>
      </c>
      <c r="C27" s="170">
        <v>19.075953797689884</v>
      </c>
      <c r="D27" s="171">
        <v>581.02905145257262</v>
      </c>
      <c r="E27" s="170">
        <v>717</v>
      </c>
      <c r="F27" s="171">
        <v>28.701435071753586</v>
      </c>
      <c r="G27" s="172">
        <v>47.917395869793495</v>
      </c>
      <c r="H27" s="173">
        <v>38903</v>
      </c>
      <c r="I27" s="174">
        <v>666783.33916695835</v>
      </c>
      <c r="J27" s="172">
        <v>132.13160658032902</v>
      </c>
      <c r="K27" s="173">
        <v>10.48440366972477</v>
      </c>
      <c r="Y27" s="186" t="s">
        <v>53</v>
      </c>
      <c r="Z27" s="173">
        <v>38903</v>
      </c>
      <c r="AA27" s="172">
        <v>132.13160658032902</v>
      </c>
      <c r="AN27" s="199"/>
      <c r="AO27" s="199" t="s">
        <v>1240</v>
      </c>
      <c r="AP27" s="207">
        <v>0.26878381330649681</v>
      </c>
      <c r="AQ27" s="201">
        <v>3.4368932640542853E-2</v>
      </c>
      <c r="AR27" s="201">
        <v>0.73635598319764095</v>
      </c>
      <c r="AS27" s="201">
        <v>0.53641054722686388</v>
      </c>
      <c r="AT27" s="201">
        <v>9.0162025633446852E-4</v>
      </c>
      <c r="AU27" s="201">
        <v>8.5660048624382815E-14</v>
      </c>
      <c r="AV27" s="201">
        <v>3.328291528226154E-16</v>
      </c>
      <c r="AW27" s="211"/>
      <c r="AX27" s="201">
        <v>4.6765839338996387E-18</v>
      </c>
      <c r="AY27" s="202">
        <v>5.7498137374832267E-3</v>
      </c>
      <c r="AZ27" s="190"/>
    </row>
    <row r="28" spans="1:52" ht="22.8" x14ac:dyDescent="0.3">
      <c r="A28" s="150" t="s">
        <v>55</v>
      </c>
      <c r="B28" s="170">
        <v>204</v>
      </c>
      <c r="C28" s="170">
        <v>66.735501634830499</v>
      </c>
      <c r="D28" s="171">
        <v>323.52435036998793</v>
      </c>
      <c r="E28" s="170">
        <v>353</v>
      </c>
      <c r="F28" s="171">
        <v>20.650490449148165</v>
      </c>
      <c r="G28" s="172">
        <v>49.079332300808808</v>
      </c>
      <c r="H28" s="173">
        <v>39898</v>
      </c>
      <c r="I28" s="174">
        <v>443985.54465668561</v>
      </c>
      <c r="J28" s="172">
        <v>81.91361211495439</v>
      </c>
      <c r="K28" s="173">
        <v>10.489169675090253</v>
      </c>
      <c r="Y28" s="186" t="s">
        <v>55</v>
      </c>
      <c r="Z28" s="173">
        <v>39898</v>
      </c>
      <c r="AA28" s="172">
        <v>81.91361211495439</v>
      </c>
      <c r="AN28" s="203"/>
      <c r="AO28" s="203" t="s">
        <v>1241</v>
      </c>
      <c r="AP28" s="204">
        <v>79</v>
      </c>
      <c r="AQ28" s="205">
        <v>79</v>
      </c>
      <c r="AR28" s="205">
        <v>79</v>
      </c>
      <c r="AS28" s="205">
        <v>79</v>
      </c>
      <c r="AT28" s="205">
        <v>79</v>
      </c>
      <c r="AU28" s="205">
        <v>79</v>
      </c>
      <c r="AV28" s="205">
        <v>79</v>
      </c>
      <c r="AW28" s="205">
        <v>79</v>
      </c>
      <c r="AX28" s="205">
        <v>79</v>
      </c>
      <c r="AY28" s="206">
        <v>79</v>
      </c>
      <c r="AZ28" s="190"/>
    </row>
    <row r="29" spans="1:52" ht="34.200000000000003" x14ac:dyDescent="0.3">
      <c r="A29" s="150" t="s">
        <v>61</v>
      </c>
      <c r="B29" s="170">
        <v>181</v>
      </c>
      <c r="C29" s="170">
        <v>4.6743907311226529</v>
      </c>
      <c r="D29" s="171">
        <v>359.56851777866564</v>
      </c>
      <c r="E29" s="170">
        <v>186</v>
      </c>
      <c r="F29" s="171">
        <v>9.7882540950858967</v>
      </c>
      <c r="G29" s="172">
        <v>31.302437075509388</v>
      </c>
      <c r="H29" s="173">
        <v>42684</v>
      </c>
      <c r="I29" s="174">
        <v>393527.76667998405</v>
      </c>
      <c r="J29" s="172">
        <v>123.05233719536555</v>
      </c>
      <c r="K29" s="173">
        <v>64.179487179487182</v>
      </c>
      <c r="Y29" s="186" t="s">
        <v>61</v>
      </c>
      <c r="Z29" s="173">
        <v>42684</v>
      </c>
      <c r="AA29" s="172">
        <v>123.05233719536555</v>
      </c>
      <c r="AN29" s="203" t="s">
        <v>1226</v>
      </c>
      <c r="AO29" s="199" t="s">
        <v>1239</v>
      </c>
      <c r="AP29" s="212" t="s">
        <v>1244</v>
      </c>
      <c r="AQ29" s="209" t="s">
        <v>1247</v>
      </c>
      <c r="AR29" s="201">
        <v>2.1276342412568112E-2</v>
      </c>
      <c r="AS29" s="201">
        <v>-0.16471314107208909</v>
      </c>
      <c r="AT29" s="209" t="s">
        <v>1255</v>
      </c>
      <c r="AU29" s="209" t="s">
        <v>1259</v>
      </c>
      <c r="AV29" s="209" t="s">
        <v>1261</v>
      </c>
      <c r="AW29" s="209" t="s">
        <v>1262</v>
      </c>
      <c r="AX29" s="208">
        <v>1</v>
      </c>
      <c r="AY29" s="210" t="s">
        <v>1264</v>
      </c>
      <c r="AZ29" s="190"/>
    </row>
    <row r="30" spans="1:52" ht="34.200000000000003" x14ac:dyDescent="0.3">
      <c r="A30" s="150" t="s">
        <v>63</v>
      </c>
      <c r="B30" s="170">
        <v>228</v>
      </c>
      <c r="C30" s="170">
        <v>41.005498821681066</v>
      </c>
      <c r="D30" s="171">
        <v>259.75386226760935</v>
      </c>
      <c r="E30" s="170">
        <v>136</v>
      </c>
      <c r="F30" s="171">
        <v>35.454307410316844</v>
      </c>
      <c r="G30" s="172">
        <v>46.640481801518725</v>
      </c>
      <c r="H30" s="173">
        <v>32875</v>
      </c>
      <c r="I30" s="174">
        <v>343545.43074103165</v>
      </c>
      <c r="J30" s="172">
        <v>142.0790782927468</v>
      </c>
      <c r="K30" s="173">
        <v>73.160919540229884</v>
      </c>
      <c r="Y30" s="186" t="s">
        <v>63</v>
      </c>
      <c r="Z30" s="173">
        <v>32875</v>
      </c>
      <c r="AA30" s="172">
        <v>142.0790782927468</v>
      </c>
      <c r="AN30" s="199"/>
      <c r="AO30" s="199" t="s">
        <v>1240</v>
      </c>
      <c r="AP30" s="207">
        <v>1.7205108917305322E-2</v>
      </c>
      <c r="AQ30" s="201">
        <v>7.5874684980456342E-3</v>
      </c>
      <c r="AR30" s="201">
        <v>0.85235452474309481</v>
      </c>
      <c r="AS30" s="201">
        <v>0.14689250103043491</v>
      </c>
      <c r="AT30" s="201">
        <v>8.5378167243258625E-5</v>
      </c>
      <c r="AU30" s="201">
        <v>2.4660542442298451E-11</v>
      </c>
      <c r="AV30" s="201">
        <v>2.9175189949117655E-23</v>
      </c>
      <c r="AW30" s="201">
        <v>4.6765839338996387E-18</v>
      </c>
      <c r="AX30" s="211"/>
      <c r="AY30" s="202">
        <v>7.4634055060813472E-3</v>
      </c>
      <c r="AZ30" s="190"/>
    </row>
    <row r="31" spans="1:52" ht="34.200000000000003" x14ac:dyDescent="0.3">
      <c r="A31" s="152" t="s">
        <v>65</v>
      </c>
      <c r="B31" s="170">
        <v>103</v>
      </c>
      <c r="C31" s="170">
        <v>106.13749357106119</v>
      </c>
      <c r="D31" s="171">
        <v>263.84364820846906</v>
      </c>
      <c r="E31" s="170">
        <v>230</v>
      </c>
      <c r="F31" s="171">
        <v>32.813303617349561</v>
      </c>
      <c r="G31" s="172">
        <v>49.854277387279275</v>
      </c>
      <c r="H31" s="173">
        <v>54627</v>
      </c>
      <c r="I31" s="174">
        <v>737870.73547059833</v>
      </c>
      <c r="J31" s="172">
        <v>147.53985942053833</v>
      </c>
      <c r="K31" s="173">
        <v>77.258278145695371</v>
      </c>
      <c r="Y31" s="187" t="s">
        <v>65</v>
      </c>
      <c r="Z31" s="173">
        <v>54627</v>
      </c>
      <c r="AA31" s="172">
        <v>147.53985942053833</v>
      </c>
      <c r="AN31" s="203"/>
      <c r="AO31" s="203" t="s">
        <v>1241</v>
      </c>
      <c r="AP31" s="204">
        <v>79</v>
      </c>
      <c r="AQ31" s="205">
        <v>79</v>
      </c>
      <c r="AR31" s="205">
        <v>79</v>
      </c>
      <c r="AS31" s="205">
        <v>79</v>
      </c>
      <c r="AT31" s="205">
        <v>79</v>
      </c>
      <c r="AU31" s="205">
        <v>79</v>
      </c>
      <c r="AV31" s="205">
        <v>79</v>
      </c>
      <c r="AW31" s="205">
        <v>79</v>
      </c>
      <c r="AX31" s="205">
        <v>79</v>
      </c>
      <c r="AY31" s="206">
        <v>79</v>
      </c>
      <c r="AZ31" s="190"/>
    </row>
    <row r="32" spans="1:52" ht="34.200000000000003" x14ac:dyDescent="0.3">
      <c r="A32" s="150" t="s">
        <v>66</v>
      </c>
      <c r="B32" s="170">
        <v>283</v>
      </c>
      <c r="C32" s="170">
        <v>41.42011834319527</v>
      </c>
      <c r="D32" s="171">
        <v>427.93744716821641</v>
      </c>
      <c r="E32" s="170">
        <v>104</v>
      </c>
      <c r="F32" s="171">
        <v>14.792899408284025</v>
      </c>
      <c r="G32" s="172">
        <v>49.323753169907022</v>
      </c>
      <c r="H32" s="173">
        <v>36593</v>
      </c>
      <c r="I32" s="174">
        <v>808326.28909551993</v>
      </c>
      <c r="J32" s="172">
        <v>92.455621301775153</v>
      </c>
      <c r="K32" s="173">
        <v>19.314285714285713</v>
      </c>
      <c r="Y32" s="186" t="s">
        <v>66</v>
      </c>
      <c r="Z32" s="173">
        <v>36593</v>
      </c>
      <c r="AA32" s="172">
        <v>92.455621301775153</v>
      </c>
      <c r="AN32" s="203" t="s">
        <v>1227</v>
      </c>
      <c r="AO32" s="199" t="s">
        <v>1239</v>
      </c>
      <c r="AP32" s="212" t="s">
        <v>1245</v>
      </c>
      <c r="AQ32" s="209" t="s">
        <v>1248</v>
      </c>
      <c r="AR32" s="209" t="s">
        <v>1251</v>
      </c>
      <c r="AS32" s="201">
        <v>-0.16439734318992186</v>
      </c>
      <c r="AT32" s="209" t="s">
        <v>1256</v>
      </c>
      <c r="AU32" s="209" t="s">
        <v>1245</v>
      </c>
      <c r="AV32" s="201">
        <v>-0.20202024499809917</v>
      </c>
      <c r="AW32" s="209" t="s">
        <v>1263</v>
      </c>
      <c r="AX32" s="209" t="s">
        <v>1264</v>
      </c>
      <c r="AY32" s="213">
        <v>1</v>
      </c>
      <c r="AZ32" s="190"/>
    </row>
    <row r="33" spans="1:52" ht="34.200000000000003" x14ac:dyDescent="0.3">
      <c r="A33" s="150" t="s">
        <v>67</v>
      </c>
      <c r="B33" s="170">
        <v>214</v>
      </c>
      <c r="C33" s="170">
        <v>161.02938180039936</v>
      </c>
      <c r="D33" s="171">
        <v>301.15326622926767</v>
      </c>
      <c r="E33" s="170">
        <v>156</v>
      </c>
      <c r="F33" s="171">
        <v>31.908390724968413</v>
      </c>
      <c r="G33" s="172">
        <v>48.090794245894287</v>
      </c>
      <c r="H33" s="173">
        <v>35575</v>
      </c>
      <c r="I33" s="174">
        <v>496352.74461061979</v>
      </c>
      <c r="J33" s="172">
        <v>118.74974530339458</v>
      </c>
      <c r="K33" s="173">
        <v>21.735163861824624</v>
      </c>
      <c r="Y33" s="186" t="s">
        <v>67</v>
      </c>
      <c r="Z33" s="173">
        <v>35575</v>
      </c>
      <c r="AA33" s="172">
        <v>118.74974530339458</v>
      </c>
      <c r="AN33" s="199"/>
      <c r="AO33" s="199" t="s">
        <v>1240</v>
      </c>
      <c r="AP33" s="207">
        <v>4.6999104688504392E-2</v>
      </c>
      <c r="AQ33" s="201">
        <v>3.8616348274477914E-2</v>
      </c>
      <c r="AR33" s="201">
        <v>1.3005690643491387E-4</v>
      </c>
      <c r="AS33" s="201">
        <v>0.14767973442740165</v>
      </c>
      <c r="AT33" s="201">
        <v>1.2819636830453115E-4</v>
      </c>
      <c r="AU33" s="201">
        <v>4.7635854414925086E-2</v>
      </c>
      <c r="AV33" s="201">
        <v>7.41911128537939E-2</v>
      </c>
      <c r="AW33" s="201">
        <v>5.7498137374832267E-3</v>
      </c>
      <c r="AX33" s="201">
        <v>7.4634055060813472E-3</v>
      </c>
      <c r="AY33" s="214"/>
      <c r="AZ33" s="190"/>
    </row>
    <row r="34" spans="1:52" ht="22.8" x14ac:dyDescent="0.3">
      <c r="A34" s="150" t="s">
        <v>70</v>
      </c>
      <c r="B34" s="170">
        <v>204</v>
      </c>
      <c r="C34" s="170">
        <v>136.20710415412401</v>
      </c>
      <c r="D34" s="171">
        <v>416.61649608669478</v>
      </c>
      <c r="E34" s="170">
        <v>310</v>
      </c>
      <c r="F34" s="171">
        <v>14.28055388320289</v>
      </c>
      <c r="G34" s="172">
        <v>50.38169777242625</v>
      </c>
      <c r="H34" s="173">
        <v>46840</v>
      </c>
      <c r="I34" s="174">
        <v>560144.49127031909</v>
      </c>
      <c r="J34" s="172">
        <v>155.01505117399159</v>
      </c>
      <c r="K34" s="173">
        <v>41.113861386138616</v>
      </c>
      <c r="Y34" s="186" t="s">
        <v>70</v>
      </c>
      <c r="Z34" s="173">
        <v>46840</v>
      </c>
      <c r="AA34" s="172">
        <v>155.01505117399159</v>
      </c>
      <c r="AN34" s="215"/>
      <c r="AO34" s="215" t="s">
        <v>1241</v>
      </c>
      <c r="AP34" s="216">
        <v>79</v>
      </c>
      <c r="AQ34" s="217">
        <v>79</v>
      </c>
      <c r="AR34" s="217">
        <v>79</v>
      </c>
      <c r="AS34" s="217">
        <v>79</v>
      </c>
      <c r="AT34" s="217">
        <v>79</v>
      </c>
      <c r="AU34" s="217">
        <v>79</v>
      </c>
      <c r="AV34" s="217">
        <v>79</v>
      </c>
      <c r="AW34" s="217">
        <v>79</v>
      </c>
      <c r="AX34" s="217">
        <v>79</v>
      </c>
      <c r="AY34" s="218">
        <v>79</v>
      </c>
      <c r="AZ34" s="190"/>
    </row>
    <row r="35" spans="1:52" ht="68.400000000000006" x14ac:dyDescent="0.3">
      <c r="A35" s="150" t="s">
        <v>74</v>
      </c>
      <c r="B35" s="170">
        <v>122</v>
      </c>
      <c r="C35" s="170">
        <v>20.230802549347196</v>
      </c>
      <c r="D35" s="171">
        <v>286.80155930944869</v>
      </c>
      <c r="E35" s="170">
        <v>56</v>
      </c>
      <c r="F35" s="171">
        <v>8.1678113978095404</v>
      </c>
      <c r="G35" s="172">
        <v>38.06076356661098</v>
      </c>
      <c r="H35" s="173">
        <v>39686</v>
      </c>
      <c r="I35" s="174">
        <v>282470.14417424664</v>
      </c>
      <c r="J35" s="172">
        <v>108.47101045727369</v>
      </c>
      <c r="K35" s="173">
        <v>64.258449304174945</v>
      </c>
      <c r="Y35" s="186" t="s">
        <v>74</v>
      </c>
      <c r="Z35" s="173">
        <v>39686</v>
      </c>
      <c r="AA35" s="172">
        <v>108.47101045727369</v>
      </c>
      <c r="AN35" s="221" t="s">
        <v>1242</v>
      </c>
      <c r="AO35" s="221"/>
      <c r="AP35" s="221"/>
      <c r="AQ35" s="221"/>
      <c r="AR35" s="221"/>
      <c r="AS35" s="221"/>
      <c r="AT35" s="221"/>
      <c r="AU35" s="221"/>
      <c r="AV35" s="221"/>
      <c r="AW35" s="221"/>
      <c r="AX35" s="221"/>
      <c r="AY35" s="221"/>
      <c r="AZ35" s="190"/>
    </row>
    <row r="36" spans="1:52" ht="68.400000000000006" x14ac:dyDescent="0.3">
      <c r="A36" s="150" t="s">
        <v>76</v>
      </c>
      <c r="B36" s="170">
        <v>210</v>
      </c>
      <c r="C36" s="170">
        <v>15.184980673660961</v>
      </c>
      <c r="D36" s="171">
        <v>278.29928216454999</v>
      </c>
      <c r="E36" s="170">
        <v>49</v>
      </c>
      <c r="F36" s="171">
        <v>2.8713418001104363</v>
      </c>
      <c r="G36" s="172">
        <v>42.628382109331859</v>
      </c>
      <c r="H36" s="173">
        <v>38948</v>
      </c>
      <c r="I36" s="174">
        <v>286029.81778023188</v>
      </c>
      <c r="J36" s="172">
        <v>75.427940364439536</v>
      </c>
      <c r="K36" s="173">
        <v>72.44</v>
      </c>
      <c r="Y36" s="186" t="s">
        <v>76</v>
      </c>
      <c r="Z36" s="173">
        <v>38948</v>
      </c>
      <c r="AA36" s="172">
        <v>75.427940364439536</v>
      </c>
      <c r="AN36" s="221" t="s">
        <v>1243</v>
      </c>
      <c r="AO36" s="221"/>
      <c r="AP36" s="221"/>
      <c r="AQ36" s="221"/>
      <c r="AR36" s="221"/>
      <c r="AS36" s="221"/>
      <c r="AT36" s="221"/>
      <c r="AU36" s="221"/>
      <c r="AV36" s="221"/>
      <c r="AW36" s="221"/>
      <c r="AX36" s="221"/>
      <c r="AY36" s="221"/>
      <c r="AZ36" s="190"/>
    </row>
    <row r="37" spans="1:52" ht="57" x14ac:dyDescent="0.3">
      <c r="A37" s="150" t="s">
        <v>77</v>
      </c>
      <c r="B37" s="170">
        <v>99</v>
      </c>
      <c r="C37" s="170">
        <v>12.21439248345078</v>
      </c>
      <c r="D37" s="171">
        <v>439.88896006833227</v>
      </c>
      <c r="E37" s="170">
        <v>95</v>
      </c>
      <c r="F37" s="171">
        <v>14.093529788597053</v>
      </c>
      <c r="G37" s="172">
        <v>40.145206064488576</v>
      </c>
      <c r="H37" s="173">
        <v>25619</v>
      </c>
      <c r="I37" s="174">
        <v>269058.29596412554</v>
      </c>
      <c r="J37" s="172">
        <v>61.712577407644666</v>
      </c>
      <c r="K37" s="173">
        <v>32.748251748251747</v>
      </c>
      <c r="Y37" s="186" t="s">
        <v>77</v>
      </c>
      <c r="Z37" s="173">
        <v>25619</v>
      </c>
      <c r="AA37" s="172">
        <v>61.712577407644666</v>
      </c>
    </row>
    <row r="38" spans="1:52" ht="45.6" x14ac:dyDescent="0.3">
      <c r="A38" s="150" t="s">
        <v>1066</v>
      </c>
      <c r="B38" s="170">
        <v>317</v>
      </c>
      <c r="C38" s="170">
        <v>14.140521431727796</v>
      </c>
      <c r="D38" s="171">
        <v>194.43216968625717</v>
      </c>
      <c r="E38" s="170">
        <v>85</v>
      </c>
      <c r="F38" s="171">
        <v>24.304021210782146</v>
      </c>
      <c r="G38" s="172">
        <v>40.388864339372518</v>
      </c>
      <c r="H38" s="173">
        <v>35276</v>
      </c>
      <c r="I38" s="174">
        <v>318161.7322138754</v>
      </c>
      <c r="J38" s="172">
        <v>64.074237737516569</v>
      </c>
      <c r="K38" s="173">
        <v>84.862499999999997</v>
      </c>
      <c r="Y38" s="186" t="s">
        <v>1066</v>
      </c>
      <c r="Z38" s="173">
        <v>35276</v>
      </c>
      <c r="AA38" s="172">
        <v>64.074237737516569</v>
      </c>
    </row>
    <row r="39" spans="1:52" ht="34.200000000000003" x14ac:dyDescent="0.3">
      <c r="A39" s="150" t="s">
        <v>78</v>
      </c>
      <c r="B39" s="170">
        <v>154</v>
      </c>
      <c r="C39" s="170">
        <v>13.561723227509818</v>
      </c>
      <c r="D39" s="171">
        <v>227.96058986412518</v>
      </c>
      <c r="E39" s="170">
        <v>28</v>
      </c>
      <c r="F39" s="171">
        <v>5.7956082168845375</v>
      </c>
      <c r="G39" s="172">
        <v>36.654002189451994</v>
      </c>
      <c r="H39" s="173">
        <v>35920</v>
      </c>
      <c r="I39" s="174">
        <v>202846.28759095885</v>
      </c>
      <c r="J39" s="172">
        <v>105.22248695988151</v>
      </c>
      <c r="K39" s="173">
        <v>95.85802469135804</v>
      </c>
      <c r="Y39" s="186" t="s">
        <v>78</v>
      </c>
      <c r="Z39" s="173">
        <v>35920</v>
      </c>
      <c r="AA39" s="172">
        <v>105.22248695988151</v>
      </c>
    </row>
    <row r="40" spans="1:52" ht="34.200000000000003" x14ac:dyDescent="0.3">
      <c r="A40" s="150" t="s">
        <v>79</v>
      </c>
      <c r="B40" s="170">
        <v>117</v>
      </c>
      <c r="C40" s="170">
        <v>91.750112608710722</v>
      </c>
      <c r="D40" s="171">
        <v>345.10238730466722</v>
      </c>
      <c r="E40" s="170">
        <v>173</v>
      </c>
      <c r="F40" s="171">
        <v>27.060739406118984</v>
      </c>
      <c r="G40" s="172">
        <v>46.581892519316732</v>
      </c>
      <c r="H40" s="173">
        <v>32930</v>
      </c>
      <c r="I40" s="174">
        <v>415786.00880080386</v>
      </c>
      <c r="J40" s="172">
        <v>115.96964762135754</v>
      </c>
      <c r="K40" s="173">
        <v>43.596676737160116</v>
      </c>
      <c r="Y40" s="186" t="s">
        <v>79</v>
      </c>
      <c r="Z40" s="173">
        <v>32930</v>
      </c>
      <c r="AA40" s="172">
        <v>115.96964762135754</v>
      </c>
    </row>
    <row r="41" spans="1:52" ht="45.6" x14ac:dyDescent="0.3">
      <c r="A41" s="150" t="s">
        <v>81</v>
      </c>
      <c r="B41" s="170">
        <v>257</v>
      </c>
      <c r="C41" s="170">
        <v>87.899515291686143</v>
      </c>
      <c r="D41" s="171">
        <v>587.30900770120309</v>
      </c>
      <c r="E41" s="170">
        <v>278</v>
      </c>
      <c r="F41" s="171">
        <v>42.984031690574021</v>
      </c>
      <c r="G41" s="172">
        <v>42.565755480648569</v>
      </c>
      <c r="H41" s="173">
        <v>40022</v>
      </c>
      <c r="I41" s="174">
        <v>551878.55227222398</v>
      </c>
      <c r="J41" s="172">
        <v>152.5477942081047</v>
      </c>
      <c r="K41" s="173">
        <v>28.441567529741079</v>
      </c>
      <c r="Y41" s="186" t="s">
        <v>81</v>
      </c>
      <c r="Z41" s="173">
        <v>40022</v>
      </c>
      <c r="AA41" s="172">
        <v>152.5477942081047</v>
      </c>
    </row>
    <row r="42" spans="1:52" ht="34.200000000000003" x14ac:dyDescent="0.3">
      <c r="A42" s="150" t="s">
        <v>82</v>
      </c>
      <c r="B42" s="170">
        <v>561</v>
      </c>
      <c r="C42" s="170">
        <v>27.948641385488205</v>
      </c>
      <c r="D42" s="171">
        <v>473.27560465810694</v>
      </c>
      <c r="E42" s="170">
        <v>1618</v>
      </c>
      <c r="F42" s="171">
        <v>32.994923857868024</v>
      </c>
      <c r="G42" s="172">
        <v>41.90803224843237</v>
      </c>
      <c r="H42" s="173">
        <v>31013</v>
      </c>
      <c r="I42" s="174">
        <v>391161.54075843544</v>
      </c>
      <c r="J42" s="172">
        <v>77.933711555688276</v>
      </c>
      <c r="K42" s="173">
        <v>28.623931623931625</v>
      </c>
      <c r="Y42" s="186" t="s">
        <v>82</v>
      </c>
      <c r="Z42" s="173">
        <v>31013</v>
      </c>
      <c r="AA42" s="172">
        <v>77.933711555688276</v>
      </c>
    </row>
    <row r="43" spans="1:52" ht="34.200000000000003" x14ac:dyDescent="0.3">
      <c r="A43" s="152" t="s">
        <v>83</v>
      </c>
      <c r="B43" s="170">
        <v>324</v>
      </c>
      <c r="C43" s="170">
        <v>20.446533490011753</v>
      </c>
      <c r="D43" s="171">
        <v>531.40096618357495</v>
      </c>
      <c r="E43" s="170">
        <v>225</v>
      </c>
      <c r="F43" s="171">
        <v>30.813422117769946</v>
      </c>
      <c r="G43" s="172">
        <v>48.217783000391698</v>
      </c>
      <c r="H43" s="173">
        <v>30647</v>
      </c>
      <c r="I43" s="174">
        <v>447839.1434913174</v>
      </c>
      <c r="J43" s="172">
        <v>96.748922835879355</v>
      </c>
      <c r="K43" s="173">
        <v>29.344827586206893</v>
      </c>
      <c r="Y43" s="187" t="s">
        <v>83</v>
      </c>
      <c r="Z43" s="173">
        <v>30647</v>
      </c>
      <c r="AA43" s="172">
        <v>96.748922835879355</v>
      </c>
    </row>
    <row r="44" spans="1:52" ht="34.200000000000003" x14ac:dyDescent="0.3">
      <c r="A44" s="152" t="s">
        <v>84</v>
      </c>
      <c r="B44" s="170">
        <v>341</v>
      </c>
      <c r="C44" s="170">
        <v>77.911566325256061</v>
      </c>
      <c r="D44" s="171">
        <v>444.91631276542591</v>
      </c>
      <c r="E44" s="170">
        <v>349</v>
      </c>
      <c r="F44" s="171">
        <v>36.722458156382714</v>
      </c>
      <c r="G44" s="172">
        <v>50.874344241818633</v>
      </c>
      <c r="H44" s="173">
        <v>52524</v>
      </c>
      <c r="I44" s="174">
        <v>1043967.0247314514</v>
      </c>
      <c r="J44" s="172">
        <v>294.87884086934804</v>
      </c>
      <c r="K44" s="173">
        <v>59.041297935103245</v>
      </c>
      <c r="Y44" s="187" t="s">
        <v>84</v>
      </c>
      <c r="Z44" s="173">
        <v>52524</v>
      </c>
      <c r="AA44" s="172">
        <v>294.87884086934804</v>
      </c>
    </row>
    <row r="45" spans="1:52" ht="57.6" customHeight="1" x14ac:dyDescent="0.3">
      <c r="A45" s="150" t="s">
        <v>85</v>
      </c>
      <c r="B45" s="170">
        <v>312</v>
      </c>
      <c r="C45" s="170">
        <v>73.365398020354121</v>
      </c>
      <c r="D45" s="171">
        <v>443.32915098285241</v>
      </c>
      <c r="E45" s="170">
        <v>520</v>
      </c>
      <c r="F45" s="171">
        <v>38.96556531437335</v>
      </c>
      <c r="G45" s="172">
        <v>47.504530879687721</v>
      </c>
      <c r="H45" s="173">
        <v>38939</v>
      </c>
      <c r="I45" s="174">
        <v>673358.4274362193</v>
      </c>
      <c r="J45" s="172">
        <v>115.92081416422698</v>
      </c>
      <c r="K45" s="173">
        <v>34.076009501187642</v>
      </c>
      <c r="Y45" s="186" t="s">
        <v>85</v>
      </c>
      <c r="Z45" s="173">
        <v>38939</v>
      </c>
      <c r="AA45" s="172">
        <v>115.92081416422698</v>
      </c>
    </row>
    <row r="46" spans="1:52" ht="20.399999999999999" customHeight="1" x14ac:dyDescent="0.3">
      <c r="A46" s="150" t="s">
        <v>86</v>
      </c>
      <c r="B46" s="170">
        <v>388</v>
      </c>
      <c r="C46" s="170">
        <v>18.815868391740214</v>
      </c>
      <c r="D46" s="171">
        <v>704.30982777825375</v>
      </c>
      <c r="E46" s="170">
        <v>509</v>
      </c>
      <c r="F46" s="171">
        <v>27.332704995287468</v>
      </c>
      <c r="G46" s="172">
        <v>43.586667809099481</v>
      </c>
      <c r="H46" s="173">
        <v>34129</v>
      </c>
      <c r="I46" s="174">
        <v>429269.1286093737</v>
      </c>
      <c r="J46" s="172">
        <v>105.73215662753836</v>
      </c>
      <c r="K46" s="173">
        <v>63.775956284152997</v>
      </c>
      <c r="Y46" s="186" t="s">
        <v>86</v>
      </c>
      <c r="Z46" s="173">
        <v>34129</v>
      </c>
      <c r="AA46" s="172">
        <v>105.73215662753836</v>
      </c>
      <c r="AN46" s="227"/>
      <c r="AO46" s="227" t="s">
        <v>1218</v>
      </c>
      <c r="AP46" s="227" t="s">
        <v>1219</v>
      </c>
      <c r="AQ46" s="227" t="s">
        <v>1220</v>
      </c>
      <c r="AR46" s="227" t="s">
        <v>1221</v>
      </c>
      <c r="AS46" s="227" t="s">
        <v>1222</v>
      </c>
      <c r="AT46" s="227" t="s">
        <v>1223</v>
      </c>
      <c r="AU46" s="227" t="s">
        <v>1224</v>
      </c>
      <c r="AV46" s="227" t="s">
        <v>1225</v>
      </c>
      <c r="AW46" s="227" t="s">
        <v>1226</v>
      </c>
      <c r="AX46" s="227" t="s">
        <v>1227</v>
      </c>
    </row>
    <row r="47" spans="1:52" ht="20.399999999999999" customHeight="1" x14ac:dyDescent="0.3">
      <c r="A47" s="150" t="s">
        <v>87</v>
      </c>
      <c r="B47" s="170">
        <v>349</v>
      </c>
      <c r="C47" s="170">
        <v>160.50174327736141</v>
      </c>
      <c r="D47" s="171">
        <v>454.05362080711734</v>
      </c>
      <c r="E47" s="170">
        <v>370</v>
      </c>
      <c r="F47" s="171">
        <v>39.113533442872601</v>
      </c>
      <c r="G47" s="172">
        <v>45.910311385404547</v>
      </c>
      <c r="H47" s="173">
        <v>45639</v>
      </c>
      <c r="I47" s="174">
        <v>802709.09309501864</v>
      </c>
      <c r="J47" s="172">
        <v>192.92269466597202</v>
      </c>
      <c r="K47" s="173">
        <v>15.576154806491887</v>
      </c>
      <c r="Y47" s="186" t="s">
        <v>87</v>
      </c>
      <c r="Z47" s="173">
        <v>45639</v>
      </c>
      <c r="AA47" s="172">
        <v>192.92269466597202</v>
      </c>
      <c r="AN47" s="227" t="s">
        <v>1218</v>
      </c>
      <c r="AO47" s="179">
        <v>1</v>
      </c>
      <c r="AP47" s="179">
        <v>4.4999999999999998E-2</v>
      </c>
      <c r="AQ47" s="179">
        <v>0.16700000000000001</v>
      </c>
      <c r="AR47" s="179">
        <v>0.156</v>
      </c>
      <c r="AS47" s="179">
        <v>5.8000000000000003E-2</v>
      </c>
      <c r="AT47" s="179">
        <v>-0.105</v>
      </c>
      <c r="AU47" s="179">
        <v>-0.182</v>
      </c>
      <c r="AV47" s="179">
        <v>-0.126</v>
      </c>
      <c r="AW47" s="179" t="s">
        <v>1265</v>
      </c>
      <c r="AX47" s="179" t="s">
        <v>1266</v>
      </c>
    </row>
    <row r="48" spans="1:52" ht="20.399999999999999" customHeight="1" x14ac:dyDescent="0.3">
      <c r="A48" s="153" t="s">
        <v>88</v>
      </c>
      <c r="B48" s="170">
        <v>236</v>
      </c>
      <c r="C48" s="170">
        <v>255.7394459686698</v>
      </c>
      <c r="D48" s="171">
        <v>734.57828126382867</v>
      </c>
      <c r="E48" s="170">
        <v>605</v>
      </c>
      <c r="F48" s="171">
        <v>45.225241171785115</v>
      </c>
      <c r="G48" s="172">
        <v>46.906805912027608</v>
      </c>
      <c r="H48" s="173">
        <v>38277</v>
      </c>
      <c r="I48" s="174">
        <v>491193.91096557211</v>
      </c>
      <c r="J48" s="172">
        <v>93.990618638817594</v>
      </c>
      <c r="K48" s="173">
        <v>9.3845514950166109</v>
      </c>
      <c r="Y48" s="188" t="s">
        <v>88</v>
      </c>
      <c r="Z48" s="173">
        <v>38277</v>
      </c>
      <c r="AA48" s="172">
        <v>93.990618638817594</v>
      </c>
      <c r="AN48" s="227" t="s">
        <v>1267</v>
      </c>
      <c r="AO48" s="179" t="s">
        <v>1215</v>
      </c>
      <c r="AP48" s="179">
        <v>0.69099999999999995</v>
      </c>
      <c r="AQ48" s="179">
        <v>0.14199999999999999</v>
      </c>
      <c r="AR48" s="179">
        <v>0.17</v>
      </c>
      <c r="AS48" s="179">
        <v>0.61</v>
      </c>
      <c r="AT48" s="179">
        <v>0.35599999999999998</v>
      </c>
      <c r="AU48" s="179">
        <v>0.109</v>
      </c>
      <c r="AV48" s="179">
        <v>0.26900000000000002</v>
      </c>
      <c r="AW48" s="179">
        <v>1.7000000000000001E-2</v>
      </c>
      <c r="AX48" s="179">
        <v>4.7E-2</v>
      </c>
    </row>
    <row r="49" spans="1:50" ht="20.399999999999999" customHeight="1" x14ac:dyDescent="0.3">
      <c r="A49" s="150" t="s">
        <v>89</v>
      </c>
      <c r="B49" s="170">
        <v>317</v>
      </c>
      <c r="C49" s="170">
        <v>105.12694833839818</v>
      </c>
      <c r="D49" s="171">
        <v>440.80645688331202</v>
      </c>
      <c r="E49" s="170">
        <v>1201</v>
      </c>
      <c r="F49" s="171">
        <v>31.859621605724925</v>
      </c>
      <c r="G49" s="172">
        <v>54.259386334673067</v>
      </c>
      <c r="H49" s="173">
        <v>50601</v>
      </c>
      <c r="I49" s="174">
        <v>747639.12034767831</v>
      </c>
      <c r="J49" s="172">
        <v>224.45511877920464</v>
      </c>
      <c r="K49" s="173">
        <v>39.951697127937344</v>
      </c>
      <c r="Y49" s="186" t="s">
        <v>89</v>
      </c>
      <c r="Z49" s="173">
        <v>50601</v>
      </c>
      <c r="AA49" s="172">
        <v>224.45511877920464</v>
      </c>
      <c r="AN49" s="227" t="s">
        <v>1219</v>
      </c>
      <c r="AO49" s="179">
        <v>4.4999999999999998E-2</v>
      </c>
      <c r="AP49" s="179">
        <v>1</v>
      </c>
      <c r="AQ49" s="179">
        <v>8.9999999999999993E-3</v>
      </c>
      <c r="AR49" s="179">
        <v>-8.8999999999999996E-2</v>
      </c>
      <c r="AS49" s="179">
        <v>5.3999999999999999E-2</v>
      </c>
      <c r="AT49" s="179">
        <v>0.122</v>
      </c>
      <c r="AU49" s="179">
        <v>0.154</v>
      </c>
      <c r="AV49" s="179" t="s">
        <v>1268</v>
      </c>
      <c r="AW49" s="179" t="s">
        <v>1269</v>
      </c>
      <c r="AX49" s="179" t="s">
        <v>1270</v>
      </c>
    </row>
    <row r="50" spans="1:50" ht="20.399999999999999" customHeight="1" x14ac:dyDescent="0.3">
      <c r="A50" s="152" t="s">
        <v>90</v>
      </c>
      <c r="B50" s="170">
        <v>220</v>
      </c>
      <c r="C50" s="170">
        <v>236.75288456280418</v>
      </c>
      <c r="D50" s="171">
        <v>475.74779898288398</v>
      </c>
      <c r="E50" s="170">
        <v>291</v>
      </c>
      <c r="F50" s="171">
        <v>33.630447859134904</v>
      </c>
      <c r="G50" s="172">
        <v>46.388144583583966</v>
      </c>
      <c r="H50" s="173">
        <v>36756</v>
      </c>
      <c r="I50" s="174">
        <v>859080.22092196648</v>
      </c>
      <c r="J50" s="172">
        <v>160.44184393284846</v>
      </c>
      <c r="K50" s="173">
        <v>14.783346806790622</v>
      </c>
      <c r="Y50" s="187" t="s">
        <v>90</v>
      </c>
      <c r="Z50" s="173">
        <v>36756</v>
      </c>
      <c r="AA50" s="172">
        <v>160.44184393284846</v>
      </c>
      <c r="AN50" s="227" t="s">
        <v>1267</v>
      </c>
      <c r="AO50" s="179">
        <v>0.69099999999999995</v>
      </c>
      <c r="AP50" s="179" t="s">
        <v>1215</v>
      </c>
      <c r="AQ50" s="179">
        <v>0.93500000000000005</v>
      </c>
      <c r="AR50" s="179">
        <v>0.434</v>
      </c>
      <c r="AS50" s="179">
        <v>0.63900000000000001</v>
      </c>
      <c r="AT50" s="179">
        <v>0.28299999999999997</v>
      </c>
      <c r="AU50" s="179">
        <v>0.17499999999999999</v>
      </c>
      <c r="AV50" s="179">
        <v>3.4000000000000002E-2</v>
      </c>
      <c r="AW50" s="179">
        <v>8.0000000000000002E-3</v>
      </c>
      <c r="AX50" s="179">
        <v>3.9E-2</v>
      </c>
    </row>
    <row r="51" spans="1:50" ht="20.399999999999999" customHeight="1" x14ac:dyDescent="0.3">
      <c r="A51" s="150" t="s">
        <v>91</v>
      </c>
      <c r="B51" s="170">
        <v>175</v>
      </c>
      <c r="C51" s="170">
        <v>87.7760698972575</v>
      </c>
      <c r="D51" s="171">
        <v>491.86958983900979</v>
      </c>
      <c r="E51" s="170">
        <v>455</v>
      </c>
      <c r="F51" s="171">
        <v>31.146347382897826</v>
      </c>
      <c r="G51" s="172">
        <v>46.962219885122565</v>
      </c>
      <c r="H51" s="173">
        <v>36429</v>
      </c>
      <c r="I51" s="174">
        <v>479734.64930021844</v>
      </c>
      <c r="J51" s="172">
        <v>98.535717174985848</v>
      </c>
      <c r="K51" s="173">
        <v>28.481566820276498</v>
      </c>
      <c r="Y51" s="186" t="s">
        <v>91</v>
      </c>
      <c r="Z51" s="173">
        <v>36429</v>
      </c>
      <c r="AA51" s="172">
        <v>98.535717174985848</v>
      </c>
      <c r="AN51" s="227" t="s">
        <v>1220</v>
      </c>
      <c r="AO51" s="179">
        <v>0.16700000000000001</v>
      </c>
      <c r="AP51" s="179">
        <v>8.9999999999999993E-3</v>
      </c>
      <c r="AQ51" s="179">
        <v>1</v>
      </c>
      <c r="AR51" s="179" t="s">
        <v>1271</v>
      </c>
      <c r="AS51" s="179" t="s">
        <v>1272</v>
      </c>
      <c r="AT51" s="179">
        <v>3.6999999999999998E-2</v>
      </c>
      <c r="AU51" s="179">
        <v>9.4E-2</v>
      </c>
      <c r="AV51" s="179">
        <v>3.7999999999999999E-2</v>
      </c>
      <c r="AW51" s="179">
        <v>2.1000000000000001E-2</v>
      </c>
      <c r="AX51" s="179" t="s">
        <v>1273</v>
      </c>
    </row>
    <row r="52" spans="1:50" ht="20.399999999999999" customHeight="1" x14ac:dyDescent="0.3">
      <c r="A52" s="150" t="s">
        <v>92</v>
      </c>
      <c r="B52" s="170">
        <v>277</v>
      </c>
      <c r="C52" s="170">
        <v>66.832917705735667</v>
      </c>
      <c r="D52" s="171">
        <v>326.10780740456545</v>
      </c>
      <c r="E52" s="170">
        <v>285</v>
      </c>
      <c r="F52" s="171">
        <v>29.893215678751837</v>
      </c>
      <c r="G52" s="172">
        <v>52.634439542170206</v>
      </c>
      <c r="H52" s="173">
        <v>42701</v>
      </c>
      <c r="I52" s="174">
        <v>760278.79020397714</v>
      </c>
      <c r="J52" s="172">
        <v>165.1640130443123</v>
      </c>
      <c r="K52" s="173">
        <v>58.354477611940297</v>
      </c>
      <c r="Y52" s="186" t="s">
        <v>92</v>
      </c>
      <c r="Z52" s="173">
        <v>42701</v>
      </c>
      <c r="AA52" s="172">
        <v>165.1640130443123</v>
      </c>
      <c r="AN52" s="227" t="s">
        <v>1267</v>
      </c>
      <c r="AO52" s="179">
        <v>0.14199999999999999</v>
      </c>
      <c r="AP52" s="179">
        <v>0.93500000000000005</v>
      </c>
      <c r="AQ52" s="179" t="s">
        <v>1215</v>
      </c>
      <c r="AR52" s="179">
        <v>0.01</v>
      </c>
      <c r="AS52" s="179">
        <v>3.0000000000000001E-3</v>
      </c>
      <c r="AT52" s="179">
        <v>0.748</v>
      </c>
      <c r="AU52" s="179">
        <v>0.40899999999999997</v>
      </c>
      <c r="AV52" s="179">
        <v>0.73599999999999999</v>
      </c>
      <c r="AW52" s="179">
        <v>0.85199999999999998</v>
      </c>
      <c r="AX52" s="179">
        <v>0</v>
      </c>
    </row>
    <row r="53" spans="1:50" ht="20.399999999999999" customHeight="1" x14ac:dyDescent="0.3">
      <c r="A53" s="150" t="s">
        <v>93</v>
      </c>
      <c r="B53" s="170">
        <v>266</v>
      </c>
      <c r="C53" s="170">
        <v>101.82793895690089</v>
      </c>
      <c r="D53" s="171">
        <v>384.03488177092072</v>
      </c>
      <c r="E53" s="170">
        <v>405</v>
      </c>
      <c r="F53" s="171">
        <v>21.298004360221366</v>
      </c>
      <c r="G53" s="172">
        <v>46.973000167700832</v>
      </c>
      <c r="H53" s="173">
        <v>33348</v>
      </c>
      <c r="I53" s="174">
        <v>500586.95287606912</v>
      </c>
      <c r="J53" s="172">
        <v>120.11571356699649</v>
      </c>
      <c r="K53" s="173">
        <v>23.569169960474305</v>
      </c>
      <c r="Y53" s="186" t="s">
        <v>93</v>
      </c>
      <c r="Z53" s="173">
        <v>33348</v>
      </c>
      <c r="AA53" s="172">
        <v>120.11571356699649</v>
      </c>
      <c r="AN53" s="227" t="s">
        <v>1221</v>
      </c>
      <c r="AO53" s="179">
        <v>0.156</v>
      </c>
      <c r="AP53" s="179">
        <v>-8.8999999999999996E-2</v>
      </c>
      <c r="AQ53" s="179" t="s">
        <v>1271</v>
      </c>
      <c r="AR53" s="179">
        <v>1</v>
      </c>
      <c r="AS53" s="179">
        <v>-0.107</v>
      </c>
      <c r="AT53" s="179">
        <v>6.0000000000000001E-3</v>
      </c>
      <c r="AU53" s="179">
        <v>-0.05</v>
      </c>
      <c r="AV53" s="179">
        <v>-7.0999999999999994E-2</v>
      </c>
      <c r="AW53" s="179">
        <v>-0.16500000000000001</v>
      </c>
      <c r="AX53" s="179">
        <v>-0.16400000000000001</v>
      </c>
    </row>
    <row r="54" spans="1:50" ht="20.399999999999999" customHeight="1" x14ac:dyDescent="0.3">
      <c r="A54" s="150" t="s">
        <v>94</v>
      </c>
      <c r="B54" s="170">
        <v>189</v>
      </c>
      <c r="C54" s="170">
        <v>53.922237380627557</v>
      </c>
      <c r="D54" s="171">
        <v>416.95088676671213</v>
      </c>
      <c r="E54" s="170">
        <v>1143</v>
      </c>
      <c r="F54" s="171">
        <v>34.703274215552526</v>
      </c>
      <c r="G54" s="172">
        <v>47.552864938608465</v>
      </c>
      <c r="H54" s="173">
        <v>35783</v>
      </c>
      <c r="I54" s="174">
        <v>502216.91678035475</v>
      </c>
      <c r="J54" s="172">
        <v>103.00136425648023</v>
      </c>
      <c r="K54" s="173">
        <v>31.526881720430104</v>
      </c>
      <c r="Y54" s="186" t="s">
        <v>94</v>
      </c>
      <c r="Z54" s="173">
        <v>35783</v>
      </c>
      <c r="AA54" s="172">
        <v>103.00136425648023</v>
      </c>
      <c r="AN54" s="227" t="s">
        <v>1267</v>
      </c>
      <c r="AO54" s="179">
        <v>0.17</v>
      </c>
      <c r="AP54" s="179">
        <v>0.434</v>
      </c>
      <c r="AQ54" s="179">
        <v>0.01</v>
      </c>
      <c r="AR54" s="179" t="s">
        <v>1215</v>
      </c>
      <c r="AS54" s="179">
        <v>0.34899999999999998</v>
      </c>
      <c r="AT54" s="179">
        <v>0.95499999999999996</v>
      </c>
      <c r="AU54" s="179">
        <v>0.65900000000000003</v>
      </c>
      <c r="AV54" s="179">
        <v>0.53600000000000003</v>
      </c>
      <c r="AW54" s="179">
        <v>0.14699999999999999</v>
      </c>
      <c r="AX54" s="179">
        <v>0.14799999999999999</v>
      </c>
    </row>
    <row r="55" spans="1:50" ht="20.399999999999999" customHeight="1" x14ac:dyDescent="0.3">
      <c r="A55" s="150" t="s">
        <v>97</v>
      </c>
      <c r="B55" s="170">
        <v>325</v>
      </c>
      <c r="C55" s="170">
        <v>206.95289743529025</v>
      </c>
      <c r="D55" s="171">
        <v>298.8609183697634</v>
      </c>
      <c r="E55" s="170">
        <v>375</v>
      </c>
      <c r="F55" s="171">
        <v>8.6674402633386229</v>
      </c>
      <c r="G55" s="172">
        <v>49.617543277997491</v>
      </c>
      <c r="H55" s="173">
        <v>53413</v>
      </c>
      <c r="I55" s="174">
        <v>821512.3025552372</v>
      </c>
      <c r="J55" s="172">
        <v>170.60174769697116</v>
      </c>
      <c r="K55" s="173">
        <v>21.744078269824922</v>
      </c>
      <c r="Y55" s="186" t="s">
        <v>97</v>
      </c>
      <c r="Z55" s="173">
        <v>53413</v>
      </c>
      <c r="AA55" s="172">
        <v>170.60174769697116</v>
      </c>
      <c r="AN55" s="227" t="s">
        <v>1222</v>
      </c>
      <c r="AO55" s="179">
        <v>5.8000000000000003E-2</v>
      </c>
      <c r="AP55" s="179">
        <v>5.3999999999999999E-2</v>
      </c>
      <c r="AQ55" s="179" t="s">
        <v>1272</v>
      </c>
      <c r="AR55" s="179">
        <v>-0.107</v>
      </c>
      <c r="AS55" s="179">
        <v>1</v>
      </c>
      <c r="AT55" s="179" t="s">
        <v>1274</v>
      </c>
      <c r="AU55" s="179" t="s">
        <v>1275</v>
      </c>
      <c r="AV55" s="179" t="s">
        <v>1276</v>
      </c>
      <c r="AW55" s="179" t="s">
        <v>1277</v>
      </c>
      <c r="AX55" s="179" t="s">
        <v>1278</v>
      </c>
    </row>
    <row r="56" spans="1:50" ht="20.399999999999999" customHeight="1" x14ac:dyDescent="0.3">
      <c r="A56" s="150" t="s">
        <v>98</v>
      </c>
      <c r="B56" s="170">
        <v>200</v>
      </c>
      <c r="C56" s="170">
        <v>827.91199753264118</v>
      </c>
      <c r="D56" s="171">
        <v>369.84681813508791</v>
      </c>
      <c r="E56" s="170">
        <v>204</v>
      </c>
      <c r="F56" s="171">
        <v>46.314382646242414</v>
      </c>
      <c r="G56" s="172">
        <v>58.049758404441242</v>
      </c>
      <c r="H56" s="173">
        <v>69341</v>
      </c>
      <c r="I56" s="174">
        <v>3588979.1302559883</v>
      </c>
      <c r="J56" s="172">
        <v>862.70175799321464</v>
      </c>
      <c r="K56" s="173">
        <v>2.6572872558393663</v>
      </c>
      <c r="Y56" s="186" t="s">
        <v>98</v>
      </c>
      <c r="Z56" s="173">
        <v>69341</v>
      </c>
      <c r="AA56" s="172">
        <v>862.70175799321464</v>
      </c>
      <c r="AN56" s="227" t="s">
        <v>1267</v>
      </c>
      <c r="AO56" s="179">
        <v>0.61</v>
      </c>
      <c r="AP56" s="179">
        <v>0.63900000000000001</v>
      </c>
      <c r="AQ56" s="179">
        <v>3.0000000000000001E-3</v>
      </c>
      <c r="AR56" s="179">
        <v>0.34899999999999998</v>
      </c>
      <c r="AS56" s="179" t="s">
        <v>1215</v>
      </c>
      <c r="AT56" s="179">
        <v>0</v>
      </c>
      <c r="AU56" s="179">
        <v>0</v>
      </c>
      <c r="AV56" s="179">
        <v>1E-3</v>
      </c>
      <c r="AW56" s="179">
        <v>0</v>
      </c>
      <c r="AX56" s="179">
        <v>0</v>
      </c>
    </row>
    <row r="57" spans="1:50" ht="20.399999999999999" customHeight="1" x14ac:dyDescent="0.3">
      <c r="A57" s="150" t="s">
        <v>1069</v>
      </c>
      <c r="B57" s="170">
        <v>162</v>
      </c>
      <c r="C57" s="170">
        <v>121.58690462657722</v>
      </c>
      <c r="D57" s="171">
        <v>259.17926565874728</v>
      </c>
      <c r="E57" s="170">
        <v>222</v>
      </c>
      <c r="F57" s="171">
        <v>27.850403546663635</v>
      </c>
      <c r="G57" s="172">
        <v>62.629305445038085</v>
      </c>
      <c r="H57" s="173">
        <v>72634</v>
      </c>
      <c r="I57" s="174">
        <v>3918949.6419233829</v>
      </c>
      <c r="J57" s="172">
        <v>882.57360463794464</v>
      </c>
      <c r="K57" s="173">
        <v>3.289827973074047</v>
      </c>
      <c r="Y57" s="186" t="s">
        <v>1069</v>
      </c>
      <c r="Z57" s="173">
        <v>72634</v>
      </c>
      <c r="AA57" s="172">
        <v>882.57360463794464</v>
      </c>
      <c r="AN57" s="227" t="s">
        <v>1223</v>
      </c>
      <c r="AO57" s="179">
        <v>-0.105</v>
      </c>
      <c r="AP57" s="179">
        <v>0.122</v>
      </c>
      <c r="AQ57" s="179">
        <v>3.6999999999999998E-2</v>
      </c>
      <c r="AR57" s="179">
        <v>6.0000000000000001E-3</v>
      </c>
      <c r="AS57" s="179" t="s">
        <v>1274</v>
      </c>
      <c r="AT57" s="179">
        <v>1</v>
      </c>
      <c r="AU57" s="179" t="s">
        <v>1279</v>
      </c>
      <c r="AV57" s="179" t="s">
        <v>1280</v>
      </c>
      <c r="AW57" s="179" t="s">
        <v>1281</v>
      </c>
      <c r="AX57" s="179" t="s">
        <v>1266</v>
      </c>
    </row>
    <row r="58" spans="1:50" ht="20.399999999999999" customHeight="1" x14ac:dyDescent="0.3">
      <c r="A58" s="150" t="s">
        <v>922</v>
      </c>
      <c r="B58" s="170">
        <v>304</v>
      </c>
      <c r="C58" s="170">
        <v>178.39544385291569</v>
      </c>
      <c r="D58" s="171">
        <v>506.37612975114519</v>
      </c>
      <c r="E58" s="170">
        <v>193</v>
      </c>
      <c r="F58" s="171">
        <v>62.461309892286735</v>
      </c>
      <c r="G58" s="172">
        <v>46.26717840782468</v>
      </c>
      <c r="H58" s="173">
        <v>43350</v>
      </c>
      <c r="I58" s="174">
        <v>1064751.7642689117</v>
      </c>
      <c r="J58" s="172">
        <v>203.97424786430605</v>
      </c>
      <c r="K58" s="173">
        <v>10.089943785134292</v>
      </c>
      <c r="Y58" s="186" t="s">
        <v>922</v>
      </c>
      <c r="Z58" s="173">
        <v>43350</v>
      </c>
      <c r="AA58" s="172">
        <v>203.97424786430605</v>
      </c>
      <c r="AN58" s="227" t="s">
        <v>1267</v>
      </c>
      <c r="AO58" s="179">
        <v>0.35599999999999998</v>
      </c>
      <c r="AP58" s="179">
        <v>0.28299999999999997</v>
      </c>
      <c r="AQ58" s="179">
        <v>0.748</v>
      </c>
      <c r="AR58" s="179">
        <v>0.95499999999999996</v>
      </c>
      <c r="AS58" s="179">
        <v>0</v>
      </c>
      <c r="AT58" s="179" t="s">
        <v>1215</v>
      </c>
      <c r="AU58" s="179">
        <v>0</v>
      </c>
      <c r="AV58" s="179">
        <v>0</v>
      </c>
      <c r="AW58" s="179">
        <v>0</v>
      </c>
      <c r="AX58" s="179">
        <v>4.8000000000000001E-2</v>
      </c>
    </row>
    <row r="59" spans="1:50" ht="20.399999999999999" customHeight="1" x14ac:dyDescent="0.3">
      <c r="A59" s="150" t="s">
        <v>103</v>
      </c>
      <c r="B59" s="170">
        <v>225</v>
      </c>
      <c r="C59" s="170">
        <v>96.536898521703279</v>
      </c>
      <c r="D59" s="171">
        <v>325.69644855409626</v>
      </c>
      <c r="E59" s="170">
        <v>450</v>
      </c>
      <c r="F59" s="171">
        <v>41.256846692973674</v>
      </c>
      <c r="G59" s="172">
        <v>52.603215737086984</v>
      </c>
      <c r="H59" s="173">
        <v>39703</v>
      </c>
      <c r="I59" s="174">
        <v>677307.26191177336</v>
      </c>
      <c r="J59" s="172">
        <v>131.36816066906178</v>
      </c>
      <c r="K59" s="173">
        <v>38.327313769751697</v>
      </c>
      <c r="Y59" s="186" t="s">
        <v>103</v>
      </c>
      <c r="Z59" s="173">
        <v>39703</v>
      </c>
      <c r="AA59" s="172">
        <v>131.36816066906178</v>
      </c>
      <c r="AN59" s="227" t="s">
        <v>1224</v>
      </c>
      <c r="AO59" s="179">
        <v>-0.182</v>
      </c>
      <c r="AP59" s="179">
        <v>0.154</v>
      </c>
      <c r="AQ59" s="179">
        <v>9.4E-2</v>
      </c>
      <c r="AR59" s="179">
        <v>-0.05</v>
      </c>
      <c r="AS59" s="179" t="s">
        <v>1275</v>
      </c>
      <c r="AT59" s="179" t="s">
        <v>1279</v>
      </c>
      <c r="AU59" s="179">
        <v>1</v>
      </c>
      <c r="AV59" s="179" t="s">
        <v>1282</v>
      </c>
      <c r="AW59" s="179" t="s">
        <v>1283</v>
      </c>
      <c r="AX59" s="179">
        <v>-0.20200000000000001</v>
      </c>
    </row>
    <row r="60" spans="1:50" ht="20.399999999999999" customHeight="1" x14ac:dyDescent="0.3">
      <c r="A60" s="152" t="s">
        <v>105</v>
      </c>
      <c r="B60" s="170">
        <v>135</v>
      </c>
      <c r="C60" s="170">
        <v>352.56166982922201</v>
      </c>
      <c r="D60" s="171">
        <v>569.25996204933585</v>
      </c>
      <c r="E60" s="170">
        <v>318</v>
      </c>
      <c r="F60" s="171">
        <v>47.438330170777981</v>
      </c>
      <c r="G60" s="172">
        <v>38.187855787476281</v>
      </c>
      <c r="H60" s="173">
        <v>34817</v>
      </c>
      <c r="I60" s="174">
        <v>436432.63757115742</v>
      </c>
      <c r="J60" s="172">
        <v>231.02466793168881</v>
      </c>
      <c r="K60" s="173">
        <v>2.2691065662002154</v>
      </c>
      <c r="Y60" s="187" t="s">
        <v>105</v>
      </c>
      <c r="Z60" s="173">
        <v>34817</v>
      </c>
      <c r="AA60" s="172">
        <v>231.02466793168881</v>
      </c>
      <c r="AN60" s="227" t="s">
        <v>1267</v>
      </c>
      <c r="AO60" s="179">
        <v>0.109</v>
      </c>
      <c r="AP60" s="179">
        <v>0.17499999999999999</v>
      </c>
      <c r="AQ60" s="179">
        <v>0.40899999999999997</v>
      </c>
      <c r="AR60" s="179">
        <v>0.65900000000000003</v>
      </c>
      <c r="AS60" s="179">
        <v>0</v>
      </c>
      <c r="AT60" s="179">
        <v>0</v>
      </c>
      <c r="AU60" s="179" t="s">
        <v>1215</v>
      </c>
      <c r="AV60" s="179">
        <v>0</v>
      </c>
      <c r="AW60" s="179">
        <v>0</v>
      </c>
      <c r="AX60" s="179">
        <v>7.3999999999999996E-2</v>
      </c>
    </row>
    <row r="61" spans="1:50" ht="20.399999999999999" customHeight="1" x14ac:dyDescent="0.3">
      <c r="A61" s="150" t="s">
        <v>106</v>
      </c>
      <c r="B61" s="170">
        <v>420</v>
      </c>
      <c r="C61" s="170">
        <v>499.55555555555549</v>
      </c>
      <c r="D61" s="171">
        <v>411.85185185185185</v>
      </c>
      <c r="E61" s="170">
        <v>73</v>
      </c>
      <c r="F61" s="171">
        <v>49.481481481481481</v>
      </c>
      <c r="G61" s="172">
        <v>33.274074074074072</v>
      </c>
      <c r="H61" s="173">
        <v>28934</v>
      </c>
      <c r="I61" s="174">
        <v>320000</v>
      </c>
      <c r="J61" s="172">
        <v>75.259259259259267</v>
      </c>
      <c r="K61" s="173">
        <v>2.0017793594306053</v>
      </c>
      <c r="Y61" s="186" t="s">
        <v>106</v>
      </c>
      <c r="Z61" s="173">
        <v>28934</v>
      </c>
      <c r="AA61" s="172">
        <v>75.259259259259267</v>
      </c>
      <c r="AN61" s="227" t="s">
        <v>1225</v>
      </c>
      <c r="AO61" s="179">
        <v>-0.126</v>
      </c>
      <c r="AP61" s="179" t="s">
        <v>1268</v>
      </c>
      <c r="AQ61" s="179">
        <v>3.7999999999999999E-2</v>
      </c>
      <c r="AR61" s="179">
        <v>-7.0999999999999994E-2</v>
      </c>
      <c r="AS61" s="179" t="s">
        <v>1276</v>
      </c>
      <c r="AT61" s="179" t="s">
        <v>1280</v>
      </c>
      <c r="AU61" s="179" t="s">
        <v>1282</v>
      </c>
      <c r="AV61" s="179">
        <v>1</v>
      </c>
      <c r="AW61" s="179" t="s">
        <v>1284</v>
      </c>
      <c r="AX61" s="179" t="s">
        <v>1285</v>
      </c>
    </row>
    <row r="62" spans="1:50" ht="20.399999999999999" customHeight="1" x14ac:dyDescent="0.3">
      <c r="A62" s="150" t="s">
        <v>107</v>
      </c>
      <c r="B62" s="170">
        <v>258</v>
      </c>
      <c r="C62" s="170">
        <v>244.90723210904957</v>
      </c>
      <c r="D62" s="171">
        <v>350.24611889435818</v>
      </c>
      <c r="E62" s="170">
        <v>788</v>
      </c>
      <c r="F62" s="171">
        <v>41.461567588034825</v>
      </c>
      <c r="G62" s="172">
        <v>46.98977659977281</v>
      </c>
      <c r="H62" s="173">
        <v>34999</v>
      </c>
      <c r="I62" s="174">
        <v>660734.570238546</v>
      </c>
      <c r="J62" s="172">
        <v>113.40401363120029</v>
      </c>
      <c r="K62" s="173">
        <v>8.5746753246753258</v>
      </c>
      <c r="Y62" s="186" t="s">
        <v>107</v>
      </c>
      <c r="Z62" s="173">
        <v>34999</v>
      </c>
      <c r="AA62" s="172">
        <v>113.40401363120029</v>
      </c>
      <c r="AN62" s="227" t="s">
        <v>1267</v>
      </c>
      <c r="AO62" s="179">
        <v>0.26900000000000002</v>
      </c>
      <c r="AP62" s="179">
        <v>3.4000000000000002E-2</v>
      </c>
      <c r="AQ62" s="179">
        <v>0.73599999999999999</v>
      </c>
      <c r="AR62" s="179">
        <v>0.53600000000000003</v>
      </c>
      <c r="AS62" s="179">
        <v>1E-3</v>
      </c>
      <c r="AT62" s="179">
        <v>0</v>
      </c>
      <c r="AU62" s="179">
        <v>0</v>
      </c>
      <c r="AV62" s="179" t="s">
        <v>1215</v>
      </c>
      <c r="AW62" s="179">
        <v>0</v>
      </c>
      <c r="AX62" s="179">
        <v>6.0000000000000001E-3</v>
      </c>
    </row>
    <row r="63" spans="1:50" ht="20.399999999999999" customHeight="1" x14ac:dyDescent="0.3">
      <c r="A63" s="150" t="s">
        <v>108</v>
      </c>
      <c r="B63" s="170">
        <v>234</v>
      </c>
      <c r="C63" s="170">
        <v>389.16465749539071</v>
      </c>
      <c r="D63" s="171">
        <v>439.65394979435536</v>
      </c>
      <c r="E63" s="170">
        <v>294</v>
      </c>
      <c r="F63" s="171">
        <v>46.234576655793504</v>
      </c>
      <c r="G63" s="172">
        <v>50.007091192738621</v>
      </c>
      <c r="H63" s="173">
        <v>36431</v>
      </c>
      <c r="I63" s="174">
        <v>446745.14253297402</v>
      </c>
      <c r="J63" s="172">
        <v>85.047038245166164</v>
      </c>
      <c r="K63" s="173">
        <v>12.59107142857143</v>
      </c>
      <c r="Y63" s="186" t="s">
        <v>108</v>
      </c>
      <c r="Z63" s="173">
        <v>36431</v>
      </c>
      <c r="AA63" s="172">
        <v>85.047038245166164</v>
      </c>
      <c r="AN63" s="227" t="s">
        <v>1226</v>
      </c>
      <c r="AO63" s="179" t="s">
        <v>1265</v>
      </c>
      <c r="AP63" s="179" t="s">
        <v>1269</v>
      </c>
      <c r="AQ63" s="179">
        <v>2.1000000000000001E-2</v>
      </c>
      <c r="AR63" s="179">
        <v>-0.16500000000000001</v>
      </c>
      <c r="AS63" s="179" t="s">
        <v>1277</v>
      </c>
      <c r="AT63" s="179" t="s">
        <v>1281</v>
      </c>
      <c r="AU63" s="179" t="s">
        <v>1283</v>
      </c>
      <c r="AV63" s="179" t="s">
        <v>1284</v>
      </c>
      <c r="AW63" s="179">
        <v>1</v>
      </c>
      <c r="AX63" s="179" t="s">
        <v>1286</v>
      </c>
    </row>
    <row r="64" spans="1:50" ht="20.399999999999999" customHeight="1" x14ac:dyDescent="0.3">
      <c r="A64" s="150" t="s">
        <v>109</v>
      </c>
      <c r="B64" s="170">
        <v>385</v>
      </c>
      <c r="C64" s="170">
        <v>1330.5505779839082</v>
      </c>
      <c r="D64" s="171">
        <v>466.95478022557188</v>
      </c>
      <c r="E64" s="170">
        <v>314</v>
      </c>
      <c r="F64" s="171">
        <v>37.735849056603776</v>
      </c>
      <c r="G64" s="172">
        <v>49.520396331822496</v>
      </c>
      <c r="H64" s="173">
        <v>50380</v>
      </c>
      <c r="I64" s="174">
        <v>1166157.1975686026</v>
      </c>
      <c r="J64" s="172">
        <v>325.49804996310746</v>
      </c>
      <c r="K64" s="173">
        <v>1.2025097177623794</v>
      </c>
      <c r="Y64" s="186" t="s">
        <v>109</v>
      </c>
      <c r="Z64" s="173">
        <v>50380</v>
      </c>
      <c r="AA64" s="172">
        <v>325.49804996310746</v>
      </c>
      <c r="AN64" s="227" t="s">
        <v>1267</v>
      </c>
      <c r="AO64" s="179">
        <v>1.7000000000000001E-2</v>
      </c>
      <c r="AP64" s="179">
        <v>8.0000000000000002E-3</v>
      </c>
      <c r="AQ64" s="179">
        <v>0.85199999999999998</v>
      </c>
      <c r="AR64" s="179">
        <v>0.14699999999999999</v>
      </c>
      <c r="AS64" s="179">
        <v>0</v>
      </c>
      <c r="AT64" s="179">
        <v>0</v>
      </c>
      <c r="AU64" s="179">
        <v>0</v>
      </c>
      <c r="AV64" s="179">
        <v>0</v>
      </c>
      <c r="AW64" s="179" t="s">
        <v>1215</v>
      </c>
      <c r="AX64" s="179">
        <v>7.0000000000000001E-3</v>
      </c>
    </row>
    <row r="65" spans="1:50" ht="20.399999999999999" customHeight="1" x14ac:dyDescent="0.3">
      <c r="A65" s="150" t="s">
        <v>110</v>
      </c>
      <c r="B65" s="170">
        <v>251</v>
      </c>
      <c r="C65" s="170">
        <v>797.90602874919546</v>
      </c>
      <c r="D65" s="171">
        <v>311.95022527354644</v>
      </c>
      <c r="E65" s="170">
        <v>354</v>
      </c>
      <c r="F65" s="171">
        <v>34.284488307230205</v>
      </c>
      <c r="G65" s="172">
        <v>46.929843381248659</v>
      </c>
      <c r="H65" s="173">
        <v>42483</v>
      </c>
      <c r="I65" s="174">
        <v>1011370.9504398198</v>
      </c>
      <c r="J65" s="172">
        <v>390.55996567260246</v>
      </c>
      <c r="K65" s="173">
        <v>3.0078729994837379</v>
      </c>
      <c r="Y65" s="186" t="s">
        <v>110</v>
      </c>
      <c r="Z65" s="173">
        <v>42483</v>
      </c>
      <c r="AA65" s="172">
        <v>390.55996567260246</v>
      </c>
      <c r="AN65" s="227" t="s">
        <v>1227</v>
      </c>
      <c r="AO65" s="179" t="s">
        <v>1266</v>
      </c>
      <c r="AP65" s="179" t="s">
        <v>1270</v>
      </c>
      <c r="AQ65" s="179" t="s">
        <v>1273</v>
      </c>
      <c r="AR65" s="179">
        <v>-0.16400000000000001</v>
      </c>
      <c r="AS65" s="179" t="s">
        <v>1278</v>
      </c>
      <c r="AT65" s="179" t="s">
        <v>1266</v>
      </c>
      <c r="AU65" s="179">
        <v>-0.20200000000000001</v>
      </c>
      <c r="AV65" s="179" t="s">
        <v>1285</v>
      </c>
      <c r="AW65" s="179" t="s">
        <v>1286</v>
      </c>
      <c r="AX65" s="179">
        <v>1</v>
      </c>
    </row>
    <row r="66" spans="1:50" ht="20.399999999999999" customHeight="1" x14ac:dyDescent="0.3">
      <c r="A66" s="150" t="s">
        <v>111</v>
      </c>
      <c r="B66" s="170">
        <v>178</v>
      </c>
      <c r="C66" s="170">
        <v>97.66456019154532</v>
      </c>
      <c r="D66" s="171">
        <v>388.58578325548535</v>
      </c>
      <c r="E66" s="170">
        <v>122</v>
      </c>
      <c r="F66" s="171">
        <v>40.781881697217102</v>
      </c>
      <c r="G66" s="172">
        <v>45.064175530870983</v>
      </c>
      <c r="H66" s="173">
        <v>39408</v>
      </c>
      <c r="I66" s="174">
        <v>859206.34297601762</v>
      </c>
      <c r="J66" s="172">
        <v>162.77426698590887</v>
      </c>
      <c r="K66" s="173">
        <v>26.621734587251826</v>
      </c>
      <c r="Y66" s="186" t="s">
        <v>111</v>
      </c>
      <c r="Z66" s="173">
        <v>39408</v>
      </c>
      <c r="AA66" s="172">
        <v>162.77426698590887</v>
      </c>
      <c r="AN66" s="227" t="s">
        <v>1267</v>
      </c>
      <c r="AO66" s="179">
        <v>4.7E-2</v>
      </c>
      <c r="AP66" s="179">
        <v>3.9E-2</v>
      </c>
      <c r="AQ66" s="179">
        <v>0</v>
      </c>
      <c r="AR66" s="179">
        <v>0.14799999999999999</v>
      </c>
      <c r="AS66" s="179">
        <v>0</v>
      </c>
      <c r="AT66" s="179">
        <v>4.8000000000000001E-2</v>
      </c>
      <c r="AU66" s="179">
        <v>7.3999999999999996E-2</v>
      </c>
      <c r="AV66" s="179">
        <v>6.0000000000000001E-3</v>
      </c>
      <c r="AW66" s="179">
        <v>7.0000000000000001E-3</v>
      </c>
      <c r="AX66" s="179" t="s">
        <v>1215</v>
      </c>
    </row>
    <row r="67" spans="1:50" ht="34.200000000000003" x14ac:dyDescent="0.3">
      <c r="A67" s="150" t="s">
        <v>112</v>
      </c>
      <c r="B67" s="170">
        <v>394</v>
      </c>
      <c r="C67" s="170">
        <v>152.97365119196988</v>
      </c>
      <c r="D67" s="171">
        <v>311.88385015235701</v>
      </c>
      <c r="E67" s="170">
        <v>363</v>
      </c>
      <c r="F67" s="171">
        <v>38.393977415307404</v>
      </c>
      <c r="G67" s="172">
        <v>47.137479835095895</v>
      </c>
      <c r="H67" s="173">
        <v>49936</v>
      </c>
      <c r="I67" s="174">
        <v>695106.64993726485</v>
      </c>
      <c r="J67" s="172">
        <v>136.5836171356874</v>
      </c>
      <c r="K67" s="173">
        <v>15.688976377952756</v>
      </c>
      <c r="Y67" s="186" t="s">
        <v>112</v>
      </c>
      <c r="Z67" s="173">
        <v>49936</v>
      </c>
      <c r="AA67" s="172">
        <v>136.5836171356874</v>
      </c>
    </row>
    <row r="68" spans="1:50" ht="22.8" x14ac:dyDescent="0.3">
      <c r="A68" s="150" t="s">
        <v>113</v>
      </c>
      <c r="B68" s="170">
        <v>342</v>
      </c>
      <c r="C68" s="170">
        <v>302.67312029041307</v>
      </c>
      <c r="D68" s="171">
        <v>441.11985039326771</v>
      </c>
      <c r="E68" s="170">
        <v>266</v>
      </c>
      <c r="F68" s="171">
        <v>36.961663274847375</v>
      </c>
      <c r="G68" s="172">
        <v>45.971068698091415</v>
      </c>
      <c r="H68" s="173">
        <v>40804</v>
      </c>
      <c r="I68" s="174">
        <v>520873.43930476869</v>
      </c>
      <c r="J68" s="172">
        <v>114.40514823167044</v>
      </c>
      <c r="K68" s="173">
        <v>12.885187810063785</v>
      </c>
      <c r="Y68" s="186" t="s">
        <v>113</v>
      </c>
      <c r="Z68" s="173">
        <v>40804</v>
      </c>
      <c r="AA68" s="172">
        <v>114.40514823167044</v>
      </c>
    </row>
    <row r="69" spans="1:50" ht="22.8" x14ac:dyDescent="0.3">
      <c r="A69" s="150" t="s">
        <v>114</v>
      </c>
      <c r="B69" s="170">
        <v>278</v>
      </c>
      <c r="C69" s="170">
        <v>421.85163887291537</v>
      </c>
      <c r="D69" s="171">
        <v>415.94786275637335</v>
      </c>
      <c r="E69" s="170">
        <v>416</v>
      </c>
      <c r="F69" s="171">
        <v>41.019743147402714</v>
      </c>
      <c r="G69" s="172">
        <v>47.393137818669729</v>
      </c>
      <c r="H69" s="173">
        <v>41600</v>
      </c>
      <c r="I69" s="174">
        <v>775349.81790300924</v>
      </c>
      <c r="J69" s="172">
        <v>142.32317423806785</v>
      </c>
      <c r="K69" s="173">
        <v>3.3187022900763363</v>
      </c>
      <c r="Y69" s="186" t="s">
        <v>114</v>
      </c>
      <c r="Z69" s="173">
        <v>41600</v>
      </c>
      <c r="AA69" s="172">
        <v>142.32317423806785</v>
      </c>
    </row>
    <row r="70" spans="1:50" ht="22.8" x14ac:dyDescent="0.3">
      <c r="A70" s="150" t="s">
        <v>116</v>
      </c>
      <c r="B70" s="170">
        <v>263</v>
      </c>
      <c r="C70" s="170">
        <v>686.7681860273691</v>
      </c>
      <c r="D70" s="171">
        <v>496.96470830332339</v>
      </c>
      <c r="E70" s="170">
        <v>342</v>
      </c>
      <c r="F70" s="171">
        <v>32.719415577734331</v>
      </c>
      <c r="G70" s="172">
        <v>38.76942072229653</v>
      </c>
      <c r="H70" s="173">
        <v>38412</v>
      </c>
      <c r="I70" s="174">
        <v>459923.86047947319</v>
      </c>
      <c r="J70" s="172">
        <v>170.07922625784548</v>
      </c>
      <c r="K70" s="173">
        <v>2.7665812695701679</v>
      </c>
      <c r="Y70" s="186" t="s">
        <v>116</v>
      </c>
      <c r="Z70" s="173">
        <v>38412</v>
      </c>
      <c r="AA70" s="172">
        <v>170.07922625784548</v>
      </c>
    </row>
    <row r="71" spans="1:50" ht="34.200000000000003" x14ac:dyDescent="0.3">
      <c r="A71" s="150" t="s">
        <v>117</v>
      </c>
      <c r="B71" s="170">
        <v>242</v>
      </c>
      <c r="C71" s="170">
        <v>7387.8406708595394</v>
      </c>
      <c r="D71" s="171">
        <v>442.24817809723464</v>
      </c>
      <c r="E71" s="170">
        <v>135</v>
      </c>
      <c r="F71" s="171">
        <v>34.441449535789154</v>
      </c>
      <c r="G71" s="172">
        <v>52.580612957971454</v>
      </c>
      <c r="H71" s="173">
        <v>69031</v>
      </c>
      <c r="I71" s="174">
        <v>2021563.3423180594</v>
      </c>
      <c r="J71" s="172">
        <v>738.24498352800242</v>
      </c>
      <c r="K71" s="173">
        <v>0.32485811577752555</v>
      </c>
      <c r="Y71" s="186" t="s">
        <v>117</v>
      </c>
      <c r="Z71" s="173">
        <v>69031</v>
      </c>
      <c r="AA71" s="172">
        <v>738.24498352800242</v>
      </c>
    </row>
    <row r="72" spans="1:50" ht="22.8" x14ac:dyDescent="0.3">
      <c r="A72" s="150" t="s">
        <v>118</v>
      </c>
      <c r="B72" s="170">
        <v>276</v>
      </c>
      <c r="C72" s="170">
        <v>526.4932954083705</v>
      </c>
      <c r="D72" s="171">
        <v>473.38480292563997</v>
      </c>
      <c r="E72" s="170">
        <v>163</v>
      </c>
      <c r="F72" s="171">
        <v>37.789516456724911</v>
      </c>
      <c r="G72" s="172">
        <v>43.417310036570498</v>
      </c>
      <c r="H72" s="173">
        <v>42758</v>
      </c>
      <c r="I72" s="174">
        <v>555668.42746850871</v>
      </c>
      <c r="J72" s="172">
        <v>274.58350264120281</v>
      </c>
      <c r="K72" s="173">
        <v>2.2792313035424869</v>
      </c>
      <c r="Y72" s="186" t="s">
        <v>118</v>
      </c>
      <c r="Z72" s="173">
        <v>42758</v>
      </c>
      <c r="AA72" s="172">
        <v>274.58350264120281</v>
      </c>
    </row>
    <row r="73" spans="1:50" ht="22.8" x14ac:dyDescent="0.3">
      <c r="A73" s="150" t="s">
        <v>119</v>
      </c>
      <c r="B73" s="170">
        <v>271</v>
      </c>
      <c r="C73" s="170">
        <v>160.71304949809627</v>
      </c>
      <c r="D73" s="171">
        <v>526.13361024575977</v>
      </c>
      <c r="E73" s="170">
        <v>487</v>
      </c>
      <c r="F73" s="171">
        <v>44.652128764278302</v>
      </c>
      <c r="G73" s="172">
        <v>55.867082035306339</v>
      </c>
      <c r="H73" s="173">
        <v>87054</v>
      </c>
      <c r="I73" s="174">
        <v>1235721.7030114227</v>
      </c>
      <c r="J73" s="172">
        <v>443.7521633783316</v>
      </c>
      <c r="K73" s="173">
        <v>0.62222700839974143</v>
      </c>
      <c r="Y73" s="186" t="s">
        <v>119</v>
      </c>
      <c r="Z73" s="173">
        <v>87054</v>
      </c>
      <c r="AA73" s="172">
        <v>443.7521633783316</v>
      </c>
    </row>
    <row r="74" spans="1:50" ht="22.8" x14ac:dyDescent="0.3">
      <c r="A74" s="150" t="s">
        <v>120</v>
      </c>
      <c r="B74" s="170">
        <v>318</v>
      </c>
      <c r="C74" s="170">
        <v>218.82196634189546</v>
      </c>
      <c r="D74" s="171">
        <v>293.95482728077945</v>
      </c>
      <c r="E74" s="170">
        <v>150</v>
      </c>
      <c r="F74" s="171">
        <v>51.040744021257751</v>
      </c>
      <c r="G74" s="172">
        <v>51.826837909654564</v>
      </c>
      <c r="H74" s="173">
        <v>54494</v>
      </c>
      <c r="I74" s="174">
        <v>851970.77059344552</v>
      </c>
      <c r="J74" s="172">
        <v>221.76705048715678</v>
      </c>
      <c r="K74" s="173">
        <v>10.96782027929569</v>
      </c>
      <c r="Y74" s="186" t="s">
        <v>120</v>
      </c>
      <c r="Z74" s="173">
        <v>54494</v>
      </c>
      <c r="AA74" s="172">
        <v>221.76705048715678</v>
      </c>
    </row>
    <row r="75" spans="1:50" ht="22.8" x14ac:dyDescent="0.3">
      <c r="A75" s="150" t="s">
        <v>121</v>
      </c>
      <c r="B75" s="170">
        <v>246</v>
      </c>
      <c r="C75" s="170">
        <v>985.96353962913724</v>
      </c>
      <c r="D75" s="171">
        <v>263.67263907362491</v>
      </c>
      <c r="E75" s="170">
        <v>193</v>
      </c>
      <c r="F75" s="171">
        <v>31.531179093967612</v>
      </c>
      <c r="G75" s="172">
        <v>53.18050230811361</v>
      </c>
      <c r="H75" s="173">
        <v>58092</v>
      </c>
      <c r="I75" s="174">
        <v>835615.36655973713</v>
      </c>
      <c r="J75" s="172">
        <v>327.59564979266099</v>
      </c>
      <c r="K75" s="173">
        <v>1.6227780599288977</v>
      </c>
      <c r="Y75" s="186" t="s">
        <v>121</v>
      </c>
      <c r="Z75" s="173">
        <v>58092</v>
      </c>
      <c r="AA75" s="172">
        <v>327.59564979266099</v>
      </c>
    </row>
    <row r="76" spans="1:50" ht="22.8" x14ac:dyDescent="0.3">
      <c r="A76" s="150" t="s">
        <v>122</v>
      </c>
      <c r="B76" s="170">
        <v>172</v>
      </c>
      <c r="C76" s="170">
        <v>1254.4194107452338</v>
      </c>
      <c r="D76" s="171">
        <v>299.9600053326223</v>
      </c>
      <c r="E76" s="170">
        <v>208</v>
      </c>
      <c r="F76" s="171">
        <v>26.26316491134515</v>
      </c>
      <c r="G76" s="172">
        <v>53.312891614451395</v>
      </c>
      <c r="H76" s="173">
        <v>54055</v>
      </c>
      <c r="I76" s="174">
        <v>805225.96987068385</v>
      </c>
      <c r="J76" s="172">
        <v>1001.3331555792562</v>
      </c>
      <c r="K76" s="173">
        <v>2.0726720088422219</v>
      </c>
      <c r="Y76" s="186" t="s">
        <v>122</v>
      </c>
      <c r="Z76" s="173">
        <v>54055</v>
      </c>
      <c r="AA76" s="172">
        <v>1001.3331555792562</v>
      </c>
    </row>
    <row r="77" spans="1:50" ht="34.200000000000003" x14ac:dyDescent="0.3">
      <c r="A77" s="150" t="s">
        <v>123</v>
      </c>
      <c r="B77" s="170">
        <v>350</v>
      </c>
      <c r="C77" s="170">
        <v>346.70164917541229</v>
      </c>
      <c r="D77" s="171">
        <v>562.21889055472263</v>
      </c>
      <c r="E77" s="170">
        <v>280</v>
      </c>
      <c r="F77" s="171">
        <v>54.722638680659664</v>
      </c>
      <c r="G77" s="172">
        <v>63.343328335832084</v>
      </c>
      <c r="H77" s="173">
        <v>111157</v>
      </c>
      <c r="I77" s="174">
        <v>2368815.5922038984</v>
      </c>
      <c r="J77" s="172">
        <v>727.88605697151422</v>
      </c>
      <c r="K77" s="173">
        <v>0.28843243243243244</v>
      </c>
      <c r="Y77" s="186" t="s">
        <v>123</v>
      </c>
      <c r="Z77" s="173">
        <v>111157</v>
      </c>
      <c r="AA77" s="172">
        <v>727.88605697151422</v>
      </c>
    </row>
    <row r="78" spans="1:50" ht="34.200000000000003" x14ac:dyDescent="0.3">
      <c r="A78" s="150" t="s">
        <v>124</v>
      </c>
      <c r="B78" s="170">
        <v>246</v>
      </c>
      <c r="C78" s="170">
        <v>57.10227272727272</v>
      </c>
      <c r="D78" s="171">
        <v>467.65734265734267</v>
      </c>
      <c r="E78" s="170">
        <v>160</v>
      </c>
      <c r="F78" s="171">
        <v>59.659090909090907</v>
      </c>
      <c r="G78" s="172">
        <v>61.210664335664333</v>
      </c>
      <c r="H78" s="173">
        <v>87902</v>
      </c>
      <c r="I78" s="174">
        <v>3343531.4685314684</v>
      </c>
      <c r="J78" s="172">
        <v>667.39510489510474</v>
      </c>
      <c r="K78" s="173">
        <v>5.253731343283583</v>
      </c>
      <c r="Y78" s="186" t="s">
        <v>124</v>
      </c>
      <c r="Z78" s="173">
        <v>87902</v>
      </c>
      <c r="AA78" s="172">
        <v>667.39510489510474</v>
      </c>
    </row>
    <row r="79" spans="1:50" ht="34.200000000000003" x14ac:dyDescent="0.3">
      <c r="A79" s="150" t="s">
        <v>125</v>
      </c>
      <c r="B79" s="170">
        <v>138</v>
      </c>
      <c r="C79" s="170">
        <v>49.794238683127567</v>
      </c>
      <c r="D79" s="171">
        <v>384.08779149519887</v>
      </c>
      <c r="E79" s="170">
        <v>173</v>
      </c>
      <c r="F79" s="171">
        <v>56.241426611796975</v>
      </c>
      <c r="G79" s="172">
        <v>41.289437585733879</v>
      </c>
      <c r="H79" s="173">
        <v>43479</v>
      </c>
      <c r="I79" s="174">
        <v>555555.55555555539</v>
      </c>
      <c r="J79" s="172">
        <v>200.960219478738</v>
      </c>
      <c r="K79" s="173">
        <v>4.0165289256198351</v>
      </c>
      <c r="Y79" s="186" t="s">
        <v>125</v>
      </c>
      <c r="Z79" s="173">
        <v>43479</v>
      </c>
      <c r="AA79" s="172">
        <v>200.960219478738</v>
      </c>
    </row>
    <row r="80" spans="1:50" ht="34.200000000000003" x14ac:dyDescent="0.3">
      <c r="A80" s="150" t="s">
        <v>126</v>
      </c>
      <c r="B80" s="170">
        <v>0</v>
      </c>
      <c r="C80" s="170">
        <v>0</v>
      </c>
      <c r="D80" s="171">
        <v>541.66666666666663</v>
      </c>
      <c r="E80" s="170">
        <v>108</v>
      </c>
      <c r="F80" s="171">
        <v>87.500000000000014</v>
      </c>
      <c r="G80" s="172">
        <v>66.666666666666657</v>
      </c>
      <c r="H80" s="173">
        <v>156988</v>
      </c>
      <c r="I80" s="174">
        <v>2937500</v>
      </c>
      <c r="J80" s="172">
        <v>1837.5000000000002</v>
      </c>
      <c r="K80" s="173">
        <v>6.6528066528066532E-2</v>
      </c>
      <c r="Y80" s="186" t="s">
        <v>126</v>
      </c>
      <c r="Z80" s="173">
        <v>156988</v>
      </c>
      <c r="AA80" s="172">
        <v>1837.5000000000002</v>
      </c>
    </row>
  </sheetData>
  <mergeCells count="1">
    <mergeCell ref="AN2:AY2"/>
  </mergeCells>
  <conditionalFormatting sqref="N12:V12 W11:X11 N11:U11 V10:X10 N10:T10 U9:X9 N9:S9 T8:X8 N8:R8 S7:X7 N7:Q7 R6:X6 N6:P6 Q5:X5 N5:O5 P4:X4 N4 O3:X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2</vt:i4>
      </vt:variant>
    </vt:vector>
  </HeadingPairs>
  <TitlesOfParts>
    <vt:vector size="20" baseType="lpstr">
      <vt:lpstr>театры, музеи</vt:lpstr>
      <vt:lpstr>спортивные сооружния</vt:lpstr>
      <vt:lpstr>библиотеки</vt:lpstr>
      <vt:lpstr>Газеты</vt:lpstr>
      <vt:lpstr>Лагеря</vt:lpstr>
      <vt:lpstr>Культурные факторы (копия)</vt:lpstr>
      <vt:lpstr>Лист2</vt:lpstr>
      <vt:lpstr>занятые</vt:lpstr>
      <vt:lpstr>Доход</vt:lpstr>
      <vt:lpstr>Темп роста</vt:lpstr>
      <vt:lpstr>Основные</vt:lpstr>
      <vt:lpstr>Культурные факторы</vt:lpstr>
      <vt:lpstr>Экономические факторы</vt:lpstr>
      <vt:lpstr>Данные</vt:lpstr>
      <vt:lpstr>X</vt:lpstr>
      <vt:lpstr>Динамика</vt:lpstr>
      <vt:lpstr>расчёт 1 глава</vt:lpstr>
      <vt:lpstr>Корр анализ</vt:lpstr>
      <vt:lpstr>Основные!OLE_LINK1</vt:lpstr>
      <vt:lpstr>Основные!OLE_LINK2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Тимофей Головин</dc:creator>
  <cp:lastModifiedBy>Тимофей Головин</cp:lastModifiedBy>
  <dcterms:created xsi:type="dcterms:W3CDTF">2025-02-07T10:41:08Z</dcterms:created>
  <dcterms:modified xsi:type="dcterms:W3CDTF">2025-09-23T14:16:37Z</dcterms:modified>
</cp:coreProperties>
</file>