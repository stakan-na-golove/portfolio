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Учёба\Работы\"/>
    </mc:Choice>
  </mc:AlternateContent>
  <xr:revisionPtr revIDLastSave="0" documentId="13_ncr:1_{644A8783-DFE3-4B86-9924-0FFEFBFB54C8}" xr6:coauthVersionLast="47" xr6:coauthVersionMax="47" xr10:uidLastSave="{00000000-0000-0000-0000-000000000000}"/>
  <bookViews>
    <workbookView xWindow="-108" yWindow="-108" windowWidth="23256" windowHeight="12456" firstSheet="1" activeTab="3" xr2:uid="{1EC77E9E-F493-4FCC-AFEA-2FDE333EBBA9}"/>
  </bookViews>
  <sheets>
    <sheet name="Лист1" sheetId="1" r:id="rId1"/>
    <sheet name="Лист2" sheetId="2" r:id="rId2"/>
    <sheet name="Лист3" sheetId="3" r:id="rId3"/>
    <sheet name="Лист4" sheetId="8" r:id="rId4"/>
    <sheet name="Лист5" sheetId="9" r:id="rId5"/>
    <sheet name="Лист6" sheetId="13" r:id="rId6"/>
    <sheet name="Лист7" sheetId="14" r:id="rId7"/>
    <sheet name="21.11" sheetId="15" r:id="rId8"/>
    <sheet name="Лист8" sheetId="16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6" l="1"/>
  <c r="B4" i="16"/>
  <c r="C42" i="15"/>
  <c r="C43" i="15"/>
  <c r="Q12" i="15"/>
  <c r="Q13" i="15"/>
  <c r="Q14" i="15"/>
  <c r="Q15" i="15"/>
  <c r="Q16" i="15"/>
  <c r="Q17" i="15"/>
  <c r="Q18" i="15"/>
  <c r="Q19" i="15"/>
  <c r="Q11" i="15"/>
  <c r="Q9" i="15"/>
  <c r="Q10" i="15"/>
  <c r="Q8" i="15"/>
  <c r="C40" i="15"/>
  <c r="C39" i="15"/>
  <c r="B36" i="15"/>
  <c r="B37" i="15" s="1"/>
  <c r="B24" i="15"/>
  <c r="C24" i="15" s="1"/>
  <c r="D24" i="15" s="1"/>
  <c r="E24" i="15" s="1"/>
  <c r="F24" i="15" s="1"/>
  <c r="G24" i="15" s="1"/>
  <c r="H24" i="15" s="1"/>
  <c r="I24" i="15" s="1"/>
  <c r="J24" i="15" s="1"/>
  <c r="K24" i="15" s="1"/>
  <c r="L24" i="15" s="1"/>
  <c r="M24" i="15" s="1"/>
  <c r="R8" i="15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P22" i="15" s="1"/>
  <c r="D2" i="9"/>
  <c r="B27" i="15"/>
  <c r="B22" i="15" a="1"/>
  <c r="B22" i="15" s="1"/>
  <c r="B28" i="15" s="1"/>
  <c r="C17" i="14"/>
  <c r="C15" i="14"/>
  <c r="G12" i="14"/>
  <c r="C16" i="14"/>
  <c r="D12" i="14"/>
  <c r="B12" i="14"/>
  <c r="C12" i="14"/>
  <c r="E12" i="14"/>
  <c r="F12" i="14"/>
  <c r="B22" i="13"/>
  <c r="B23" i="13"/>
  <c r="F17" i="13"/>
  <c r="F18" i="13"/>
  <c r="F19" i="13"/>
  <c r="F16" i="13"/>
  <c r="K17" i="13"/>
  <c r="K18" i="13"/>
  <c r="K16" i="13"/>
  <c r="K19" i="13" s="1"/>
  <c r="J16" i="13"/>
  <c r="H19" i="13"/>
  <c r="J19" i="13"/>
  <c r="J17" i="13"/>
  <c r="J18" i="13"/>
  <c r="B21" i="13"/>
  <c r="I16" i="13"/>
  <c r="I17" i="13"/>
  <c r="I18" i="13"/>
  <c r="I19" i="13"/>
  <c r="H17" i="13"/>
  <c r="H18" i="13"/>
  <c r="H16" i="13"/>
  <c r="B19" i="13"/>
  <c r="C19" i="13"/>
  <c r="D19" i="13"/>
  <c r="E19" i="13"/>
  <c r="C10" i="13"/>
  <c r="B10" i="13"/>
  <c r="C9" i="13"/>
  <c r="B9" i="13"/>
  <c r="B22" i="9"/>
  <c r="B21" i="9"/>
  <c r="J20" i="9"/>
  <c r="K20" i="9"/>
  <c r="L20" i="9"/>
  <c r="M20" i="9"/>
  <c r="N20" i="9"/>
  <c r="D20" i="9"/>
  <c r="E20" i="9"/>
  <c r="F20" i="9"/>
  <c r="G20" i="9"/>
  <c r="H20" i="9" s="1"/>
  <c r="I20" i="9"/>
  <c r="C20" i="9"/>
  <c r="B20" i="9"/>
  <c r="F15" i="9"/>
  <c r="G15" i="9"/>
  <c r="F16" i="9"/>
  <c r="G16" i="9"/>
  <c r="F17" i="9"/>
  <c r="G17" i="9"/>
  <c r="N17" i="9" s="1"/>
  <c r="F18" i="9"/>
  <c r="G18" i="9"/>
  <c r="F19" i="9"/>
  <c r="G19" i="9"/>
  <c r="N19" i="9" s="1"/>
  <c r="G14" i="9"/>
  <c r="N14" i="9" s="1"/>
  <c r="F14" i="9"/>
  <c r="J15" i="9"/>
  <c r="G13" i="9"/>
  <c r="H13" i="9" s="1"/>
  <c r="F13" i="9"/>
  <c r="E14" i="9"/>
  <c r="E15" i="9"/>
  <c r="E16" i="9"/>
  <c r="E17" i="9"/>
  <c r="E18" i="9"/>
  <c r="E19" i="9"/>
  <c r="E13" i="9"/>
  <c r="D14" i="9"/>
  <c r="D15" i="9"/>
  <c r="D16" i="9"/>
  <c r="D17" i="9"/>
  <c r="D18" i="9"/>
  <c r="D19" i="9"/>
  <c r="D13" i="9"/>
  <c r="C9" i="9"/>
  <c r="D9" i="9" s="1"/>
  <c r="B9" i="9"/>
  <c r="D3" i="9"/>
  <c r="D4" i="9"/>
  <c r="D5" i="9"/>
  <c r="D6" i="9"/>
  <c r="D7" i="9"/>
  <c r="D8" i="9"/>
  <c r="D26" i="8"/>
  <c r="D25" i="8"/>
  <c r="G4" i="8"/>
  <c r="G5" i="8"/>
  <c r="G6" i="8"/>
  <c r="G7" i="8"/>
  <c r="I7" i="8" s="1"/>
  <c r="G8" i="8"/>
  <c r="G9" i="8"/>
  <c r="I9" i="8" s="1"/>
  <c r="G10" i="8"/>
  <c r="G11" i="8"/>
  <c r="G12" i="8"/>
  <c r="G13" i="8"/>
  <c r="G14" i="8"/>
  <c r="G15" i="8"/>
  <c r="I15" i="8" s="1"/>
  <c r="G16" i="8"/>
  <c r="G17" i="8"/>
  <c r="I17" i="8" s="1"/>
  <c r="G18" i="8"/>
  <c r="G19" i="8"/>
  <c r="G20" i="8"/>
  <c r="G21" i="8"/>
  <c r="G22" i="8"/>
  <c r="G23" i="8"/>
  <c r="I23" i="8" s="1"/>
  <c r="G3" i="8"/>
  <c r="F3" i="8"/>
  <c r="F4" i="8"/>
  <c r="F5" i="8"/>
  <c r="F6" i="8"/>
  <c r="F7" i="8"/>
  <c r="F8" i="8"/>
  <c r="F9" i="8"/>
  <c r="H9" i="8" s="1"/>
  <c r="F10" i="8"/>
  <c r="F11" i="8"/>
  <c r="F12" i="8"/>
  <c r="F13" i="8"/>
  <c r="F14" i="8"/>
  <c r="F15" i="8"/>
  <c r="H15" i="8" s="1"/>
  <c r="F16" i="8"/>
  <c r="F17" i="8"/>
  <c r="H17" i="8" s="1"/>
  <c r="F18" i="8"/>
  <c r="F19" i="8"/>
  <c r="F20" i="8"/>
  <c r="H21" i="8" s="1"/>
  <c r="F21" i="8"/>
  <c r="F22" i="8"/>
  <c r="F23" i="8"/>
  <c r="H6" i="8"/>
  <c r="I12" i="8"/>
  <c r="C4" i="16" l="1"/>
  <c r="D3" i="16" s="1"/>
  <c r="B6" i="16"/>
  <c r="B5" i="16"/>
  <c r="B29" i="15"/>
  <c r="L23" i="15"/>
  <c r="M23" i="15"/>
  <c r="B31" i="15"/>
  <c r="F23" i="15"/>
  <c r="E23" i="15"/>
  <c r="G23" i="15"/>
  <c r="C23" i="15"/>
  <c r="H23" i="15"/>
  <c r="D23" i="15"/>
  <c r="K23" i="15"/>
  <c r="I23" i="15"/>
  <c r="B23" i="15"/>
  <c r="B32" i="15"/>
  <c r="J23" i="15"/>
  <c r="B30" i="15"/>
  <c r="C19" i="14"/>
  <c r="D19" i="14"/>
  <c r="D20" i="14"/>
  <c r="K14" i="9"/>
  <c r="L15" i="9"/>
  <c r="K15" i="9"/>
  <c r="M15" i="9"/>
  <c r="N18" i="9"/>
  <c r="H14" i="9"/>
  <c r="L14" i="9"/>
  <c r="J14" i="9"/>
  <c r="M14" i="9"/>
  <c r="I14" i="9"/>
  <c r="L13" i="9"/>
  <c r="N16" i="9"/>
  <c r="I13" i="9"/>
  <c r="H15" i="9"/>
  <c r="N15" i="9"/>
  <c r="I15" i="9"/>
  <c r="H7" i="8"/>
  <c r="H5" i="8"/>
  <c r="H22" i="8"/>
  <c r="H13" i="8"/>
  <c r="H16" i="8"/>
  <c r="H8" i="8"/>
  <c r="I22" i="8"/>
  <c r="I14" i="8"/>
  <c r="I6" i="8"/>
  <c r="H23" i="8"/>
  <c r="H14" i="8"/>
  <c r="I20" i="8"/>
  <c r="I19" i="8"/>
  <c r="I11" i="8"/>
  <c r="I18" i="8"/>
  <c r="I10" i="8"/>
  <c r="I16" i="8"/>
  <c r="I13" i="8"/>
  <c r="I5" i="8"/>
  <c r="I8" i="8"/>
  <c r="H20" i="8"/>
  <c r="H12" i="8"/>
  <c r="H4" i="8"/>
  <c r="H18" i="8"/>
  <c r="H10" i="8"/>
  <c r="I4" i="8"/>
  <c r="I21" i="8"/>
  <c r="H19" i="8"/>
  <c r="H11" i="8"/>
  <c r="D4" i="16" l="1"/>
  <c r="C5" i="16"/>
  <c r="C6" i="16"/>
  <c r="E3" i="16"/>
  <c r="R18" i="3" a="1"/>
  <c r="R18" i="3" s="1"/>
  <c r="B15" i="3" s="1"/>
  <c r="R17" i="3" a="1"/>
  <c r="R17" i="3" s="1"/>
  <c r="B17" i="3" s="1"/>
  <c r="R16" i="3" a="1"/>
  <c r="R16" i="3" s="1"/>
  <c r="B14" i="3" s="1"/>
  <c r="R14" i="3" a="1"/>
  <c r="R14" i="3" s="1"/>
  <c r="B13" i="3" s="1"/>
  <c r="R13" i="3" a="1"/>
  <c r="R13" i="3" s="1"/>
  <c r="B12" i="3" s="1"/>
  <c r="R12" i="3" a="1"/>
  <c r="R12" i="3" s="1"/>
  <c r="B11" i="3" s="1"/>
  <c r="R10" i="3" a="1"/>
  <c r="R10" i="3" s="1"/>
  <c r="D5" i="16" l="1"/>
  <c r="E4" i="16"/>
  <c r="F3" i="16" s="1"/>
  <c r="D6" i="16"/>
  <c r="F4" i="16"/>
  <c r="G3" i="16" s="1"/>
  <c r="B20" i="3"/>
  <c r="B28" i="3" s="1"/>
  <c r="H12" i="3"/>
  <c r="B16" i="3"/>
  <c r="D16" i="3"/>
  <c r="E10" i="3"/>
  <c r="K16" i="3"/>
  <c r="C16" i="3"/>
  <c r="B10" i="3"/>
  <c r="B23" i="3" s="1"/>
  <c r="C29" i="3" s="1"/>
  <c r="D10" i="3"/>
  <c r="J16" i="3"/>
  <c r="K10" i="3"/>
  <c r="C10" i="3"/>
  <c r="I16" i="3"/>
  <c r="J10" i="3"/>
  <c r="I10" i="3"/>
  <c r="H10" i="3"/>
  <c r="H16" i="3"/>
  <c r="K18" i="3"/>
  <c r="F11" i="3"/>
  <c r="J15" i="3"/>
  <c r="F16" i="3"/>
  <c r="F19" i="3" s="1"/>
  <c r="G10" i="3"/>
  <c r="G11" i="3"/>
  <c r="G16" i="3"/>
  <c r="F14" i="3"/>
  <c r="E16" i="3"/>
  <c r="F10" i="3"/>
  <c r="G12" i="3"/>
  <c r="J18" i="3"/>
  <c r="F15" i="3"/>
  <c r="E14" i="3"/>
  <c r="F12" i="3"/>
  <c r="I18" i="3"/>
  <c r="E15" i="3"/>
  <c r="D14" i="3"/>
  <c r="H18" i="3"/>
  <c r="D15" i="3"/>
  <c r="J17" i="3"/>
  <c r="D18" i="3"/>
  <c r="C15" i="3"/>
  <c r="I17" i="3"/>
  <c r="C18" i="3"/>
  <c r="H17" i="3"/>
  <c r="J12" i="3"/>
  <c r="H14" i="3"/>
  <c r="G17" i="3"/>
  <c r="I12" i="3"/>
  <c r="I23" i="3" s="1"/>
  <c r="B18" i="3"/>
  <c r="B21" i="3" s="1"/>
  <c r="B29" i="3" s="1"/>
  <c r="K15" i="3"/>
  <c r="L15" i="3" s="1"/>
  <c r="G14" i="3"/>
  <c r="F17" i="3"/>
  <c r="F20" i="3" s="1"/>
  <c r="E13" i="3"/>
  <c r="D13" i="3"/>
  <c r="E11" i="3"/>
  <c r="K13" i="3"/>
  <c r="L13" i="3" s="1"/>
  <c r="C13" i="3"/>
  <c r="D11" i="3"/>
  <c r="D22" i="3" s="1"/>
  <c r="J13" i="3"/>
  <c r="K11" i="3"/>
  <c r="I13" i="3"/>
  <c r="J11" i="3"/>
  <c r="E12" i="3"/>
  <c r="H13" i="3"/>
  <c r="G18" i="3"/>
  <c r="I15" i="3"/>
  <c r="K14" i="3"/>
  <c r="L14" i="3" s="1"/>
  <c r="C14" i="3"/>
  <c r="E17" i="3"/>
  <c r="C11" i="3"/>
  <c r="C22" i="3" s="1"/>
  <c r="I11" i="3"/>
  <c r="D12" i="3"/>
  <c r="G13" i="3"/>
  <c r="F18" i="3"/>
  <c r="H15" i="3"/>
  <c r="J14" i="3"/>
  <c r="D17" i="3"/>
  <c r="H11" i="3"/>
  <c r="K12" i="3"/>
  <c r="C12" i="3"/>
  <c r="C23" i="3" s="1"/>
  <c r="F13" i="3"/>
  <c r="E18" i="3"/>
  <c r="G15" i="3"/>
  <c r="I14" i="3"/>
  <c r="K17" i="3"/>
  <c r="C17" i="3"/>
  <c r="E5" i="16" l="1"/>
  <c r="F6" i="16"/>
  <c r="G4" i="16"/>
  <c r="H3" i="16" s="1"/>
  <c r="F5" i="16"/>
  <c r="E6" i="16"/>
  <c r="D23" i="3"/>
  <c r="D20" i="3"/>
  <c r="C20" i="3"/>
  <c r="G22" i="3"/>
  <c r="H22" i="3"/>
  <c r="H21" i="3"/>
  <c r="L10" i="3"/>
  <c r="F21" i="3"/>
  <c r="J22" i="3"/>
  <c r="J21" i="3"/>
  <c r="I22" i="3"/>
  <c r="D19" i="3"/>
  <c r="B19" i="3"/>
  <c r="I19" i="3"/>
  <c r="J23" i="3"/>
  <c r="G23" i="3"/>
  <c r="E20" i="3"/>
  <c r="J19" i="3"/>
  <c r="H23" i="3"/>
  <c r="E21" i="3"/>
  <c r="I20" i="3"/>
  <c r="H19" i="3"/>
  <c r="G19" i="3"/>
  <c r="L17" i="3"/>
  <c r="K20" i="3"/>
  <c r="K22" i="3"/>
  <c r="L11" i="3"/>
  <c r="H20" i="3"/>
  <c r="C21" i="3"/>
  <c r="E19" i="3"/>
  <c r="K21" i="3"/>
  <c r="L18" i="3"/>
  <c r="I21" i="3"/>
  <c r="F22" i="3"/>
  <c r="G21" i="3"/>
  <c r="F29" i="3"/>
  <c r="F23" i="3"/>
  <c r="D21" i="3"/>
  <c r="C19" i="3"/>
  <c r="B22" i="3"/>
  <c r="C28" i="3" s="1"/>
  <c r="F28" i="3" s="1"/>
  <c r="K23" i="3"/>
  <c r="L12" i="3"/>
  <c r="E23" i="3"/>
  <c r="E22" i="3"/>
  <c r="G20" i="3"/>
  <c r="J20" i="3"/>
  <c r="L16" i="3"/>
  <c r="K19" i="3"/>
  <c r="L19" i="3" s="1"/>
  <c r="E2" i="3"/>
  <c r="E3" i="3"/>
  <c r="E6" i="3" s="1"/>
  <c r="B12" i="2"/>
  <c r="B11" i="2"/>
  <c r="C11" i="2" s="1"/>
  <c r="B14" i="2"/>
  <c r="B15" i="2"/>
  <c r="B10" i="2"/>
  <c r="C10" i="2" s="1"/>
  <c r="C8" i="2"/>
  <c r="B8" i="2"/>
  <c r="C7" i="2"/>
  <c r="B7" i="2"/>
  <c r="AB6" i="1"/>
  <c r="AB7" i="1"/>
  <c r="AB5" i="1"/>
  <c r="AA6" i="1"/>
  <c r="AA7" i="1"/>
  <c r="AA5" i="1"/>
  <c r="AJ5" i="1"/>
  <c r="AK5" i="1"/>
  <c r="AJ6" i="1"/>
  <c r="AK6" i="1"/>
  <c r="AJ7" i="1"/>
  <c r="AK7" i="1"/>
  <c r="AM5" i="1"/>
  <c r="E10" i="1"/>
  <c r="H10" i="1"/>
  <c r="K8" i="1"/>
  <c r="N8" i="1"/>
  <c r="Q8" i="1"/>
  <c r="K9" i="1"/>
  <c r="N9" i="1"/>
  <c r="Q9" i="1"/>
  <c r="K10" i="1"/>
  <c r="N10" i="1"/>
  <c r="Q10" i="1"/>
  <c r="B9" i="1"/>
  <c r="E9" i="1"/>
  <c r="H9" i="1"/>
  <c r="B10" i="1"/>
  <c r="E8" i="1"/>
  <c r="H8" i="1"/>
  <c r="B8" i="1"/>
  <c r="AP6" i="1"/>
  <c r="AP7" i="1"/>
  <c r="AM6" i="1"/>
  <c r="AM7" i="1"/>
  <c r="AP5" i="1"/>
  <c r="G6" i="16" l="1"/>
  <c r="G5" i="16"/>
  <c r="F30" i="3"/>
  <c r="L22" i="3"/>
  <c r="E28" i="3"/>
  <c r="E29" i="3"/>
  <c r="L23" i="3"/>
  <c r="D28" i="3"/>
  <c r="L20" i="3"/>
  <c r="D29" i="3"/>
  <c r="L21" i="3"/>
  <c r="E5" i="3"/>
  <c r="C12" i="2"/>
  <c r="B13" i="2"/>
  <c r="H29" i="3" l="1"/>
  <c r="G29" i="3"/>
  <c r="H28" i="3"/>
  <c r="G28" i="3"/>
  <c r="H30" i="3" l="1"/>
  <c r="G30" i="3"/>
  <c r="B34" i="3" s="1"/>
  <c r="C34" i="3" s="1"/>
  <c r="B32" i="3"/>
  <c r="C32" i="3" s="1"/>
  <c r="B33" i="3" l="1"/>
  <c r="C33" i="3" s="1"/>
  <c r="L16" i="9" l="1"/>
  <c r="K16" i="9"/>
  <c r="M16" i="9"/>
  <c r="H16" i="9"/>
  <c r="I16" i="9"/>
  <c r="K19" i="9"/>
  <c r="L19" i="9"/>
  <c r="M19" i="9"/>
  <c r="J19" i="9"/>
  <c r="H19" i="9"/>
  <c r="I19" i="9"/>
  <c r="L17" i="9"/>
  <c r="K17" i="9"/>
  <c r="M17" i="9"/>
  <c r="J17" i="9"/>
  <c r="H17" i="9"/>
  <c r="I17" i="9"/>
  <c r="M18" i="9"/>
  <c r="L18" i="9"/>
  <c r="I18" i="9"/>
  <c r="J18" i="9"/>
  <c r="K18" i="9"/>
  <c r="J16" i="9"/>
  <c r="H1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<sst xmlns="http://schemas.openxmlformats.org/spreadsheetml/2006/main" count="302" uniqueCount="197">
  <si>
    <t>Всё население</t>
  </si>
  <si>
    <t>Городское население</t>
  </si>
  <si>
    <t>Сельское население</t>
  </si>
  <si>
    <t xml:space="preserve">мужчины
и женщины </t>
  </si>
  <si>
    <t>мужчины</t>
  </si>
  <si>
    <t>женщины</t>
  </si>
  <si>
    <t>2024 г.</t>
  </si>
  <si>
    <t>моложе трудоспособного</t>
  </si>
  <si>
    <t>трудоспособного</t>
  </si>
  <si>
    <t>старше трудоспособного</t>
  </si>
  <si>
    <t>Самарская область, Головин Тимофей УСБО-02-22</t>
  </si>
  <si>
    <t>2002 г.</t>
  </si>
  <si>
    <t>dмол труд</t>
  </si>
  <si>
    <t>dтруд</t>
  </si>
  <si>
    <t>dстар труд</t>
  </si>
  <si>
    <t>удельный вес трудоспособного возраста (%)</t>
  </si>
  <si>
    <t>удельный вес моложе трудоспособного возраста (%)</t>
  </si>
  <si>
    <t>удельный вес старше трудоспособного возраста (%)</t>
  </si>
  <si>
    <t>Вывод:</t>
  </si>
  <si>
    <t>С увеличением возраста мы можем наблюдать увеличение степени диспропорциональности гендерной структуры населения, если в возрасте моложе трудоспособного степеь незначительная, трудоспособном возрасте встречается как незначительная, так и средняя и существенная, то в возрасте старше трудоспособного исключительно существенная степень</t>
  </si>
  <si>
    <t>Показатели</t>
  </si>
  <si>
    <t>Годы</t>
  </si>
  <si>
    <t>база</t>
  </si>
  <si>
    <t>отчёт</t>
  </si>
  <si>
    <t>Численность родившикся млн. чел.</t>
  </si>
  <si>
    <t>Численность женщин - всего млн. чел.</t>
  </si>
  <si>
    <t xml:space="preserve">     в т.ч. репродуктивного возраста</t>
  </si>
  <si>
    <t>Численность всего населения млн. чел.</t>
  </si>
  <si>
    <t>d</t>
  </si>
  <si>
    <t>F</t>
  </si>
  <si>
    <t>Инд переменного состава</t>
  </si>
  <si>
    <t>Инд структурных сдвигов</t>
  </si>
  <si>
    <t>Инд постоянного состава</t>
  </si>
  <si>
    <t>абс изм переменного состава</t>
  </si>
  <si>
    <t>абс изм структурных сдвигов</t>
  </si>
  <si>
    <t>абс изм постоянного состава</t>
  </si>
  <si>
    <t>За счёт двух факторов (доли женщин репродуктивного возраста и специального коэффициента рождаемости) общий коэффициент рождаемости в отчётном году по сравнению с базисным увеличился на 10,43%, что в абсолютном выражении составляет 0,99‰</t>
  </si>
  <si>
    <t>За счёт доли женщин репродуктивного возраста общий коэффициент рождаемости увеличился на 7,7%, в абсолютном выражении увеличение составило 0,73‰</t>
  </si>
  <si>
    <t>За счёт специального коэффициента рождаемости общий коэффициент рождаемости увеличился на 2,53%, что в абсолютном выражении составляет 0,26‰</t>
  </si>
  <si>
    <t>Числ насел на начало года тыс.чел.</t>
  </si>
  <si>
    <t>Число умерших чел</t>
  </si>
  <si>
    <t>Число насел на конец года</t>
  </si>
  <si>
    <t>абс пр</t>
  </si>
  <si>
    <t>темп пр</t>
  </si>
  <si>
    <t xml:space="preserve">ПОКАЗАТЕЛИ </t>
  </si>
  <si>
    <t>Cельское население</t>
  </si>
  <si>
    <t>Родившиеся – всего, тысяч человек</t>
  </si>
  <si>
    <t>Умершие – всего, тысяч человек</t>
  </si>
  <si>
    <r>
      <t>2023</t>
    </r>
    <r>
      <rPr>
        <vertAlign val="superscript"/>
        <sz val="7.5"/>
        <rFont val="Arial"/>
        <family val="2"/>
        <charset val="204"/>
      </rPr>
      <t>2)</t>
    </r>
  </si>
  <si>
    <t>Тпр(%)</t>
  </si>
  <si>
    <t>Коэффициент смертности всего населения (‰)</t>
  </si>
  <si>
    <t>Коэффициент смертности городского населения(‰)</t>
  </si>
  <si>
    <t>Коэффициент смертности сельское население (‰)</t>
  </si>
  <si>
    <t>Среднегодовая численность населения – всего, млн. человек</t>
  </si>
  <si>
    <t>d городского населения, ед</t>
  </si>
  <si>
    <t>d сельского населения, ед</t>
  </si>
  <si>
    <t>Городское населения</t>
  </si>
  <si>
    <t>Группы населения</t>
  </si>
  <si>
    <t>Доля в численности населения (di), ед.</t>
  </si>
  <si>
    <t>J переменного состава</t>
  </si>
  <si>
    <t>ni0*di0</t>
  </si>
  <si>
    <t>ni0*di1</t>
  </si>
  <si>
    <t>ni1*di1</t>
  </si>
  <si>
    <t>Сумма</t>
  </si>
  <si>
    <t>J постоянногого состава</t>
  </si>
  <si>
    <t>J структурных сдвигов</t>
  </si>
  <si>
    <t>Индексы</t>
  </si>
  <si>
    <t>Изменения (%)</t>
  </si>
  <si>
    <t>Коэффициент смертности (ni), ‰</t>
  </si>
  <si>
    <t>Численность населения на начало года, млн. человек</t>
  </si>
  <si>
    <t>Численность родившихся, чел.</t>
  </si>
  <si>
    <t>численность умерших, чел.</t>
  </si>
  <si>
    <t>Коэффициент смертности</t>
  </si>
  <si>
    <t>Темп прироста коэффициента рождаемости, ‰</t>
  </si>
  <si>
    <t>-</t>
  </si>
  <si>
    <t>Коэффициент рождаемости</t>
  </si>
  <si>
    <t>в среднем за весь период</t>
  </si>
  <si>
    <t>Средний Темп прироста, %</t>
  </si>
  <si>
    <t>15-49</t>
  </si>
  <si>
    <t>20-24</t>
  </si>
  <si>
    <t>25-29</t>
  </si>
  <si>
    <t>30-34</t>
  </si>
  <si>
    <t>35-39</t>
  </si>
  <si>
    <t>40-44</t>
  </si>
  <si>
    <t>45-49</t>
  </si>
  <si>
    <t>Возрастные группы, лет</t>
  </si>
  <si>
    <t>Ср численность населения тыс. чел.</t>
  </si>
  <si>
    <t>Число умерших, чел.</t>
  </si>
  <si>
    <t>15-19</t>
  </si>
  <si>
    <t xml:space="preserve">низкий уровень </t>
  </si>
  <si>
    <t>Возраст. Кэф смертности, ‰</t>
  </si>
  <si>
    <t>№2</t>
  </si>
  <si>
    <t>Причины смерти</t>
  </si>
  <si>
    <t>Умершие от всех причин, в т.ч.:</t>
  </si>
  <si>
    <t>Инфекционные и паразитарные болезни</t>
  </si>
  <si>
    <t>Новообразований</t>
  </si>
  <si>
    <t>Болезней системы кровообращения</t>
  </si>
  <si>
    <t>Болезней системы органов дыхания</t>
  </si>
  <si>
    <t>Болезней системы пищеварения</t>
  </si>
  <si>
    <t>Несчастных случаев, отравлений, травм</t>
  </si>
  <si>
    <t>Темп пр</t>
  </si>
  <si>
    <t>абс прир</t>
  </si>
  <si>
    <t>уд вес</t>
  </si>
  <si>
    <t>Рябцева</t>
  </si>
  <si>
    <t>d^2</t>
  </si>
  <si>
    <t>Гатева</t>
  </si>
  <si>
    <t>друг причины</t>
  </si>
  <si>
    <t>до 20</t>
  </si>
  <si>
    <t>20-40</t>
  </si>
  <si>
    <t>40-60</t>
  </si>
  <si>
    <t>60+</t>
  </si>
  <si>
    <t>страна 1</t>
  </si>
  <si>
    <t>страна 2</t>
  </si>
  <si>
    <t>возр структура</t>
  </si>
  <si>
    <t>Возрастн структура стандарта</t>
  </si>
  <si>
    <t>Возраст коэф. смертности</t>
  </si>
  <si>
    <t>Общий коэф</t>
  </si>
  <si>
    <t>стандарт коэф</t>
  </si>
  <si>
    <t>Задача 2</t>
  </si>
  <si>
    <t>умерло за год, млн. чел.</t>
  </si>
  <si>
    <t>ср числ. насел. за год, млн. чел.</t>
  </si>
  <si>
    <t>до 25</t>
  </si>
  <si>
    <t>25-50</t>
  </si>
  <si>
    <t>50+</t>
  </si>
  <si>
    <t>итого</t>
  </si>
  <si>
    <t>кэф смертн, ‰</t>
  </si>
  <si>
    <t>общ кэф смертности</t>
  </si>
  <si>
    <t>общ кэф смертности (с)</t>
  </si>
  <si>
    <t>всего</t>
  </si>
  <si>
    <t>Mx/M0x</t>
  </si>
  <si>
    <t>Возр коэф смертн стандарт</t>
  </si>
  <si>
    <t>Возр группы</t>
  </si>
  <si>
    <t>Числ жен</t>
  </si>
  <si>
    <t>млн чел</t>
  </si>
  <si>
    <t>% к итогу</t>
  </si>
  <si>
    <t>Wx0</t>
  </si>
  <si>
    <t>dx0</t>
  </si>
  <si>
    <t>Fx0</t>
  </si>
  <si>
    <t>Wx1</t>
  </si>
  <si>
    <t>Родилось детей на 1000 жен</t>
  </si>
  <si>
    <t>dx1</t>
  </si>
  <si>
    <t>Fx1</t>
  </si>
  <si>
    <t>2022г.</t>
  </si>
  <si>
    <t>2002г.</t>
  </si>
  <si>
    <t>Итого</t>
  </si>
  <si>
    <t>F1d1</t>
  </si>
  <si>
    <t>F0d1</t>
  </si>
  <si>
    <t>F0d0</t>
  </si>
  <si>
    <t>Iпс</t>
  </si>
  <si>
    <t>Δпс</t>
  </si>
  <si>
    <t>В результате изменения уровня возрастной рождаемости, при сохранении возрастной структуры женского населения на уровне 2006 года, специальный коэффициент рождаемости к 2022 году уменьшился на 39,86.</t>
  </si>
  <si>
    <t xml:space="preserve">Число браков по возрасту жениха и невесты
 в 2023 году </t>
  </si>
  <si>
    <t>Возраст невесты</t>
  </si>
  <si>
    <t>Возраст жениха</t>
  </si>
  <si>
    <t>до 16</t>
  </si>
  <si>
    <t>16-17</t>
  </si>
  <si>
    <t>18-19</t>
  </si>
  <si>
    <t>50-54</t>
  </si>
  <si>
    <t>55-59</t>
  </si>
  <si>
    <t>60 лет и более</t>
  </si>
  <si>
    <t>возраст неизве-стен</t>
  </si>
  <si>
    <t>А</t>
  </si>
  <si>
    <t>до 16 лет</t>
  </si>
  <si>
    <t>60 и старше</t>
  </si>
  <si>
    <t>не указано</t>
  </si>
  <si>
    <t>Всего</t>
  </si>
  <si>
    <t>Самарская область городское и сельское население</t>
  </si>
  <si>
    <t>ср воз невесты</t>
  </si>
  <si>
    <t>ср возраст жениха</t>
  </si>
  <si>
    <t>модальный возр невесты</t>
  </si>
  <si>
    <t>медианный возр невесты</t>
  </si>
  <si>
    <t>модальный возр жениха</t>
  </si>
  <si>
    <t>xi</t>
  </si>
  <si>
    <t>xj</t>
  </si>
  <si>
    <t>fi/hi</t>
  </si>
  <si>
    <t>Si</t>
  </si>
  <si>
    <t>медианный возр жениха</t>
  </si>
  <si>
    <t>Sj</t>
  </si>
  <si>
    <t>1.</t>
  </si>
  <si>
    <t>2.</t>
  </si>
  <si>
    <t>общий коэф. Брачности</t>
  </si>
  <si>
    <t>население Самарской обл на 2023г. тыс. чел.</t>
  </si>
  <si>
    <t>средняя численность населения Самарской обл., тыс. чел.</t>
  </si>
  <si>
    <t>3.</t>
  </si>
  <si>
    <t>wj/hj</t>
  </si>
  <si>
    <t>население Самарской обл на 2024г., тыс. чел.</t>
  </si>
  <si>
    <t>доля браков в возрасте до 20 лет муж</t>
  </si>
  <si>
    <t>доля браков в возрасте до 20 лет жен.</t>
  </si>
  <si>
    <t>доля браков после 50 лет жен</t>
  </si>
  <si>
    <t>доля браков после 50 лет муж</t>
  </si>
  <si>
    <t>4.</t>
  </si>
  <si>
    <t>qx</t>
  </si>
  <si>
    <t>x</t>
  </si>
  <si>
    <t>lx</t>
  </si>
  <si>
    <t>Lx</t>
  </si>
  <si>
    <t>dx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</si>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</sst>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%"/>
    <numFmt numFmtId="166" formatCode="0.0%;0.0%"/>
    <numFmt numFmtId="167" formatCode="#,##0.00\‰"/>
    <numFmt numFmtId="168" formatCode="0.0000"/>
    <numFmt numFmtId="169" formatCode="0.000"/>
    <numFmt numFmtId="170" formatCode="0.00\‰"/>
    <numFmt numFmtId="171" formatCode="0.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24"/>
      <name val="Arial"/>
      <family val="2"/>
    </font>
    <font>
      <sz val="10"/>
      <name val="Arial"/>
      <family val="2"/>
    </font>
    <font>
      <sz val="8"/>
      <name val="Calibri"/>
      <family val="2"/>
      <charset val="204"/>
      <scheme val="minor"/>
    </font>
    <font>
      <b/>
      <sz val="26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7.5"/>
      <name val="Arial"/>
      <family val="2"/>
      <charset val="204"/>
    </font>
    <font>
      <vertAlign val="superscript"/>
      <sz val="7.5"/>
      <name val="Arial"/>
      <family val="2"/>
      <charset val="20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Calibri"/>
      <family val="2"/>
      <charset val="204"/>
      <scheme val="minor"/>
    </font>
    <font>
      <strike/>
      <u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  <charset val="204"/>
    </font>
    <font>
      <sz val="10"/>
      <name val="Arial Cyr"/>
      <charset val="204"/>
    </font>
    <font>
      <sz val="9"/>
      <name val="Arial Cyr"/>
      <family val="2"/>
      <charset val="204"/>
    </font>
    <font>
      <sz val="9"/>
      <color rgb="FF1A1A1A"/>
      <name val="Arial"/>
      <family val="2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8F8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theme="1" tint="4.9989318521683403E-2"/>
      </left>
      <right style="thin">
        <color indexed="64"/>
      </right>
      <top style="double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double">
        <color theme="1" tint="4.9989318521683403E-2"/>
      </right>
      <top style="double">
        <color theme="1" tint="4.9989318521683403E-2"/>
      </top>
      <bottom style="thin">
        <color indexed="64"/>
      </bottom>
      <diagonal/>
    </border>
    <border>
      <left style="double">
        <color theme="1" tint="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double">
        <color theme="1" tint="4.9989318521683403E-2"/>
      </left>
      <right style="thin">
        <color indexed="64"/>
      </right>
      <top style="thin">
        <color indexed="64"/>
      </top>
      <bottom style="double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 tint="4.9989318521683403E-2"/>
      </bottom>
      <diagonal/>
    </border>
    <border>
      <left style="thin">
        <color indexed="64"/>
      </left>
      <right style="double">
        <color theme="1" tint="4.9989318521683403E-2"/>
      </right>
      <top style="thin">
        <color indexed="64"/>
      </top>
      <bottom style="double">
        <color theme="1" tint="4.9989318521683403E-2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</cellStyleXfs>
  <cellXfs count="135">
    <xf numFmtId="0" fontId="0" fillId="0" borderId="0" xfId="0"/>
    <xf numFmtId="0" fontId="2" fillId="0" borderId="6" xfId="2" applyBorder="1" applyAlignment="1">
      <alignment horizontal="center" vertical="center" wrapText="1"/>
    </xf>
    <xf numFmtId="0" fontId="2" fillId="0" borderId="7" xfId="2" applyBorder="1" applyAlignment="1">
      <alignment horizontal="center" vertical="center"/>
    </xf>
    <xf numFmtId="0" fontId="2" fillId="0" borderId="9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11" xfId="2" applyBorder="1" applyAlignment="1">
      <alignment horizontal="right" vertical="center"/>
    </xf>
    <xf numFmtId="0" fontId="2" fillId="0" borderId="1" xfId="2" applyBorder="1" applyAlignment="1">
      <alignment horizontal="right" vertical="center"/>
    </xf>
    <xf numFmtId="0" fontId="2" fillId="0" borderId="12" xfId="2" applyBorder="1" applyAlignment="1">
      <alignment horizontal="right" vertical="center"/>
    </xf>
    <xf numFmtId="0" fontId="4" fillId="0" borderId="8" xfId="3" applyBorder="1" applyAlignment="1">
      <alignment horizontal="right"/>
    </xf>
    <xf numFmtId="0" fontId="4" fillId="0" borderId="10" xfId="3" applyBorder="1" applyAlignment="1">
      <alignment horizontal="right"/>
    </xf>
    <xf numFmtId="49" fontId="2" fillId="0" borderId="0" xfId="2" applyNumberFormat="1" applyAlignment="1">
      <alignment horizontal="center" vertical="center"/>
    </xf>
    <xf numFmtId="0" fontId="2" fillId="0" borderId="0" xfId="2" applyAlignment="1">
      <alignment horizontal="right" vertical="center"/>
    </xf>
    <xf numFmtId="49" fontId="2" fillId="0" borderId="9" xfId="2" applyNumberFormat="1" applyBorder="1" applyAlignment="1">
      <alignment horizontal="center" vertical="center"/>
    </xf>
    <xf numFmtId="49" fontId="2" fillId="0" borderId="11" xfId="2" applyNumberFormat="1" applyBorder="1" applyAlignment="1">
      <alignment horizontal="center" vertical="center"/>
    </xf>
    <xf numFmtId="0" fontId="2" fillId="0" borderId="19" xfId="2" applyBorder="1" applyAlignment="1">
      <alignment horizontal="center" vertical="center" wrapText="1"/>
    </xf>
    <xf numFmtId="0" fontId="2" fillId="0" borderId="20" xfId="2" applyBorder="1" applyAlignment="1">
      <alignment horizontal="center" vertical="center"/>
    </xf>
    <xf numFmtId="0" fontId="2" fillId="0" borderId="21" xfId="2" applyBorder="1" applyAlignment="1">
      <alignment horizontal="right" vertical="center"/>
    </xf>
    <xf numFmtId="0" fontId="2" fillId="0" borderId="22" xfId="2" applyBorder="1" applyAlignment="1">
      <alignment horizontal="right" vertical="center"/>
    </xf>
    <xf numFmtId="0" fontId="2" fillId="0" borderId="23" xfId="2" applyBorder="1" applyAlignment="1">
      <alignment horizontal="right" vertical="center"/>
    </xf>
    <xf numFmtId="0" fontId="2" fillId="0" borderId="24" xfId="2" applyBorder="1" applyAlignment="1">
      <alignment horizontal="right" vertical="center"/>
    </xf>
    <xf numFmtId="0" fontId="4" fillId="0" borderId="26" xfId="3" applyBorder="1" applyAlignment="1">
      <alignment horizontal="right"/>
    </xf>
    <xf numFmtId="0" fontId="4" fillId="0" borderId="27" xfId="3" applyBorder="1" applyAlignment="1">
      <alignment horizontal="right"/>
    </xf>
    <xf numFmtId="0" fontId="4" fillId="0" borderId="28" xfId="3" applyBorder="1" applyAlignment="1">
      <alignment horizontal="right"/>
    </xf>
    <xf numFmtId="0" fontId="4" fillId="0" borderId="29" xfId="3" applyBorder="1" applyAlignment="1">
      <alignment horizontal="right"/>
    </xf>
    <xf numFmtId="4" fontId="2" fillId="0" borderId="0" xfId="2" applyNumberFormat="1" applyAlignment="1">
      <alignment horizontal="right" vertical="center"/>
    </xf>
    <xf numFmtId="9" fontId="2" fillId="0" borderId="0" xfId="1" applyFont="1" applyBorder="1" applyAlignment="1">
      <alignment horizontal="right" vertical="center"/>
    </xf>
    <xf numFmtId="164" fontId="2" fillId="0" borderId="0" xfId="1" applyNumberFormat="1" applyFont="1" applyBorder="1" applyAlignment="1">
      <alignment horizontal="right" vertical="center"/>
    </xf>
    <xf numFmtId="166" fontId="2" fillId="0" borderId="0" xfId="1" applyNumberFormat="1" applyFont="1" applyBorder="1" applyAlignment="1">
      <alignment horizontal="right" vertical="center"/>
    </xf>
    <xf numFmtId="166" fontId="2" fillId="0" borderId="0" xfId="2" applyNumberFormat="1" applyAlignment="1">
      <alignment horizontal="right" vertical="center"/>
    </xf>
    <xf numFmtId="167" fontId="0" fillId="0" borderId="0" xfId="0" applyNumberFormat="1"/>
    <xf numFmtId="168" fontId="0" fillId="0" borderId="0" xfId="0" applyNumberFormat="1"/>
    <xf numFmtId="10" fontId="0" fillId="0" borderId="0" xfId="1" applyNumberFormat="1" applyFont="1"/>
    <xf numFmtId="0" fontId="0" fillId="0" borderId="7" xfId="0" applyBorder="1"/>
    <xf numFmtId="2" fontId="0" fillId="0" borderId="7" xfId="0" applyNumberFormat="1" applyBorder="1"/>
    <xf numFmtId="167" fontId="0" fillId="0" borderId="7" xfId="0" applyNumberFormat="1" applyBorder="1"/>
    <xf numFmtId="0" fontId="0" fillId="0" borderId="0" xfId="0" applyAlignment="1">
      <alignment wrapText="1"/>
    </xf>
    <xf numFmtId="169" fontId="0" fillId="0" borderId="0" xfId="0" applyNumberFormat="1"/>
    <xf numFmtId="170" fontId="0" fillId="0" borderId="0" xfId="0" applyNumberFormat="1"/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 indent="1"/>
    </xf>
    <xf numFmtId="171" fontId="7" fillId="0" borderId="3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71" fontId="9" fillId="0" borderId="0" xfId="0" applyNumberFormat="1" applyFont="1" applyAlignment="1">
      <alignment horizontal="right" wrapText="1"/>
    </xf>
    <xf numFmtId="0" fontId="7" fillId="0" borderId="35" xfId="0" applyFont="1" applyBorder="1" applyAlignment="1">
      <alignment horizontal="left" vertical="center" wrapText="1" indent="1"/>
    </xf>
    <xf numFmtId="2" fontId="0" fillId="0" borderId="0" xfId="0" applyNumberFormat="1"/>
    <xf numFmtId="2" fontId="7" fillId="0" borderId="22" xfId="0" applyNumberFormat="1" applyFont="1" applyBorder="1" applyAlignment="1">
      <alignment horizontal="center" vertical="center"/>
    </xf>
    <xf numFmtId="4" fontId="0" fillId="0" borderId="0" xfId="0" applyNumberFormat="1"/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centerContinuous"/>
    </xf>
    <xf numFmtId="4" fontId="0" fillId="0" borderId="0" xfId="0" applyNumberFormat="1" applyAlignment="1">
      <alignment horizontal="centerContinuous"/>
    </xf>
    <xf numFmtId="0" fontId="7" fillId="0" borderId="33" xfId="0" applyFont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168" fontId="0" fillId="0" borderId="7" xfId="0" applyNumberFormat="1" applyBorder="1"/>
    <xf numFmtId="169" fontId="0" fillId="0" borderId="7" xfId="0" applyNumberFormat="1" applyBorder="1"/>
    <xf numFmtId="0" fontId="0" fillId="0" borderId="7" xfId="0" applyBorder="1" applyAlignment="1">
      <alignment wrapText="1"/>
    </xf>
    <xf numFmtId="0" fontId="11" fillId="0" borderId="32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justify" vertical="center" wrapText="1"/>
    </xf>
    <xf numFmtId="0" fontId="13" fillId="0" borderId="0" xfId="0" applyFont="1"/>
    <xf numFmtId="0" fontId="14" fillId="0" borderId="0" xfId="0" applyFont="1"/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8" xfId="0" applyBorder="1"/>
    <xf numFmtId="0" fontId="12" fillId="0" borderId="0" xfId="0" applyFont="1" applyAlignment="1">
      <alignment horizontal="justify" vertical="center" wrapText="1"/>
    </xf>
    <xf numFmtId="0" fontId="12" fillId="0" borderId="35" xfId="0" applyFont="1" applyBorder="1" applyAlignment="1">
      <alignment horizontal="justify" vertical="center" wrapText="1"/>
    </xf>
    <xf numFmtId="0" fontId="0" fillId="0" borderId="7" xfId="0" applyBorder="1" applyAlignment="1">
      <alignment horizontal="centerContinuous" vertical="center"/>
    </xf>
    <xf numFmtId="0" fontId="0" fillId="0" borderId="7" xfId="0" applyBorder="1" applyAlignment="1">
      <alignment vertical="center"/>
    </xf>
    <xf numFmtId="0" fontId="0" fillId="0" borderId="39" xfId="0" applyBorder="1" applyAlignment="1">
      <alignment horizontal="centerContinuous" vertical="center"/>
    </xf>
    <xf numFmtId="0" fontId="0" fillId="0" borderId="40" xfId="0" applyBorder="1" applyAlignment="1">
      <alignment horizontal="centerContinuous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/>
    </xf>
    <xf numFmtId="2" fontId="15" fillId="5" borderId="7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0" fontId="0" fillId="6" borderId="46" xfId="0" applyFill="1" applyBorder="1"/>
    <xf numFmtId="0" fontId="0" fillId="0" borderId="46" xfId="0" applyBorder="1"/>
    <xf numFmtId="0" fontId="16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/>
    </xf>
    <xf numFmtId="0" fontId="17" fillId="0" borderId="1" xfId="0" applyFont="1" applyBorder="1" applyAlignment="1">
      <alignment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/>
    <xf numFmtId="0" fontId="0" fillId="0" borderId="0" xfId="0" applyAlignment="1">
      <alignment horizontal="center" wrapText="1"/>
    </xf>
    <xf numFmtId="0" fontId="3" fillId="0" borderId="14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0" borderId="16" xfId="2" applyFont="1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25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2" fillId="0" borderId="17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5" fontId="0" fillId="0" borderId="25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0" fontId="2" fillId="0" borderId="13" xfId="2" applyBorder="1" applyAlignment="1">
      <alignment horizontal="center" vertical="center"/>
    </xf>
    <xf numFmtId="0" fontId="2" fillId="0" borderId="9" xfId="2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/>
    <xf numFmtId="0" fontId="17" fillId="0" borderId="0" xfId="0" applyFont="1" applyAlignment="1">
      <alignment horizontal="center" vertical="center" wrapText="1"/>
    </xf>
    <xf numFmtId="0" fontId="0" fillId="0" borderId="1" xfId="0" applyBorder="1"/>
    <xf numFmtId="0" fontId="18" fillId="0" borderId="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</cellXfs>
  <cellStyles count="4">
    <cellStyle name="Обычный" xfId="0" builtinId="0"/>
    <cellStyle name="Обычный 2" xfId="3" xr:uid="{1218D032-850A-482C-9E29-5B82D53B26BC}"/>
    <cellStyle name="Обычный 6" xfId="2" xr:uid="{E00F47F6-D104-4B78-A46D-1F258087F701}"/>
    <cellStyle name="Процентный" xfId="1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DDDD"/>
      <color rgb="FFEAEAEA"/>
      <color rgb="FFF8F8F8"/>
      <color rgb="FFF5BB8B"/>
      <color rgb="FF740006"/>
      <color rgb="FFF0788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Всё</a:t>
            </a:r>
            <a:r>
              <a:rPr lang="ru-RU" baseline="0"/>
              <a:t> насление 2024 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Лист1!$AA$4</c:f>
              <c:strCache>
                <c:ptCount val="1"/>
                <c:pt idx="0">
                  <c:v>мужчины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7.7249903437622116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AC-4064-BB3B-63EC7A062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Лист1!$Z$5:$Z$7</c:f>
              <c:strCache>
                <c:ptCount val="3"/>
                <c:pt idx="0">
                  <c:v>удельный вес моложе трудоспособного возраста (%)</c:v>
                </c:pt>
                <c:pt idx="1">
                  <c:v>удельный вес трудоспособного возраста (%)</c:v>
                </c:pt>
                <c:pt idx="2">
                  <c:v>удельный вес старше трудоспособного возраста (%)</c:v>
                </c:pt>
              </c:strCache>
            </c:strRef>
          </c:cat>
          <c:val>
            <c:numRef>
              <c:f>Лист1!$AA$5:$AA$7</c:f>
              <c:numCache>
                <c:formatCode>0.0%;0.0%</c:formatCode>
                <c:ptCount val="3"/>
                <c:pt idx="0">
                  <c:v>-8.878677375647491E-2</c:v>
                </c:pt>
                <c:pt idx="1">
                  <c:v>-0.29572369704096307</c:v>
                </c:pt>
                <c:pt idx="2">
                  <c:v>-7.4133539993388411E-2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C-4064-BB3B-63EC7A062F6E}"/>
            </c:ext>
          </c:extLst>
        </c:ser>
        <c:ser>
          <c:idx val="1"/>
          <c:order val="1"/>
          <c:tx>
            <c:strRef>
              <c:f>Лист1!$AB$4</c:f>
              <c:strCache>
                <c:ptCount val="1"/>
                <c:pt idx="0">
                  <c:v>женщины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Лист1!$Z$5:$Z$7</c:f>
              <c:strCache>
                <c:ptCount val="3"/>
                <c:pt idx="0">
                  <c:v>удельный вес моложе трудоспособного возраста (%)</c:v>
                </c:pt>
                <c:pt idx="1">
                  <c:v>удельный вес трудоспособного возраста (%)</c:v>
                </c:pt>
                <c:pt idx="2">
                  <c:v>удельный вес старше трудоспособного возраста (%)</c:v>
                </c:pt>
              </c:strCache>
            </c:strRef>
          </c:cat>
          <c:val>
            <c:numRef>
              <c:f>Лист1!$AB$5:$AB$7</c:f>
              <c:numCache>
                <c:formatCode>0.0%</c:formatCode>
                <c:ptCount val="3"/>
                <c:pt idx="0">
                  <c:v>8.3649046211413489E-2</c:v>
                </c:pt>
                <c:pt idx="1">
                  <c:v>0.27888716885315817</c:v>
                </c:pt>
                <c:pt idx="2">
                  <c:v>0.17881977414460193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C-4064-BB3B-63EC7A062F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670499679"/>
        <c:axId val="670495519"/>
      </c:barChart>
      <c:catAx>
        <c:axId val="67049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495519"/>
        <c:crosses val="autoZero"/>
        <c:auto val="1"/>
        <c:lblAlgn val="ctr"/>
        <c:lblOffset val="100"/>
        <c:noMultiLvlLbl val="0"/>
      </c:catAx>
      <c:valAx>
        <c:axId val="67049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4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Всё</a:t>
            </a:r>
            <a:r>
              <a:rPr lang="ru-RU" baseline="0"/>
              <a:t> насление 20</a:t>
            </a:r>
            <a:r>
              <a:rPr lang="en-US" baseline="0"/>
              <a:t>02</a:t>
            </a:r>
            <a:r>
              <a:rPr lang="ru-RU" baseline="0"/>
              <a:t> 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Лист1!$AJ$4</c:f>
              <c:strCache>
                <c:ptCount val="1"/>
                <c:pt idx="0">
                  <c:v>мужчины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158748551564310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02-4FE0-B819-BF557EA9B6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Лист1!$Z$5:$Z$7</c:f>
              <c:strCache>
                <c:ptCount val="3"/>
                <c:pt idx="0">
                  <c:v>удельный вес моложе трудоспособного возраста (%)</c:v>
                </c:pt>
                <c:pt idx="1">
                  <c:v>удельный вес трудоспособного возраста (%)</c:v>
                </c:pt>
                <c:pt idx="2">
                  <c:v>удельный вес старше трудоспособного возраста (%)</c:v>
                </c:pt>
              </c:strCache>
            </c:strRef>
          </c:cat>
          <c:val>
            <c:numRef>
              <c:f>Лист1!$AJ$5:$AJ$7</c:f>
              <c:numCache>
                <c:formatCode>0.0%;0.0%</c:formatCode>
                <c:ptCount val="3"/>
                <c:pt idx="0">
                  <c:v>-8.619424644677727E-2</c:v>
                </c:pt>
                <c:pt idx="1">
                  <c:v>-0.30986647784933602</c:v>
                </c:pt>
                <c:pt idx="2">
                  <c:v>-6.5816061892047278E-2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FE0-B819-BF557EA9B674}"/>
            </c:ext>
          </c:extLst>
        </c:ser>
        <c:ser>
          <c:idx val="1"/>
          <c:order val="1"/>
          <c:tx>
            <c:strRef>
              <c:f>Лист1!$AK$4</c:f>
              <c:strCache>
                <c:ptCount val="1"/>
                <c:pt idx="0">
                  <c:v>женщины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Лист1!$Z$5:$Z$7</c:f>
              <c:strCache>
                <c:ptCount val="3"/>
                <c:pt idx="0">
                  <c:v>удельный вес моложе трудоспособного возраста (%)</c:v>
                </c:pt>
                <c:pt idx="1">
                  <c:v>удельный вес трудоспособного возраста (%)</c:v>
                </c:pt>
                <c:pt idx="2">
                  <c:v>удельный вес старше трудоспособного возраста (%)</c:v>
                </c:pt>
              </c:strCache>
            </c:strRef>
          </c:cat>
          <c:val>
            <c:numRef>
              <c:f>Лист1!$AK$5:$AK$7</c:f>
              <c:numCache>
                <c:formatCode>0.0%</c:formatCode>
                <c:ptCount val="3"/>
                <c:pt idx="0">
                  <c:v>0.15248464320569494</c:v>
                </c:pt>
                <c:pt idx="1">
                  <c:v>0.57590102761352546</c:v>
                </c:pt>
                <c:pt idx="2">
                  <c:v>0.2716143291807796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2-4FE0-B819-BF557EA9B6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670499679"/>
        <c:axId val="670495519"/>
      </c:barChart>
      <c:catAx>
        <c:axId val="67049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495519"/>
        <c:crosses val="autoZero"/>
        <c:auto val="1"/>
        <c:lblAlgn val="ctr"/>
        <c:lblOffset val="100"/>
        <c:noMultiLvlLbl val="0"/>
      </c:catAx>
      <c:valAx>
        <c:axId val="67049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4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Лист4!$C$2</c:f>
              <c:strCache>
                <c:ptCount val="1"/>
                <c:pt idx="0">
                  <c:v>Численность населения на начало года, млн. человек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Лист4!$B$3:$B$24</c:f>
              <c:numCache>
                <c:formatCode>General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Лист4!$C$3:$C$24</c:f>
              <c:numCache>
                <c:formatCode>General</c:formatCode>
                <c:ptCount val="22"/>
                <c:pt idx="0">
                  <c:v>145.19999999999999</c:v>
                </c:pt>
                <c:pt idx="1">
                  <c:v>145</c:v>
                </c:pt>
                <c:pt idx="2">
                  <c:v>144.30000000000001</c:v>
                </c:pt>
                <c:pt idx="3">
                  <c:v>143.80000000000001</c:v>
                </c:pt>
                <c:pt idx="4">
                  <c:v>143.19999999999999</c:v>
                </c:pt>
                <c:pt idx="5">
                  <c:v>142.80000000000001</c:v>
                </c:pt>
                <c:pt idx="6">
                  <c:v>142.80000000000001</c:v>
                </c:pt>
                <c:pt idx="7">
                  <c:v>142.69999999999999</c:v>
                </c:pt>
                <c:pt idx="8">
                  <c:v>142.9</c:v>
                </c:pt>
                <c:pt idx="9">
                  <c:v>142.9</c:v>
                </c:pt>
                <c:pt idx="10">
                  <c:v>143.19999999999999</c:v>
                </c:pt>
                <c:pt idx="11">
                  <c:v>143.6</c:v>
                </c:pt>
                <c:pt idx="12">
                  <c:v>144</c:v>
                </c:pt>
                <c:pt idx="13">
                  <c:v>146.69999999999999</c:v>
                </c:pt>
                <c:pt idx="14">
                  <c:v>147.19999999999999</c:v>
                </c:pt>
                <c:pt idx="15">
                  <c:v>147.6</c:v>
                </c:pt>
                <c:pt idx="16">
                  <c:v>147.80000000000001</c:v>
                </c:pt>
                <c:pt idx="17">
                  <c:v>147.80000000000001</c:v>
                </c:pt>
                <c:pt idx="18">
                  <c:v>147.9</c:v>
                </c:pt>
                <c:pt idx="19">
                  <c:v>147.4</c:v>
                </c:pt>
                <c:pt idx="20">
                  <c:v>147</c:v>
                </c:pt>
                <c:pt idx="21">
                  <c:v>146.4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7-470A-B8BC-0DCC63EA3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209007"/>
        <c:axId val="1798203183"/>
      </c:barChart>
      <c:catAx>
        <c:axId val="17982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203183"/>
        <c:crosses val="autoZero"/>
        <c:auto val="1"/>
        <c:lblAlgn val="ctr"/>
        <c:lblOffset val="100"/>
        <c:noMultiLvlLbl val="0"/>
      </c:catAx>
      <c:valAx>
        <c:axId val="179820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2090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численности родившихся и умерших человек в Российской федерации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Лист4!$D$2</c:f>
              <c:strCache>
                <c:ptCount val="1"/>
                <c:pt idx="0">
                  <c:v>Численность родившихся, чел.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Лист4!$B$3:$B$24</c:f>
              <c:numCache>
                <c:formatCode>General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Лист4!$D$3:$D$23</c:f>
              <c:numCache>
                <c:formatCode>General</c:formatCode>
                <c:ptCount val="21"/>
                <c:pt idx="0">
                  <c:v>1396967</c:v>
                </c:pt>
                <c:pt idx="1">
                  <c:v>1477301</c:v>
                </c:pt>
                <c:pt idx="2">
                  <c:v>1502477</c:v>
                </c:pt>
                <c:pt idx="3">
                  <c:v>1457376</c:v>
                </c:pt>
                <c:pt idx="4">
                  <c:v>1479637</c:v>
                </c:pt>
                <c:pt idx="5">
                  <c:v>1610122</c:v>
                </c:pt>
                <c:pt idx="6">
                  <c:v>1713947</c:v>
                </c:pt>
                <c:pt idx="7">
                  <c:v>1761687</c:v>
                </c:pt>
                <c:pt idx="8">
                  <c:v>1788948</c:v>
                </c:pt>
                <c:pt idx="9">
                  <c:v>1796629</c:v>
                </c:pt>
                <c:pt idx="10">
                  <c:v>1902084</c:v>
                </c:pt>
                <c:pt idx="11">
                  <c:v>1895822</c:v>
                </c:pt>
                <c:pt idx="12">
                  <c:v>1942683</c:v>
                </c:pt>
                <c:pt idx="13">
                  <c:v>1940579</c:v>
                </c:pt>
                <c:pt idx="14">
                  <c:v>1888729</c:v>
                </c:pt>
                <c:pt idx="15">
                  <c:v>1690307</c:v>
                </c:pt>
                <c:pt idx="16">
                  <c:v>1604344</c:v>
                </c:pt>
                <c:pt idx="17">
                  <c:v>1481074</c:v>
                </c:pt>
                <c:pt idx="18">
                  <c:v>1436514</c:v>
                </c:pt>
                <c:pt idx="19">
                  <c:v>1398253</c:v>
                </c:pt>
                <c:pt idx="20">
                  <c:v>1304087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B-4AF8-B609-B9A35A4F4125}"/>
            </c:ext>
          </c:extLst>
        </c:ser>
        <c:ser>
          <c:idx val="1"/>
          <c:order val="1"/>
          <c:tx>
            <c:strRef>
              <c:f>Лист4!$E$2</c:f>
              <c:strCache>
                <c:ptCount val="1"/>
                <c:pt idx="0">
                  <c:v>численность умерших, чел.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Лист4!$B$3:$B$24</c:f>
              <c:numCache>
                <c:formatCode>General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Лист4!$E$3:$E$23</c:f>
              <c:numCache>
                <c:formatCode>General</c:formatCode>
                <c:ptCount val="21"/>
                <c:pt idx="0">
                  <c:v>2332272</c:v>
                </c:pt>
                <c:pt idx="1">
                  <c:v>2365826</c:v>
                </c:pt>
                <c:pt idx="2">
                  <c:v>2295402</c:v>
                </c:pt>
                <c:pt idx="3">
                  <c:v>2303935</c:v>
                </c:pt>
                <c:pt idx="4">
                  <c:v>2166703</c:v>
                </c:pt>
                <c:pt idx="5">
                  <c:v>2080445</c:v>
                </c:pt>
                <c:pt idx="6">
                  <c:v>2075954</c:v>
                </c:pt>
                <c:pt idx="7">
                  <c:v>2010543</c:v>
                </c:pt>
                <c:pt idx="8">
                  <c:v>2028516</c:v>
                </c:pt>
                <c:pt idx="9">
                  <c:v>1925720</c:v>
                </c:pt>
                <c:pt idx="10">
                  <c:v>1906335</c:v>
                </c:pt>
                <c:pt idx="11">
                  <c:v>1871809</c:v>
                </c:pt>
                <c:pt idx="12">
                  <c:v>1912347</c:v>
                </c:pt>
                <c:pt idx="13">
                  <c:v>1908541</c:v>
                </c:pt>
                <c:pt idx="14">
                  <c:v>1891015</c:v>
                </c:pt>
                <c:pt idx="15">
                  <c:v>1826125</c:v>
                </c:pt>
                <c:pt idx="16">
                  <c:v>1828910</c:v>
                </c:pt>
                <c:pt idx="17">
                  <c:v>1798307</c:v>
                </c:pt>
                <c:pt idx="18">
                  <c:v>2138586</c:v>
                </c:pt>
                <c:pt idx="19">
                  <c:v>2441594</c:v>
                </c:pt>
                <c:pt idx="20">
                  <c:v>1898644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B-4AF8-B609-B9A35A4F4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2237119"/>
        <c:axId val="172227551"/>
      </c:lineChart>
      <c:catAx>
        <c:axId val="1722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27551"/>
        <c:crosses val="autoZero"/>
        <c:auto val="1"/>
        <c:lblAlgn val="ctr"/>
        <c:lblOffset val="100"/>
        <c:noMultiLvlLbl val="0"/>
      </c:catAx>
      <c:valAx>
        <c:axId val="17222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371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175260</xdr:rowOff>
    </xdr:from>
    <xdr:to>
      <xdr:col>9</xdr:col>
      <xdr:colOff>76200</xdr:colOff>
      <xdr:row>27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2636CBE-8412-4373-97D3-5E5892A32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</xdr:colOff>
      <xdr:row>10</xdr:row>
      <xdr:rowOff>175260</xdr:rowOff>
    </xdr:from>
    <xdr:to>
      <xdr:col>19</xdr:col>
      <xdr:colOff>548640</xdr:colOff>
      <xdr:row>27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9D89510-85BE-43F2-AF52-6C20F2A85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404645</xdr:rowOff>
    </xdr:from>
    <xdr:to>
      <xdr:col>17</xdr:col>
      <xdr:colOff>376518</xdr:colOff>
      <xdr:row>19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656B95-714C-4B76-9281-4C3EC3C0D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128082</xdr:rowOff>
    </xdr:from>
    <xdr:to>
      <xdr:col>17</xdr:col>
      <xdr:colOff>319479</xdr:colOff>
      <xdr:row>38</xdr:row>
      <xdr:rowOff>165174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764B58F-41F9-416A-A6F6-C5D06565B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7;&#1072;&#1075;&#1088;&#1091;&#1079;&#1082;&#1080;\Telegram%20Desktop\Popul_1897+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7;&#1072;&#1075;&#1088;&#1091;&#1079;&#1082;&#1080;\Telegram%20Desktop\&#1044;&#1072;&#1085;&#1085;&#1099;&#1077;_&#1088;&#1086;&#1078;&#1076;&#1072;&#1077;&#1084;&#1086;&#1089;&#1090;&#1100;_&#1080;_&#1089;&#1084;&#1077;&#1088;&#1090;&#1085;&#1086;&#1089;&#1090;&#1100;_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>
        <row r="52">
          <cell r="C52">
            <v>106.4</v>
          </cell>
          <cell r="D52">
            <v>37.200000000000003</v>
          </cell>
        </row>
        <row r="53">
          <cell r="C53">
            <v>106.9</v>
          </cell>
          <cell r="D53">
            <v>37.1</v>
          </cell>
        </row>
        <row r="54">
          <cell r="C54">
            <v>108.8</v>
          </cell>
          <cell r="D54">
            <v>37.9</v>
          </cell>
        </row>
        <row r="55">
          <cell r="C55">
            <v>109.3</v>
          </cell>
          <cell r="D55">
            <v>37.9</v>
          </cell>
        </row>
        <row r="56">
          <cell r="C56">
            <v>109.8</v>
          </cell>
          <cell r="D56">
            <v>37.799999999999997</v>
          </cell>
        </row>
        <row r="57">
          <cell r="C57">
            <v>110.1</v>
          </cell>
          <cell r="D57">
            <v>37.700000000000003</v>
          </cell>
        </row>
        <row r="58">
          <cell r="C58">
            <v>110.3</v>
          </cell>
          <cell r="D58">
            <v>37.5</v>
          </cell>
        </row>
        <row r="59">
          <cell r="C59">
            <v>110.5</v>
          </cell>
          <cell r="D59">
            <v>37.4</v>
          </cell>
        </row>
        <row r="60">
          <cell r="C60">
            <v>110.2</v>
          </cell>
          <cell r="D60">
            <v>37.200000000000003</v>
          </cell>
        </row>
        <row r="61">
          <cell r="C61">
            <v>110</v>
          </cell>
          <cell r="D61">
            <v>37</v>
          </cell>
        </row>
        <row r="62">
          <cell r="C62">
            <v>109.6</v>
          </cell>
          <cell r="D62">
            <v>36.799999999999997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26">
          <cell r="B26">
            <v>1895822</v>
          </cell>
          <cell r="C26">
            <v>1871809</v>
          </cell>
        </row>
        <row r="27">
          <cell r="B27">
            <v>1942683</v>
          </cell>
          <cell r="C27">
            <v>1912347</v>
          </cell>
        </row>
        <row r="28">
          <cell r="B28">
            <v>1940579</v>
          </cell>
          <cell r="C28">
            <v>1908541</v>
          </cell>
        </row>
        <row r="29">
          <cell r="B29">
            <v>1888729</v>
          </cell>
          <cell r="C29">
            <v>1891015</v>
          </cell>
        </row>
        <row r="30">
          <cell r="B30">
            <v>1690307</v>
          </cell>
          <cell r="C30">
            <v>1826125</v>
          </cell>
        </row>
        <row r="31">
          <cell r="B31">
            <v>1604344</v>
          </cell>
          <cell r="C31">
            <v>1828910</v>
          </cell>
        </row>
        <row r="32">
          <cell r="B32">
            <v>1481074</v>
          </cell>
          <cell r="C32">
            <v>1798307</v>
          </cell>
        </row>
        <row r="33">
          <cell r="B33">
            <v>1436514</v>
          </cell>
          <cell r="C33">
            <v>2138586</v>
          </cell>
        </row>
        <row r="34">
          <cell r="B34">
            <v>1398253</v>
          </cell>
          <cell r="C34">
            <v>2441594</v>
          </cell>
        </row>
        <row r="35">
          <cell r="B35">
            <v>1304087</v>
          </cell>
          <cell r="C35">
            <v>1898644</v>
          </cell>
        </row>
        <row r="56">
          <cell r="B56">
            <v>1357310</v>
          </cell>
          <cell r="C56">
            <v>1332505</v>
          </cell>
        </row>
        <row r="57">
          <cell r="B57">
            <v>1394860</v>
          </cell>
          <cell r="C57">
            <v>1362810</v>
          </cell>
        </row>
        <row r="58">
          <cell r="B58">
            <v>1455283</v>
          </cell>
          <cell r="C58">
            <v>1361891</v>
          </cell>
        </row>
        <row r="59">
          <cell r="B59">
            <v>1426591</v>
          </cell>
          <cell r="C59">
            <v>1354944</v>
          </cell>
        </row>
        <row r="60">
          <cell r="B60">
            <v>1269527</v>
          </cell>
          <cell r="C60">
            <v>1310235</v>
          </cell>
        </row>
        <row r="61">
          <cell r="B61">
            <v>1205231</v>
          </cell>
          <cell r="C61">
            <v>1317703</v>
          </cell>
        </row>
        <row r="62">
          <cell r="B62">
            <v>1115337</v>
          </cell>
          <cell r="C62">
            <v>1301650</v>
          </cell>
        </row>
        <row r="63">
          <cell r="B63">
            <v>1079887</v>
          </cell>
          <cell r="C63">
            <v>1568773</v>
          </cell>
        </row>
        <row r="64">
          <cell r="B64">
            <v>1047731</v>
          </cell>
          <cell r="C64">
            <v>1799377</v>
          </cell>
        </row>
        <row r="65">
          <cell r="B65">
            <v>980716</v>
          </cell>
          <cell r="C65">
            <v>1388492</v>
          </cell>
        </row>
        <row r="86">
          <cell r="B86">
            <v>538512</v>
          </cell>
          <cell r="C86">
            <v>539304</v>
          </cell>
        </row>
        <row r="87">
          <cell r="B87">
            <v>547823</v>
          </cell>
          <cell r="C87">
            <v>549537</v>
          </cell>
        </row>
        <row r="88">
          <cell r="B88">
            <v>485296</v>
          </cell>
          <cell r="C88">
            <v>546650</v>
          </cell>
        </row>
        <row r="89">
          <cell r="B89">
            <v>462138</v>
          </cell>
          <cell r="C89">
            <v>536071</v>
          </cell>
        </row>
        <row r="90">
          <cell r="B90">
            <v>420780</v>
          </cell>
          <cell r="C90">
            <v>515890</v>
          </cell>
        </row>
        <row r="91">
          <cell r="B91">
            <v>399113</v>
          </cell>
          <cell r="C91">
            <v>511207</v>
          </cell>
        </row>
        <row r="92">
          <cell r="B92">
            <v>365737</v>
          </cell>
          <cell r="C92">
            <v>496657</v>
          </cell>
        </row>
        <row r="93">
          <cell r="B93">
            <v>356627</v>
          </cell>
          <cell r="C93">
            <v>569813</v>
          </cell>
        </row>
        <row r="94">
          <cell r="B94">
            <v>350522</v>
          </cell>
          <cell r="C94">
            <v>642217</v>
          </cell>
        </row>
        <row r="95">
          <cell r="B95">
            <v>323371</v>
          </cell>
          <cell r="C95">
            <v>510152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9507-F2C5-4164-BFC7-0F0BF4F691E1}">
  <sheetPr codeName="Worksheet____1"/>
  <dimension ref="A1:AQ32"/>
  <sheetViews>
    <sheetView topLeftCell="A22" zoomScale="85" zoomScaleNormal="85" workbookViewId="0">
      <selection activeCell="E40" sqref="E40"/>
    </sheetView>
  </sheetViews>
  <sheetFormatPr defaultRowHeight="14.4" x14ac:dyDescent="0.3"/>
  <cols>
    <col min="1" max="1" width="23.6640625" customWidth="1"/>
    <col min="28" max="28" width="9.5546875" bestFit="1" customWidth="1"/>
    <col min="37" max="37" width="9.5546875" bestFit="1" customWidth="1"/>
  </cols>
  <sheetData>
    <row r="1" spans="1:43" ht="15" thickBot="1" x14ac:dyDescent="0.35">
      <c r="A1" t="s">
        <v>10</v>
      </c>
    </row>
    <row r="2" spans="1:43" ht="43.95" customHeight="1" x14ac:dyDescent="0.65">
      <c r="B2" s="94" t="s">
        <v>6</v>
      </c>
      <c r="C2" s="95"/>
      <c r="D2" s="95"/>
      <c r="E2" s="95"/>
      <c r="F2" s="95"/>
      <c r="G2" s="95"/>
      <c r="H2" s="95"/>
      <c r="I2" s="95"/>
      <c r="J2" s="96"/>
      <c r="K2" s="105" t="s">
        <v>11</v>
      </c>
      <c r="L2" s="106"/>
      <c r="M2" s="106"/>
      <c r="N2" s="106"/>
      <c r="O2" s="106"/>
      <c r="P2" s="106"/>
      <c r="Q2" s="106"/>
      <c r="R2" s="106"/>
      <c r="S2" s="107"/>
    </row>
    <row r="3" spans="1:43" x14ac:dyDescent="0.3">
      <c r="A3" s="110"/>
      <c r="B3" s="100" t="s">
        <v>0</v>
      </c>
      <c r="C3" s="101"/>
      <c r="D3" s="102"/>
      <c r="E3" s="103" t="s">
        <v>1</v>
      </c>
      <c r="F3" s="101"/>
      <c r="G3" s="102"/>
      <c r="H3" s="103" t="s">
        <v>2</v>
      </c>
      <c r="I3" s="101"/>
      <c r="J3" s="104"/>
      <c r="K3" s="100" t="s">
        <v>0</v>
      </c>
      <c r="L3" s="101"/>
      <c r="M3" s="102"/>
      <c r="N3" s="103" t="s">
        <v>1</v>
      </c>
      <c r="O3" s="101"/>
      <c r="P3" s="102"/>
      <c r="Q3" s="103" t="s">
        <v>2</v>
      </c>
      <c r="R3" s="101"/>
      <c r="S3" s="104"/>
    </row>
    <row r="4" spans="1:43" ht="52.8" x14ac:dyDescent="0.3">
      <c r="A4" s="111"/>
      <c r="B4" s="14" t="s">
        <v>3</v>
      </c>
      <c r="C4" s="2" t="s">
        <v>4</v>
      </c>
      <c r="D4" s="2" t="s">
        <v>5</v>
      </c>
      <c r="E4" s="1" t="s">
        <v>3</v>
      </c>
      <c r="F4" s="2" t="s">
        <v>4</v>
      </c>
      <c r="G4" s="2" t="s">
        <v>5</v>
      </c>
      <c r="H4" s="1" t="s">
        <v>3</v>
      </c>
      <c r="I4" s="2" t="s">
        <v>4</v>
      </c>
      <c r="J4" s="15" t="s">
        <v>5</v>
      </c>
      <c r="K4" s="14" t="s">
        <v>3</v>
      </c>
      <c r="L4" s="2" t="s">
        <v>4</v>
      </c>
      <c r="M4" s="2" t="s">
        <v>5</v>
      </c>
      <c r="N4" s="1" t="s">
        <v>3</v>
      </c>
      <c r="O4" s="2" t="s">
        <v>4</v>
      </c>
      <c r="P4" s="2" t="s">
        <v>5</v>
      </c>
      <c r="Q4" s="1" t="s">
        <v>3</v>
      </c>
      <c r="R4" s="2" t="s">
        <v>4</v>
      </c>
      <c r="S4" s="15" t="s">
        <v>5</v>
      </c>
      <c r="AA4" s="2" t="s">
        <v>4</v>
      </c>
      <c r="AB4" s="2" t="s">
        <v>5</v>
      </c>
      <c r="AD4" s="2" t="s">
        <v>4</v>
      </c>
      <c r="AE4" s="2" t="s">
        <v>5</v>
      </c>
      <c r="AG4" s="2"/>
      <c r="AH4" s="2"/>
      <c r="AJ4" s="2" t="s">
        <v>4</v>
      </c>
      <c r="AK4" s="2" t="s">
        <v>5</v>
      </c>
      <c r="AM4" s="2" t="s">
        <v>4</v>
      </c>
      <c r="AN4" s="2" t="s">
        <v>5</v>
      </c>
    </row>
    <row r="5" spans="1:43" x14ac:dyDescent="0.3">
      <c r="A5" s="12" t="s">
        <v>7</v>
      </c>
      <c r="B5" s="16">
        <v>539352</v>
      </c>
      <c r="C5" s="11">
        <v>277711</v>
      </c>
      <c r="D5" s="4">
        <v>261641</v>
      </c>
      <c r="E5" s="3">
        <v>427877</v>
      </c>
      <c r="F5" s="11">
        <v>220235</v>
      </c>
      <c r="G5" s="4">
        <v>207642</v>
      </c>
      <c r="H5" s="3">
        <v>111475</v>
      </c>
      <c r="I5" s="11">
        <v>57476</v>
      </c>
      <c r="J5" s="17">
        <v>53999</v>
      </c>
      <c r="K5" s="20">
        <v>544623</v>
      </c>
      <c r="L5" s="8">
        <v>279010</v>
      </c>
      <c r="M5" s="8">
        <v>265613</v>
      </c>
      <c r="N5" s="8">
        <v>421321</v>
      </c>
      <c r="O5" s="8">
        <v>215885</v>
      </c>
      <c r="P5" s="8">
        <v>205436</v>
      </c>
      <c r="Q5" s="8">
        <v>123302</v>
      </c>
      <c r="R5" s="8">
        <v>63125</v>
      </c>
      <c r="S5" s="21">
        <v>60177</v>
      </c>
      <c r="Z5" s="10" t="s">
        <v>16</v>
      </c>
      <c r="AA5" s="27">
        <f>IF(COLUMN()/3=ROUND(COLUMN()/3,0),(C5/SUM(C$5:D$7)*-1),C5/SUM(C$5:D$7))</f>
        <v>-8.878677375647491E-2</v>
      </c>
      <c r="AB5" s="26">
        <f>IF(COLUMN()/3=ROUND(COLUMN()/3,0),(D5/SUM(C$5:D$7)*-1),D5/SUM(C$5:D$7))</f>
        <v>8.3649046211413489E-2</v>
      </c>
      <c r="AC5" s="10" t="s">
        <v>16</v>
      </c>
      <c r="AD5" s="27">
        <v>-8.878677375647491E-2</v>
      </c>
      <c r="AE5" s="25">
        <v>8.3649046211413489E-2</v>
      </c>
      <c r="AF5" s="24"/>
      <c r="AG5" s="24"/>
      <c r="AH5" s="24"/>
      <c r="AI5" s="10" t="s">
        <v>16</v>
      </c>
      <c r="AJ5" s="28">
        <f t="shared" ref="AJ5:AK7" si="0">IF(COLUMN()/3=ROUND(COLUMN()/3,0),(L5/SUM(L$5:M$7)*-1),L5/SUM(L$5:L$7))</f>
        <v>-8.619424644677727E-2</v>
      </c>
      <c r="AK5" s="26">
        <f t="shared" si="0"/>
        <v>0.15248464320569494</v>
      </c>
      <c r="AL5" s="10" t="s">
        <v>16</v>
      </c>
      <c r="AM5" s="11">
        <f>O5*-1</f>
        <v>-215885</v>
      </c>
      <c r="AN5" s="8">
        <v>205436</v>
      </c>
      <c r="AO5" s="8"/>
      <c r="AP5" s="11">
        <f>R5*-1</f>
        <v>-63125</v>
      </c>
      <c r="AQ5" s="21">
        <v>60177</v>
      </c>
    </row>
    <row r="6" spans="1:43" x14ac:dyDescent="0.3">
      <c r="A6" s="12" t="s">
        <v>8</v>
      </c>
      <c r="B6" s="16">
        <v>1797292</v>
      </c>
      <c r="C6" s="11">
        <v>924977</v>
      </c>
      <c r="D6" s="4">
        <v>872315</v>
      </c>
      <c r="E6" s="3">
        <v>1433854</v>
      </c>
      <c r="F6" s="11">
        <v>727133</v>
      </c>
      <c r="G6" s="4">
        <v>706721</v>
      </c>
      <c r="H6" s="3">
        <v>363438</v>
      </c>
      <c r="I6" s="11">
        <v>197844</v>
      </c>
      <c r="J6" s="17">
        <v>165594</v>
      </c>
      <c r="K6" s="20">
        <v>2006197</v>
      </c>
      <c r="L6" s="8">
        <v>1003035</v>
      </c>
      <c r="M6" s="8">
        <v>1003162</v>
      </c>
      <c r="N6" s="8">
        <v>1651729</v>
      </c>
      <c r="O6" s="8">
        <v>817956</v>
      </c>
      <c r="P6" s="8">
        <v>833773</v>
      </c>
      <c r="Q6" s="8">
        <v>354468</v>
      </c>
      <c r="R6" s="8">
        <v>185079</v>
      </c>
      <c r="S6" s="21">
        <v>169389</v>
      </c>
      <c r="Z6" s="10" t="s">
        <v>15</v>
      </c>
      <c r="AA6" s="27">
        <f>IF(COLUMN()/3=ROUND(COLUMN()/3,0),(C6/SUM(C$5:D$7)*-1),C6/SUM(C$5:D$7))</f>
        <v>-0.29572369704096307</v>
      </c>
      <c r="AB6" s="26">
        <f>IF(COLUMN()/3=ROUND(COLUMN()/3,0),(D6/SUM(C$5:D$7)*-1),D6/SUM(C$5:D$7))</f>
        <v>0.27888716885315817</v>
      </c>
      <c r="AC6" s="10" t="s">
        <v>15</v>
      </c>
      <c r="AD6" s="27">
        <v>-0.29572369704096307</v>
      </c>
      <c r="AE6" s="25">
        <v>0.27888716885315817</v>
      </c>
      <c r="AF6" s="24"/>
      <c r="AG6" s="24"/>
      <c r="AH6" s="24"/>
      <c r="AI6" s="10" t="s">
        <v>15</v>
      </c>
      <c r="AJ6" s="28">
        <f t="shared" si="0"/>
        <v>-0.30986647784933602</v>
      </c>
      <c r="AK6" s="26">
        <f t="shared" si="0"/>
        <v>0.57590102761352546</v>
      </c>
      <c r="AL6" s="10" t="s">
        <v>15</v>
      </c>
      <c r="AM6" s="11">
        <f>O6*-1</f>
        <v>-817956</v>
      </c>
      <c r="AN6" s="8">
        <v>833773</v>
      </c>
      <c r="AO6" s="8"/>
      <c r="AP6" s="11">
        <f>R6*-1</f>
        <v>-185079</v>
      </c>
      <c r="AQ6" s="21">
        <v>169389</v>
      </c>
    </row>
    <row r="7" spans="1:43" x14ac:dyDescent="0.3">
      <c r="A7" s="13" t="s">
        <v>9</v>
      </c>
      <c r="B7" s="18">
        <v>791198</v>
      </c>
      <c r="C7" s="6">
        <v>231878</v>
      </c>
      <c r="D7" s="7">
        <v>559320</v>
      </c>
      <c r="E7" s="5">
        <v>621663</v>
      </c>
      <c r="F7" s="6">
        <v>176479</v>
      </c>
      <c r="G7" s="7">
        <v>445184</v>
      </c>
      <c r="H7" s="5">
        <v>169535</v>
      </c>
      <c r="I7" s="6">
        <v>55399</v>
      </c>
      <c r="J7" s="19">
        <v>114136</v>
      </c>
      <c r="K7" s="22">
        <v>686171</v>
      </c>
      <c r="L7" s="9">
        <v>213046</v>
      </c>
      <c r="M7" s="9">
        <v>473125</v>
      </c>
      <c r="N7" s="9">
        <v>536039</v>
      </c>
      <c r="O7" s="9">
        <v>164086</v>
      </c>
      <c r="P7" s="9">
        <v>371953</v>
      </c>
      <c r="Q7" s="9">
        <v>150132</v>
      </c>
      <c r="R7" s="9">
        <v>48960</v>
      </c>
      <c r="S7" s="23">
        <v>101172</v>
      </c>
      <c r="Z7" s="10" t="s">
        <v>17</v>
      </c>
      <c r="AA7" s="27">
        <f>IF(COLUMN()/3=ROUND(COLUMN()/3,0),(C7/SUM(C$5:D$7)*-1),C7/SUM(C$5:D$7))</f>
        <v>-7.4133539993388411E-2</v>
      </c>
      <c r="AB7" s="26">
        <f>IF(COLUMN()/3=ROUND(COLUMN()/3,0),(D7/SUM(C$5:D$7)*-1),D7/SUM(C$5:D$7))</f>
        <v>0.17881977414460193</v>
      </c>
      <c r="AC7" s="10" t="s">
        <v>17</v>
      </c>
      <c r="AD7" s="27">
        <v>-7.4133539993388411E-2</v>
      </c>
      <c r="AE7" s="25">
        <v>0.17881977414460193</v>
      </c>
      <c r="AF7" s="24"/>
      <c r="AG7" s="24"/>
      <c r="AH7" s="24"/>
      <c r="AI7" s="10" t="s">
        <v>17</v>
      </c>
      <c r="AJ7" s="28">
        <f t="shared" si="0"/>
        <v>-6.5816061892047278E-2</v>
      </c>
      <c r="AK7" s="26">
        <f t="shared" si="0"/>
        <v>0.2716143291807796</v>
      </c>
      <c r="AL7" s="10" t="s">
        <v>17</v>
      </c>
      <c r="AM7" s="11">
        <f>O7*-1</f>
        <v>-164086</v>
      </c>
      <c r="AN7" s="9">
        <v>371953</v>
      </c>
      <c r="AO7" s="9"/>
      <c r="AP7" s="11">
        <f>R7*-1</f>
        <v>-48960</v>
      </c>
      <c r="AQ7" s="23">
        <v>101172</v>
      </c>
    </row>
    <row r="8" spans="1:43" x14ac:dyDescent="0.3">
      <c r="A8" s="10" t="s">
        <v>12</v>
      </c>
      <c r="B8" s="98">
        <f>ABS(C5/SUM(C$5:D$7)-D5/SUM(C$5:D$7))</f>
        <v>5.1377275450614213E-3</v>
      </c>
      <c r="C8" s="99"/>
      <c r="D8" s="99"/>
      <c r="E8" s="98">
        <f>ABS(F5/SUM(F$5:G$7)-G5/SUM(F$5:G$7))</f>
        <v>5.0708828321241045E-3</v>
      </c>
      <c r="F8" s="99"/>
      <c r="G8" s="99"/>
      <c r="H8" s="98">
        <f>ABS(I5/SUM(I$5:J$7)-J5/SUM(I$5:J$7))</f>
        <v>5.3953150603306965E-3</v>
      </c>
      <c r="I8" s="99"/>
      <c r="J8" s="99"/>
      <c r="K8" s="98">
        <f>ABS(L5/SUM(L$5:M$7)-M5/SUM(L$5:M$7))</f>
        <v>4.1387201879770491E-3</v>
      </c>
      <c r="L8" s="99"/>
      <c r="M8" s="99"/>
      <c r="N8" s="98">
        <f>ABS(O5/SUM(O$5:P$7)-P5/SUM(O$5:P$7))</f>
        <v>4.0048461359501325E-3</v>
      </c>
      <c r="O8" s="99"/>
      <c r="P8" s="99"/>
      <c r="Q8" s="98">
        <f>ABS(R5/SUM(R$5:S$7)-S5/SUM(R$5:S$7))</f>
        <v>4.6950001751865644E-3</v>
      </c>
      <c r="R8" s="99"/>
      <c r="S8" s="99"/>
    </row>
    <row r="9" spans="1:43" x14ac:dyDescent="0.3">
      <c r="A9" s="10" t="s">
        <v>13</v>
      </c>
      <c r="B9" s="98">
        <f>ABS(C6/SUM(C$5:D$7)-D6/SUM(C$5:D$7))</f>
        <v>1.68365281878049E-2</v>
      </c>
      <c r="C9" s="99"/>
      <c r="D9" s="99"/>
      <c r="E9" s="98">
        <f>ABS(F6/SUM(F$5:G$7)-G6/SUM(F$5:G$7))</f>
        <v>8.2193965194407026E-3</v>
      </c>
      <c r="F9" s="99"/>
      <c r="G9" s="99"/>
      <c r="H9" s="98">
        <f>ABS(I6/SUM(I$5:J$7)-J6/SUM(I$5:J$7))</f>
        <v>5.0042827349918051E-2</v>
      </c>
      <c r="I9" s="99"/>
      <c r="J9" s="99"/>
      <c r="K9" s="108">
        <f>ABS(L6/SUM(L$5:M$7)-M6/SUM(L$5:M$7))</f>
        <v>3.9233967595198038E-5</v>
      </c>
      <c r="L9" s="109"/>
      <c r="M9" s="109"/>
      <c r="N9" s="98">
        <f>ABS(O6/SUM(O$5:P$7)-P6/SUM(O$5:P$7))</f>
        <v>6.0622692441691384E-3</v>
      </c>
      <c r="O9" s="99"/>
      <c r="P9" s="99"/>
      <c r="Q9" s="98">
        <f>ABS(R6/SUM(R$5:S$7)-S6/SUM(R$5:S$7))</f>
        <v>2.4987975830623232E-2</v>
      </c>
      <c r="R9" s="99"/>
      <c r="S9" s="99"/>
    </row>
    <row r="10" spans="1:43" ht="15" thickBot="1" x14ac:dyDescent="0.35">
      <c r="A10" s="10" t="s">
        <v>14</v>
      </c>
      <c r="B10" s="98">
        <f>ABS(C7/SUM(C$5:D$7)-D7/SUM(C$5:D$7))</f>
        <v>0.10468623415121352</v>
      </c>
      <c r="C10" s="99"/>
      <c r="D10" s="99"/>
      <c r="E10" s="98">
        <f>ABS(F7/SUM(F$5:G$7)-G7/SUM(F$5:G$7))</f>
        <v>0.10820071241212632</v>
      </c>
      <c r="F10" s="99"/>
      <c r="G10" s="99"/>
      <c r="H10" s="98">
        <f>ABS(I7/SUM(I$5:J$7)-J7/SUM(I$5:J$7))</f>
        <v>9.1143117831074053E-2</v>
      </c>
      <c r="I10" s="99"/>
      <c r="J10" s="99"/>
      <c r="K10" s="98">
        <f>ABS(L7/SUM(L$5:M$7)-M7/SUM(L$5:M$7))</f>
        <v>8.0345913844060729E-2</v>
      </c>
      <c r="L10" s="99"/>
      <c r="M10" s="99"/>
      <c r="N10" s="98">
        <f>ABS(O7/SUM(O$5:P$7)-P7/SUM(O$5:P$7))</f>
        <v>7.9670337041013173E-2</v>
      </c>
      <c r="O10" s="99"/>
      <c r="P10" s="99"/>
      <c r="Q10" s="98">
        <f>ABS(R7/SUM(R$5:S$7)-S7/SUM(R$5:S$7))</f>
        <v>8.3153103509783388E-2</v>
      </c>
      <c r="R10" s="99"/>
      <c r="S10" s="99"/>
    </row>
    <row r="11" spans="1:43" x14ac:dyDescent="0.3">
      <c r="A11" s="10"/>
      <c r="B11" s="97"/>
      <c r="C11" s="97"/>
      <c r="D11" s="97"/>
    </row>
    <row r="29" spans="1:13" ht="14.4" customHeight="1" x14ac:dyDescent="0.3">
      <c r="A29" t="s">
        <v>18</v>
      </c>
      <c r="B29" s="93" t="s">
        <v>19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</row>
    <row r="30" spans="1:13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</row>
    <row r="31" spans="1:13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</row>
    <row r="32" spans="1:13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</row>
  </sheetData>
  <mergeCells count="29">
    <mergeCell ref="N3:P3"/>
    <mergeCell ref="A3:A4"/>
    <mergeCell ref="B3:D3"/>
    <mergeCell ref="E3:G3"/>
    <mergeCell ref="H3:J3"/>
    <mergeCell ref="K8:M8"/>
    <mergeCell ref="N8:P8"/>
    <mergeCell ref="Q8:S8"/>
    <mergeCell ref="B9:D9"/>
    <mergeCell ref="E9:G9"/>
    <mergeCell ref="H9:J9"/>
    <mergeCell ref="K9:M9"/>
    <mergeCell ref="N9:P9"/>
    <mergeCell ref="B29:M32"/>
    <mergeCell ref="B2:J2"/>
    <mergeCell ref="B11:D11"/>
    <mergeCell ref="Q9:S9"/>
    <mergeCell ref="E10:G10"/>
    <mergeCell ref="H10:J10"/>
    <mergeCell ref="K10:M10"/>
    <mergeCell ref="N10:P10"/>
    <mergeCell ref="Q10:S10"/>
    <mergeCell ref="K3:M3"/>
    <mergeCell ref="Q3:S3"/>
    <mergeCell ref="K2:S2"/>
    <mergeCell ref="B10:D10"/>
    <mergeCell ref="B8:D8"/>
    <mergeCell ref="E8:G8"/>
    <mergeCell ref="H8:J8"/>
  </mergeCells>
  <phoneticPr fontId="5" type="noConversion"/>
  <conditionalFormatting sqref="B8:S10">
    <cfRule type="cellIs" dxfId="2" priority="1" operator="lessThan">
      <formula>0.01</formula>
    </cfRule>
    <cfRule type="cellIs" dxfId="1" priority="2" operator="greaterThan">
      <formula>0.03</formula>
    </cfRule>
    <cfRule type="cellIs" dxfId="0" priority="3" operator="lessThan">
      <formula>0.03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4DA2-F2B8-46BF-A452-809AD0297AC6}">
  <sheetPr codeName="Worksheet____2"/>
  <dimension ref="A1:K22"/>
  <sheetViews>
    <sheetView workbookViewId="0">
      <selection activeCell="B8" sqref="B8"/>
    </sheetView>
  </sheetViews>
  <sheetFormatPr defaultRowHeight="14.4" x14ac:dyDescent="0.3"/>
  <cols>
    <col min="1" max="1" width="35.6640625" bestFit="1" customWidth="1"/>
  </cols>
  <sheetData>
    <row r="1" spans="1:3" x14ac:dyDescent="0.3">
      <c r="A1" s="112" t="s">
        <v>20</v>
      </c>
      <c r="B1" s="113" t="s">
        <v>21</v>
      </c>
      <c r="C1" s="113"/>
    </row>
    <row r="2" spans="1:3" x14ac:dyDescent="0.3">
      <c r="A2" s="112"/>
      <c r="B2" s="32" t="s">
        <v>22</v>
      </c>
      <c r="C2" s="32" t="s">
        <v>23</v>
      </c>
    </row>
    <row r="3" spans="1:3" x14ac:dyDescent="0.3">
      <c r="A3" s="32" t="s">
        <v>24</v>
      </c>
      <c r="B3" s="32">
        <v>1.4</v>
      </c>
      <c r="C3" s="32">
        <v>1.5</v>
      </c>
    </row>
    <row r="4" spans="1:3" x14ac:dyDescent="0.3">
      <c r="A4" s="32" t="s">
        <v>25</v>
      </c>
      <c r="B4" s="32">
        <v>78.5</v>
      </c>
      <c r="C4" s="32">
        <v>76.7</v>
      </c>
    </row>
    <row r="5" spans="1:3" x14ac:dyDescent="0.3">
      <c r="A5" s="32" t="s">
        <v>26</v>
      </c>
      <c r="B5" s="32">
        <v>37.799999999999997</v>
      </c>
      <c r="C5" s="32">
        <v>39.5</v>
      </c>
    </row>
    <row r="6" spans="1:3" x14ac:dyDescent="0.3">
      <c r="A6" s="32" t="s">
        <v>27</v>
      </c>
      <c r="B6" s="32">
        <v>148</v>
      </c>
      <c r="C6" s="32">
        <v>143.6</v>
      </c>
    </row>
    <row r="7" spans="1:3" x14ac:dyDescent="0.3">
      <c r="A7" s="32" t="s">
        <v>28</v>
      </c>
      <c r="B7" s="33">
        <f>B5/B6</f>
        <v>0.25540540540540541</v>
      </c>
      <c r="C7" s="33">
        <f>C5/C6</f>
        <v>0.27506963788300837</v>
      </c>
    </row>
    <row r="8" spans="1:3" x14ac:dyDescent="0.3">
      <c r="A8" s="32" t="s">
        <v>29</v>
      </c>
      <c r="B8" s="34">
        <f>B3/B5*1000</f>
        <v>37.037037037037038</v>
      </c>
      <c r="C8" s="34">
        <f>C3/C5*1000</f>
        <v>37.974683544303801</v>
      </c>
    </row>
    <row r="10" spans="1:3" x14ac:dyDescent="0.3">
      <c r="A10" t="s">
        <v>30</v>
      </c>
      <c r="B10" s="30">
        <f>(C7*C8)/(B7*B8)</f>
        <v>1.1042578591325112</v>
      </c>
      <c r="C10" s="31">
        <f>B10-1</f>
        <v>0.10425785913251118</v>
      </c>
    </row>
    <row r="11" spans="1:3" x14ac:dyDescent="0.3">
      <c r="A11" t="s">
        <v>31</v>
      </c>
      <c r="B11" s="30">
        <f>(B8*C7)/(B7*B8)</f>
        <v>1.076992232981091</v>
      </c>
      <c r="C11" s="31">
        <f>B11-1</f>
        <v>7.6992232981091036E-2</v>
      </c>
    </row>
    <row r="12" spans="1:3" x14ac:dyDescent="0.3">
      <c r="A12" t="s">
        <v>32</v>
      </c>
      <c r="B12" s="30">
        <f>(C8*C7)/(B8*C7)</f>
        <v>1.0253164556962027</v>
      </c>
      <c r="C12" s="31">
        <f>B12-1</f>
        <v>2.5316455696202667E-2</v>
      </c>
    </row>
    <row r="13" spans="1:3" x14ac:dyDescent="0.3">
      <c r="A13" t="s">
        <v>33</v>
      </c>
      <c r="B13" s="29">
        <f>(C7*C8)-(B7*B8)</f>
        <v>0.9862229917940244</v>
      </c>
    </row>
    <row r="14" spans="1:3" x14ac:dyDescent="0.3">
      <c r="A14" t="s">
        <v>34</v>
      </c>
      <c r="B14" s="29">
        <f>(B8*C7)-(B7*B8)</f>
        <v>0.72830490657788793</v>
      </c>
    </row>
    <row r="15" spans="1:3" x14ac:dyDescent="0.3">
      <c r="A15" t="s">
        <v>35</v>
      </c>
      <c r="B15" s="29">
        <f>(C8*C7)-(B8*C7)</f>
        <v>0.25791808521613646</v>
      </c>
    </row>
    <row r="17" spans="1:11" ht="14.4" customHeight="1" x14ac:dyDescent="0.3">
      <c r="A17" s="93" t="s">
        <v>36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</row>
    <row r="18" spans="1:11" x14ac:dyDescent="0.3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</row>
    <row r="19" spans="1:11" x14ac:dyDescent="0.3">
      <c r="A19" s="93" t="s">
        <v>37</v>
      </c>
      <c r="B19" s="93"/>
      <c r="C19" s="93"/>
      <c r="D19" s="93"/>
      <c r="E19" s="93"/>
      <c r="F19" s="93"/>
      <c r="G19" s="93"/>
      <c r="H19" s="93"/>
      <c r="I19" s="93"/>
    </row>
    <row r="20" spans="1:11" x14ac:dyDescent="0.3">
      <c r="A20" s="93"/>
      <c r="B20" s="93"/>
      <c r="C20" s="93"/>
      <c r="D20" s="93"/>
      <c r="E20" s="93"/>
      <c r="F20" s="93"/>
      <c r="G20" s="93"/>
      <c r="H20" s="93"/>
      <c r="I20" s="93"/>
    </row>
    <row r="21" spans="1:11" x14ac:dyDescent="0.3">
      <c r="A21" s="93" t="s">
        <v>38</v>
      </c>
      <c r="B21" s="93"/>
      <c r="C21" s="93"/>
      <c r="D21" s="93"/>
      <c r="E21" s="93"/>
      <c r="F21" s="93"/>
      <c r="G21" s="93"/>
      <c r="H21" s="93"/>
      <c r="I21" s="93"/>
    </row>
    <row r="22" spans="1:11" x14ac:dyDescent="0.3">
      <c r="A22" s="93"/>
      <c r="B22" s="93"/>
      <c r="C22" s="93"/>
      <c r="D22" s="93"/>
      <c r="E22" s="93"/>
      <c r="F22" s="93"/>
      <c r="G22" s="93"/>
      <c r="H22" s="93"/>
      <c r="I22" s="93"/>
    </row>
  </sheetData>
  <mergeCells count="5">
    <mergeCell ref="A17:K18"/>
    <mergeCell ref="A1:A2"/>
    <mergeCell ref="B1:C1"/>
    <mergeCell ref="A19:I20"/>
    <mergeCell ref="A21:I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E9B9-64E0-4F5F-B10A-544619F875E9}">
  <sheetPr codeName="Worksheet____3"/>
  <dimension ref="A1:AB34"/>
  <sheetViews>
    <sheetView topLeftCell="B15" zoomScale="70" zoomScaleNormal="70" workbookViewId="0">
      <selection activeCell="E35" sqref="E35"/>
    </sheetView>
  </sheetViews>
  <sheetFormatPr defaultRowHeight="14.4" x14ac:dyDescent="0.3"/>
  <cols>
    <col min="1" max="1" width="27.33203125" customWidth="1"/>
    <col min="2" max="2" width="15.33203125" customWidth="1"/>
    <col min="3" max="3" width="16.6640625" customWidth="1"/>
    <col min="4" max="4" width="13.33203125" customWidth="1"/>
    <col min="5" max="5" width="18.109375" customWidth="1"/>
    <col min="6" max="11" width="12.44140625" bestFit="1" customWidth="1"/>
  </cols>
  <sheetData>
    <row r="1" spans="1:28" ht="46.95" customHeight="1" x14ac:dyDescent="0.3">
      <c r="A1" t="s">
        <v>21</v>
      </c>
      <c r="B1" s="35" t="s">
        <v>39</v>
      </c>
      <c r="C1" s="35" t="s">
        <v>40</v>
      </c>
      <c r="D1" s="35" t="s">
        <v>41</v>
      </c>
    </row>
    <row r="2" spans="1:28" x14ac:dyDescent="0.3">
      <c r="A2">
        <v>2021</v>
      </c>
      <c r="B2">
        <v>11541</v>
      </c>
      <c r="C2">
        <v>111944</v>
      </c>
      <c r="D2">
        <v>11613</v>
      </c>
      <c r="E2" s="37">
        <f>C2/(AVERAGE(D2,B2))</f>
        <v>9.6695171460654752</v>
      </c>
    </row>
    <row r="3" spans="1:28" x14ac:dyDescent="0.3">
      <c r="A3">
        <v>2022</v>
      </c>
      <c r="B3">
        <v>11980</v>
      </c>
      <c r="C3">
        <v>115966</v>
      </c>
      <c r="D3">
        <v>12108</v>
      </c>
      <c r="E3" s="37">
        <f>C3/(AVERAGE(D3,B3))</f>
        <v>9.6285287279973435</v>
      </c>
    </row>
    <row r="5" spans="1:28" x14ac:dyDescent="0.3">
      <c r="D5" t="s">
        <v>42</v>
      </c>
      <c r="E5" s="36">
        <f>E3-E2</f>
        <v>-4.0988418068131693E-2</v>
      </c>
    </row>
    <row r="6" spans="1:28" x14ac:dyDescent="0.3">
      <c r="D6" t="s">
        <v>43</v>
      </c>
      <c r="E6" s="30">
        <f>E3/E2*100-100</f>
        <v>-0.423893121538228</v>
      </c>
    </row>
    <row r="8" spans="1:28" ht="15" thickBot="1" x14ac:dyDescent="0.35"/>
    <row r="9" spans="1:28" ht="15" thickBot="1" x14ac:dyDescent="0.35">
      <c r="A9" s="38" t="s">
        <v>44</v>
      </c>
      <c r="B9" s="39">
        <v>2013</v>
      </c>
      <c r="C9" s="39">
        <v>2014</v>
      </c>
      <c r="D9" s="39">
        <v>2015</v>
      </c>
      <c r="E9" s="39">
        <v>2016</v>
      </c>
      <c r="F9" s="39">
        <v>2017</v>
      </c>
      <c r="G9" s="39">
        <v>2018</v>
      </c>
      <c r="H9" s="39">
        <v>2019</v>
      </c>
      <c r="I9" s="39">
        <v>2020</v>
      </c>
      <c r="J9" s="39">
        <v>2021</v>
      </c>
      <c r="K9" s="39">
        <v>2022</v>
      </c>
      <c r="L9" s="39" t="s">
        <v>49</v>
      </c>
    </row>
    <row r="10" spans="1:28" ht="27" thickBot="1" x14ac:dyDescent="0.35">
      <c r="A10" s="53" t="s">
        <v>53</v>
      </c>
      <c r="B10" s="41">
        <f t="shared" ref="B10:E12" si="0">AVERAGE(R11:S11)</f>
        <v>143.80000000000001</v>
      </c>
      <c r="C10" s="41">
        <f t="shared" si="0"/>
        <v>145.35</v>
      </c>
      <c r="D10" s="41">
        <f t="shared" si="0"/>
        <v>146.94999999999999</v>
      </c>
      <c r="E10" s="41">
        <f t="shared" si="0"/>
        <v>147.39999999999998</v>
      </c>
      <c r="F10" s="41">
        <f t="shared" ref="F10:K10" si="1">AVERAGE(V11:W11)</f>
        <v>147.69999999999999</v>
      </c>
      <c r="G10" s="41">
        <f t="shared" si="1"/>
        <v>147.80000000000001</v>
      </c>
      <c r="H10" s="41">
        <f t="shared" si="1"/>
        <v>147.85000000000002</v>
      </c>
      <c r="I10" s="41">
        <f t="shared" si="1"/>
        <v>147.65</v>
      </c>
      <c r="J10" s="41">
        <f t="shared" si="1"/>
        <v>147.19999999999999</v>
      </c>
      <c r="K10" s="41">
        <f t="shared" si="1"/>
        <v>146.69999999999999</v>
      </c>
      <c r="L10" s="48">
        <f t="shared" ref="L10:L23" si="2">K10/B10*100-100</f>
        <v>2.0166898470097152</v>
      </c>
      <c r="P10" s="44">
        <v>2013</v>
      </c>
      <c r="Q10" s="45">
        <v>143.6</v>
      </c>
      <c r="R10" cm="1">
        <f t="array" ref="R10:AB11">TRANSPOSE(P10:Q20)</f>
        <v>2013</v>
      </c>
      <c r="S10">
        <v>2014</v>
      </c>
      <c r="T10">
        <v>2015</v>
      </c>
      <c r="U10">
        <v>2016</v>
      </c>
      <c r="V10">
        <v>2017</v>
      </c>
      <c r="W10">
        <v>2018</v>
      </c>
      <c r="X10">
        <v>2019</v>
      </c>
      <c r="Y10">
        <v>2020</v>
      </c>
      <c r="Z10">
        <v>2021</v>
      </c>
      <c r="AA10">
        <v>2022</v>
      </c>
      <c r="AB10" t="str">
        <v>20232)</v>
      </c>
    </row>
    <row r="11" spans="1:28" ht="15" thickBot="1" x14ac:dyDescent="0.35">
      <c r="A11" s="42" t="s">
        <v>1</v>
      </c>
      <c r="B11" s="41">
        <f t="shared" si="0"/>
        <v>106.65</v>
      </c>
      <c r="C11" s="41">
        <f t="shared" si="0"/>
        <v>107.85</v>
      </c>
      <c r="D11" s="41">
        <f t="shared" si="0"/>
        <v>109.05</v>
      </c>
      <c r="E11" s="41">
        <f t="shared" si="0"/>
        <v>109.55</v>
      </c>
      <c r="F11" s="41">
        <f t="shared" ref="F11:K12" si="3">AVERAGE(V12:W12)</f>
        <v>109.94999999999999</v>
      </c>
      <c r="G11" s="41">
        <f t="shared" si="3"/>
        <v>110.19999999999999</v>
      </c>
      <c r="H11" s="41">
        <f t="shared" si="3"/>
        <v>110.4</v>
      </c>
      <c r="I11" s="41">
        <f t="shared" si="3"/>
        <v>110.35</v>
      </c>
      <c r="J11" s="41">
        <f t="shared" si="3"/>
        <v>110.1</v>
      </c>
      <c r="K11" s="41">
        <f t="shared" si="3"/>
        <v>109.8</v>
      </c>
      <c r="L11" s="48">
        <f t="shared" si="2"/>
        <v>2.953586497890285</v>
      </c>
      <c r="P11" s="44">
        <v>2014</v>
      </c>
      <c r="Q11" s="45">
        <v>144</v>
      </c>
      <c r="R11">
        <v>143.6</v>
      </c>
      <c r="S11">
        <v>144</v>
      </c>
      <c r="T11">
        <v>146.69999999999999</v>
      </c>
      <c r="U11">
        <v>147.19999999999999</v>
      </c>
      <c r="V11">
        <v>147.6</v>
      </c>
      <c r="W11">
        <v>147.80000000000001</v>
      </c>
      <c r="X11">
        <v>147.80000000000001</v>
      </c>
      <c r="Y11">
        <v>147.9</v>
      </c>
      <c r="Z11">
        <v>147.4</v>
      </c>
      <c r="AA11">
        <v>147</v>
      </c>
      <c r="AB11">
        <v>146.4</v>
      </c>
    </row>
    <row r="12" spans="1:28" ht="15" thickBot="1" x14ac:dyDescent="0.35">
      <c r="A12" s="42" t="s">
        <v>45</v>
      </c>
      <c r="B12" s="41">
        <f t="shared" si="0"/>
        <v>37.150000000000006</v>
      </c>
      <c r="C12" s="41">
        <f t="shared" si="0"/>
        <v>37.5</v>
      </c>
      <c r="D12" s="41">
        <f t="shared" si="0"/>
        <v>37.9</v>
      </c>
      <c r="E12" s="41">
        <f t="shared" si="0"/>
        <v>37.849999999999994</v>
      </c>
      <c r="F12" s="41">
        <f t="shared" si="3"/>
        <v>37.75</v>
      </c>
      <c r="G12" s="41">
        <f t="shared" si="3"/>
        <v>37.6</v>
      </c>
      <c r="H12" s="41">
        <f t="shared" si="3"/>
        <v>37.450000000000003</v>
      </c>
      <c r="I12" s="41">
        <f t="shared" si="3"/>
        <v>37.299999999999997</v>
      </c>
      <c r="J12" s="41">
        <f t="shared" si="3"/>
        <v>37.1</v>
      </c>
      <c r="K12" s="41">
        <f t="shared" si="3"/>
        <v>36.9</v>
      </c>
      <c r="L12" s="48">
        <f t="shared" si="2"/>
        <v>-0.67294751009423237</v>
      </c>
      <c r="P12" s="44">
        <v>2015</v>
      </c>
      <c r="Q12" s="45">
        <v>146.69999999999999</v>
      </c>
      <c r="R12" cm="1">
        <f t="array" ref="R12:AB12">TRANSPOSE([1]Лист1!$C$52:$C$62)</f>
        <v>106.4</v>
      </c>
      <c r="S12">
        <v>106.9</v>
      </c>
      <c r="T12">
        <v>108.8</v>
      </c>
      <c r="U12">
        <v>109.3</v>
      </c>
      <c r="V12">
        <v>109.8</v>
      </c>
      <c r="W12">
        <v>110.1</v>
      </c>
      <c r="X12">
        <v>110.3</v>
      </c>
      <c r="Y12">
        <v>110.5</v>
      </c>
      <c r="Z12">
        <v>110.2</v>
      </c>
      <c r="AA12">
        <v>110</v>
      </c>
      <c r="AB12">
        <v>109.6</v>
      </c>
    </row>
    <row r="13" spans="1:28" ht="27" thickBot="1" x14ac:dyDescent="0.35">
      <c r="A13" s="40" t="s">
        <v>46</v>
      </c>
      <c r="B13" s="41">
        <f>R14</f>
        <v>1895822</v>
      </c>
      <c r="C13" s="41">
        <f>S14</f>
        <v>1942683</v>
      </c>
      <c r="D13" s="41">
        <f>T14</f>
        <v>1940579</v>
      </c>
      <c r="E13" s="41">
        <f>U14</f>
        <v>1888729</v>
      </c>
      <c r="F13" s="41">
        <f t="shared" ref="F13:K13" si="4">V14</f>
        <v>1690307</v>
      </c>
      <c r="G13" s="41">
        <f t="shared" si="4"/>
        <v>1604344</v>
      </c>
      <c r="H13" s="41">
        <f t="shared" si="4"/>
        <v>1481074</v>
      </c>
      <c r="I13" s="41">
        <f t="shared" si="4"/>
        <v>1436514</v>
      </c>
      <c r="J13" s="41">
        <f t="shared" si="4"/>
        <v>1398253</v>
      </c>
      <c r="K13" s="41">
        <f t="shared" si="4"/>
        <v>1304087</v>
      </c>
      <c r="L13" s="48">
        <f t="shared" si="2"/>
        <v>-31.212582193897958</v>
      </c>
      <c r="P13" s="44">
        <v>2016</v>
      </c>
      <c r="Q13" s="45">
        <v>147.19999999999999</v>
      </c>
      <c r="R13" cm="1">
        <f t="array" ref="R13:AB13">TRANSPOSE([1]Лист1!$D$52:$D$62)</f>
        <v>37.200000000000003</v>
      </c>
      <c r="S13">
        <v>37.1</v>
      </c>
      <c r="T13">
        <v>37.9</v>
      </c>
      <c r="U13">
        <v>37.9</v>
      </c>
      <c r="V13">
        <v>37.799999999999997</v>
      </c>
      <c r="W13">
        <v>37.700000000000003</v>
      </c>
      <c r="X13">
        <v>37.5</v>
      </c>
      <c r="Y13">
        <v>37.4</v>
      </c>
      <c r="Z13">
        <v>37.200000000000003</v>
      </c>
      <c r="AA13">
        <v>37</v>
      </c>
      <c r="AB13">
        <v>36.799999999999997</v>
      </c>
    </row>
    <row r="14" spans="1:28" ht="15" thickBot="1" x14ac:dyDescent="0.35">
      <c r="A14" s="42" t="s">
        <v>1</v>
      </c>
      <c r="B14" s="41">
        <f>R16/1000</f>
        <v>1357.31</v>
      </c>
      <c r="C14" s="41">
        <f>S16/1000</f>
        <v>1394.86</v>
      </c>
      <c r="D14" s="41">
        <f>T16/1000</f>
        <v>1455.2829999999999</v>
      </c>
      <c r="E14" s="41">
        <f>U16/1000</f>
        <v>1426.5909999999999</v>
      </c>
      <c r="F14" s="41">
        <f t="shared" ref="F14:K14" si="5">V16/1000</f>
        <v>1269.527</v>
      </c>
      <c r="G14" s="41">
        <f t="shared" si="5"/>
        <v>1205.231</v>
      </c>
      <c r="H14" s="41">
        <f t="shared" si="5"/>
        <v>1115.337</v>
      </c>
      <c r="I14" s="41">
        <f t="shared" si="5"/>
        <v>1079.8869999999999</v>
      </c>
      <c r="J14" s="41">
        <f t="shared" si="5"/>
        <v>1047.731</v>
      </c>
      <c r="K14" s="41">
        <f t="shared" si="5"/>
        <v>980.71600000000001</v>
      </c>
      <c r="L14" s="48">
        <f t="shared" si="2"/>
        <v>-27.745614487478903</v>
      </c>
      <c r="P14" s="44">
        <v>2017</v>
      </c>
      <c r="Q14" s="45">
        <v>147.6</v>
      </c>
      <c r="R14" cm="1">
        <f t="array" ref="R14:AA15">TRANSPOSE([2]Лист1!$B$26:$C$35)</f>
        <v>1895822</v>
      </c>
      <c r="S14">
        <v>1942683</v>
      </c>
      <c r="T14">
        <v>1940579</v>
      </c>
      <c r="U14">
        <v>1888729</v>
      </c>
      <c r="V14">
        <v>1690307</v>
      </c>
      <c r="W14">
        <v>1604344</v>
      </c>
      <c r="X14">
        <v>1481074</v>
      </c>
      <c r="Y14">
        <v>1436514</v>
      </c>
      <c r="Z14">
        <v>1398253</v>
      </c>
      <c r="AA14">
        <v>1304087</v>
      </c>
    </row>
    <row r="15" spans="1:28" ht="15" thickBot="1" x14ac:dyDescent="0.35">
      <c r="A15" s="42" t="s">
        <v>45</v>
      </c>
      <c r="B15" s="43">
        <f>R18/1000</f>
        <v>538.51199999999994</v>
      </c>
      <c r="C15" s="43">
        <f>S18/1000</f>
        <v>547.82299999999998</v>
      </c>
      <c r="D15" s="43">
        <f>T18/1000</f>
        <v>485.29599999999999</v>
      </c>
      <c r="E15" s="43">
        <f>U18/1000</f>
        <v>462.13799999999998</v>
      </c>
      <c r="F15" s="43">
        <f t="shared" ref="F15:K15" si="6">V18/1000</f>
        <v>420.78</v>
      </c>
      <c r="G15" s="43">
        <f t="shared" si="6"/>
        <v>399.113</v>
      </c>
      <c r="H15" s="43">
        <f t="shared" si="6"/>
        <v>365.73700000000002</v>
      </c>
      <c r="I15" s="43">
        <f t="shared" si="6"/>
        <v>356.62700000000001</v>
      </c>
      <c r="J15" s="43">
        <f t="shared" si="6"/>
        <v>350.52199999999999</v>
      </c>
      <c r="K15" s="43">
        <f t="shared" si="6"/>
        <v>323.37099999999998</v>
      </c>
      <c r="L15" s="48">
        <f t="shared" si="2"/>
        <v>-39.951013162195082</v>
      </c>
      <c r="P15" s="44">
        <v>2018</v>
      </c>
      <c r="Q15" s="45">
        <v>147.80000000000001</v>
      </c>
      <c r="R15">
        <v>1871809</v>
      </c>
      <c r="S15">
        <v>1912347</v>
      </c>
      <c r="T15">
        <v>1908541</v>
      </c>
      <c r="U15">
        <v>1891015</v>
      </c>
      <c r="V15">
        <v>1826125</v>
      </c>
      <c r="W15">
        <v>1828910</v>
      </c>
      <c r="X15">
        <v>1798307</v>
      </c>
      <c r="Y15">
        <v>2138586</v>
      </c>
      <c r="Z15">
        <v>2441594</v>
      </c>
      <c r="AA15">
        <v>1898644</v>
      </c>
    </row>
    <row r="16" spans="1:28" ht="27" thickBot="1" x14ac:dyDescent="0.35">
      <c r="A16" s="40" t="s">
        <v>47</v>
      </c>
      <c r="B16" s="41">
        <f>R15/1000</f>
        <v>1871.809</v>
      </c>
      <c r="C16" s="41">
        <f>S15/1000</f>
        <v>1912.347</v>
      </c>
      <c r="D16" s="41">
        <f>T15/1000</f>
        <v>1908.5409999999999</v>
      </c>
      <c r="E16" s="41">
        <f>U15/1000</f>
        <v>1891.0150000000001</v>
      </c>
      <c r="F16" s="41">
        <f t="shared" ref="F16:K16" si="7">V15/1000</f>
        <v>1826.125</v>
      </c>
      <c r="G16" s="41">
        <f t="shared" si="7"/>
        <v>1828.91</v>
      </c>
      <c r="H16" s="41">
        <f t="shared" si="7"/>
        <v>1798.307</v>
      </c>
      <c r="I16" s="41">
        <f t="shared" si="7"/>
        <v>2138.5859999999998</v>
      </c>
      <c r="J16" s="41">
        <f t="shared" si="7"/>
        <v>2441.5940000000001</v>
      </c>
      <c r="K16" s="41">
        <f t="shared" si="7"/>
        <v>1898.644</v>
      </c>
      <c r="L16" s="48">
        <f t="shared" si="2"/>
        <v>1.4336398638963743</v>
      </c>
      <c r="P16" s="44">
        <v>2019</v>
      </c>
      <c r="Q16" s="45">
        <v>147.80000000000001</v>
      </c>
      <c r="R16" cm="1">
        <f t="array" ref="R16:AA16">TRANSPOSE([2]Лист1!$B$56:$B$65)</f>
        <v>1357310</v>
      </c>
      <c r="S16">
        <v>1394860</v>
      </c>
      <c r="T16">
        <v>1455283</v>
      </c>
      <c r="U16">
        <v>1426591</v>
      </c>
      <c r="V16">
        <v>1269527</v>
      </c>
      <c r="W16">
        <v>1205231</v>
      </c>
      <c r="X16">
        <v>1115337</v>
      </c>
      <c r="Y16">
        <v>1079887</v>
      </c>
      <c r="Z16">
        <v>1047731</v>
      </c>
      <c r="AA16">
        <v>980716</v>
      </c>
    </row>
    <row r="17" spans="1:27" ht="15" thickBot="1" x14ac:dyDescent="0.35">
      <c r="A17" s="42" t="s">
        <v>1</v>
      </c>
      <c r="B17" s="41">
        <f>R17/1000</f>
        <v>1332.5050000000001</v>
      </c>
      <c r="C17" s="41">
        <f>S17/1000</f>
        <v>1362.81</v>
      </c>
      <c r="D17" s="41">
        <f>T17/1000</f>
        <v>1361.8910000000001</v>
      </c>
      <c r="E17" s="41">
        <f>U17/1000</f>
        <v>1354.944</v>
      </c>
      <c r="F17" s="41">
        <f t="shared" ref="F17:K17" si="8">V17/1000</f>
        <v>1310.2349999999999</v>
      </c>
      <c r="G17" s="41">
        <f t="shared" si="8"/>
        <v>1317.703</v>
      </c>
      <c r="H17" s="41">
        <f t="shared" si="8"/>
        <v>1301.6500000000001</v>
      </c>
      <c r="I17" s="41">
        <f t="shared" si="8"/>
        <v>1568.7729999999999</v>
      </c>
      <c r="J17" s="41">
        <f t="shared" si="8"/>
        <v>1799.377</v>
      </c>
      <c r="K17" s="41">
        <f t="shared" si="8"/>
        <v>1388.492</v>
      </c>
      <c r="L17" s="48">
        <f t="shared" si="2"/>
        <v>4.2016352659089335</v>
      </c>
      <c r="P17" s="44">
        <v>2020</v>
      </c>
      <c r="Q17" s="45">
        <v>147.9</v>
      </c>
      <c r="R17" cm="1">
        <f t="array" ref="R17:AA17">TRANSPOSE([2]Лист1!$C$56:$C$65)</f>
        <v>1332505</v>
      </c>
      <c r="S17">
        <v>1362810</v>
      </c>
      <c r="T17">
        <v>1361891</v>
      </c>
      <c r="U17">
        <v>1354944</v>
      </c>
      <c r="V17">
        <v>1310235</v>
      </c>
      <c r="W17">
        <v>1317703</v>
      </c>
      <c r="X17">
        <v>1301650</v>
      </c>
      <c r="Y17">
        <v>1568773</v>
      </c>
      <c r="Z17">
        <v>1799377</v>
      </c>
      <c r="AA17">
        <v>1388492</v>
      </c>
    </row>
    <row r="18" spans="1:27" ht="15" thickBot="1" x14ac:dyDescent="0.35">
      <c r="A18" s="42" t="s">
        <v>45</v>
      </c>
      <c r="B18" s="43">
        <f>R19/1000</f>
        <v>539.30399999999997</v>
      </c>
      <c r="C18" s="43">
        <f>S19/1000</f>
        <v>549.53700000000003</v>
      </c>
      <c r="D18" s="43">
        <f>T19/1000</f>
        <v>546.65</v>
      </c>
      <c r="E18" s="43">
        <f>U19/1000</f>
        <v>536.07100000000003</v>
      </c>
      <c r="F18" s="43">
        <f t="shared" ref="F18:K18" si="9">V19/1000</f>
        <v>515.89</v>
      </c>
      <c r="G18" s="43">
        <f t="shared" si="9"/>
        <v>511.20699999999999</v>
      </c>
      <c r="H18" s="43">
        <f t="shared" si="9"/>
        <v>496.65699999999998</v>
      </c>
      <c r="I18" s="43">
        <f t="shared" si="9"/>
        <v>569.81299999999999</v>
      </c>
      <c r="J18" s="43">
        <f t="shared" si="9"/>
        <v>642.21699999999998</v>
      </c>
      <c r="K18" s="43">
        <f t="shared" si="9"/>
        <v>510.15199999999999</v>
      </c>
      <c r="L18" s="48">
        <f t="shared" si="2"/>
        <v>-5.4054855888330167</v>
      </c>
      <c r="P18" s="44">
        <v>2021</v>
      </c>
      <c r="Q18" s="45">
        <v>147.4</v>
      </c>
      <c r="R18" cm="1">
        <f t="array" ref="R18:AA19">TRANSPOSE([2]Лист1!$B$86:$C$95)</f>
        <v>538512</v>
      </c>
      <c r="S18">
        <v>547823</v>
      </c>
      <c r="T18">
        <v>485296</v>
      </c>
      <c r="U18">
        <v>462138</v>
      </c>
      <c r="V18">
        <v>420780</v>
      </c>
      <c r="W18">
        <v>399113</v>
      </c>
      <c r="X18">
        <v>365737</v>
      </c>
      <c r="Y18">
        <v>356627</v>
      </c>
      <c r="Z18">
        <v>350522</v>
      </c>
      <c r="AA18">
        <v>323371</v>
      </c>
    </row>
    <row r="19" spans="1:27" ht="26.4" x14ac:dyDescent="0.3">
      <c r="A19" s="46" t="s">
        <v>50</v>
      </c>
      <c r="B19" s="49">
        <f>B16/B10</f>
        <v>13.016752433936022</v>
      </c>
      <c r="C19" s="49">
        <f t="shared" ref="C19:K19" si="10">C16/C10</f>
        <v>13.156842105263157</v>
      </c>
      <c r="D19" s="49">
        <f>D16/D10</f>
        <v>12.987689690370875</v>
      </c>
      <c r="E19" s="49">
        <f t="shared" si="10"/>
        <v>12.829138398914521</v>
      </c>
      <c r="F19" s="49">
        <f t="shared" si="10"/>
        <v>12.363744075829384</v>
      </c>
      <c r="G19" s="49">
        <f t="shared" si="10"/>
        <v>12.374221921515561</v>
      </c>
      <c r="H19" s="49">
        <f t="shared" si="10"/>
        <v>12.163050388907674</v>
      </c>
      <c r="I19" s="49">
        <f t="shared" si="10"/>
        <v>14.484158482898746</v>
      </c>
      <c r="J19" s="49">
        <f t="shared" si="10"/>
        <v>16.586915760869566</v>
      </c>
      <c r="K19" s="49">
        <f t="shared" si="10"/>
        <v>12.942358554873893</v>
      </c>
      <c r="L19" s="48">
        <f t="shared" si="2"/>
        <v>-0.57152411432652173</v>
      </c>
      <c r="P19" s="44">
        <v>2022</v>
      </c>
      <c r="Q19" s="45">
        <v>147</v>
      </c>
      <c r="R19">
        <v>539304</v>
      </c>
      <c r="S19">
        <v>549537</v>
      </c>
      <c r="T19">
        <v>546650</v>
      </c>
      <c r="U19">
        <v>536071</v>
      </c>
      <c r="V19">
        <v>515890</v>
      </c>
      <c r="W19">
        <v>511207</v>
      </c>
      <c r="X19">
        <v>496657</v>
      </c>
      <c r="Y19">
        <v>569813</v>
      </c>
      <c r="Z19">
        <v>642217</v>
      </c>
      <c r="AA19">
        <v>510152</v>
      </c>
    </row>
    <row r="20" spans="1:27" ht="26.4" x14ac:dyDescent="0.3">
      <c r="A20" s="46" t="s">
        <v>51</v>
      </c>
      <c r="B20" s="49">
        <f>B17/B11</f>
        <v>12.494186591654946</v>
      </c>
      <c r="C20" s="49">
        <f t="shared" ref="C20:K20" si="11">C17/C11</f>
        <v>12.636161335187762</v>
      </c>
      <c r="D20" s="49">
        <f>D17/D11</f>
        <v>12.488684089867034</v>
      </c>
      <c r="E20" s="49">
        <f t="shared" si="11"/>
        <v>12.368270196257416</v>
      </c>
      <c r="F20" s="49">
        <f t="shared" si="11"/>
        <v>11.916643929058663</v>
      </c>
      <c r="G20" s="49">
        <f t="shared" si="11"/>
        <v>11.957377495462795</v>
      </c>
      <c r="H20" s="49">
        <f t="shared" si="11"/>
        <v>11.790307971014492</v>
      </c>
      <c r="I20" s="49">
        <f t="shared" si="11"/>
        <v>14.216338921613049</v>
      </c>
      <c r="J20" s="49">
        <f t="shared" si="11"/>
        <v>16.343115349682108</v>
      </c>
      <c r="K20" s="49">
        <f t="shared" si="11"/>
        <v>12.645646630236794</v>
      </c>
      <c r="L20" s="48">
        <f t="shared" si="2"/>
        <v>1.2122440902476228</v>
      </c>
      <c r="P20" s="44" t="s">
        <v>48</v>
      </c>
      <c r="Q20" s="45">
        <v>146.4</v>
      </c>
    </row>
    <row r="21" spans="1:27" ht="26.4" x14ac:dyDescent="0.3">
      <c r="A21" s="46" t="s">
        <v>52</v>
      </c>
      <c r="B21" s="49">
        <f>B18/B12</f>
        <v>14.516931359353967</v>
      </c>
      <c r="C21" s="49">
        <f t="shared" ref="C21:K21" si="12">C18/C12</f>
        <v>14.65432</v>
      </c>
      <c r="D21" s="49">
        <f>D18/D12</f>
        <v>14.423482849604222</v>
      </c>
      <c r="E21" s="49">
        <f t="shared" si="12"/>
        <v>14.163038309114929</v>
      </c>
      <c r="F21" s="49">
        <f t="shared" si="12"/>
        <v>13.665960264900662</v>
      </c>
      <c r="G21" s="49">
        <f t="shared" si="12"/>
        <v>13.595930851063828</v>
      </c>
      <c r="H21" s="49">
        <f t="shared" si="12"/>
        <v>13.261869158878504</v>
      </c>
      <c r="I21" s="49">
        <f t="shared" si="12"/>
        <v>15.276487935656837</v>
      </c>
      <c r="J21" s="49">
        <f t="shared" si="12"/>
        <v>17.310431266846361</v>
      </c>
      <c r="K21" s="49">
        <f t="shared" si="12"/>
        <v>13.825257452574526</v>
      </c>
      <c r="L21" s="48">
        <f t="shared" si="2"/>
        <v>-4.7646013448548956</v>
      </c>
    </row>
    <row r="22" spans="1:27" x14ac:dyDescent="0.3">
      <c r="A22" s="46" t="s">
        <v>54</v>
      </c>
      <c r="B22" s="30">
        <f>B11/B$10</f>
        <v>0.74165507649513207</v>
      </c>
      <c r="C22" s="30">
        <f t="shared" ref="C22:K23" si="13">C11/C$10</f>
        <v>0.74200206398348811</v>
      </c>
      <c r="D22" s="30">
        <f>D11/D$10</f>
        <v>0.74208914596801634</v>
      </c>
      <c r="E22" s="30">
        <f t="shared" si="13"/>
        <v>0.74321573948439634</v>
      </c>
      <c r="F22" s="30">
        <f t="shared" si="13"/>
        <v>0.74441435341909279</v>
      </c>
      <c r="G22" s="30">
        <f t="shared" si="13"/>
        <v>0.74560216508795651</v>
      </c>
      <c r="H22" s="30">
        <f t="shared" si="13"/>
        <v>0.7467027392627662</v>
      </c>
      <c r="I22" s="30">
        <f t="shared" si="13"/>
        <v>0.74737555028784275</v>
      </c>
      <c r="J22" s="30">
        <f t="shared" si="13"/>
        <v>0.74796195652173914</v>
      </c>
      <c r="K22" s="30">
        <f t="shared" si="13"/>
        <v>0.74846625766871167</v>
      </c>
      <c r="L22" s="48">
        <f t="shared" si="2"/>
        <v>0.91837585819104106</v>
      </c>
    </row>
    <row r="23" spans="1:27" x14ac:dyDescent="0.3">
      <c r="A23" s="46" t="s">
        <v>55</v>
      </c>
      <c r="B23" s="30">
        <f>B12/B$10</f>
        <v>0.25834492350486787</v>
      </c>
      <c r="C23" s="30">
        <f t="shared" si="13"/>
        <v>0.25799793601651189</v>
      </c>
      <c r="D23" s="30">
        <f>D12/D$10</f>
        <v>0.25791085403198366</v>
      </c>
      <c r="E23" s="30">
        <f t="shared" si="13"/>
        <v>0.25678426051560382</v>
      </c>
      <c r="F23" s="30">
        <f t="shared" si="13"/>
        <v>0.25558564658090727</v>
      </c>
      <c r="G23" s="30">
        <f t="shared" si="13"/>
        <v>0.25439783491204332</v>
      </c>
      <c r="H23" s="30">
        <f t="shared" si="13"/>
        <v>0.25329726073723369</v>
      </c>
      <c r="I23" s="30">
        <f t="shared" si="13"/>
        <v>0.25262444971215708</v>
      </c>
      <c r="J23" s="30">
        <f t="shared" si="13"/>
        <v>0.25203804347826092</v>
      </c>
      <c r="K23" s="30">
        <f t="shared" si="13"/>
        <v>0.25153374233128833</v>
      </c>
      <c r="L23" s="48">
        <f t="shared" si="2"/>
        <v>-2.6364679751298468</v>
      </c>
    </row>
    <row r="26" spans="1:27" x14ac:dyDescent="0.3">
      <c r="A26" s="114" t="s">
        <v>57</v>
      </c>
      <c r="B26" s="51">
        <v>2013</v>
      </c>
      <c r="C26" s="51"/>
      <c r="D26" s="51">
        <v>2022</v>
      </c>
      <c r="E26" s="51"/>
    </row>
    <row r="27" spans="1:27" ht="48.6" customHeight="1" x14ac:dyDescent="0.3">
      <c r="A27" s="114"/>
      <c r="B27" s="35" t="s">
        <v>68</v>
      </c>
      <c r="C27" s="35" t="s">
        <v>58</v>
      </c>
      <c r="D27" s="35" t="s">
        <v>68</v>
      </c>
      <c r="E27" s="35" t="s">
        <v>58</v>
      </c>
      <c r="F27" s="35" t="s">
        <v>60</v>
      </c>
      <c r="G27" s="35" t="s">
        <v>61</v>
      </c>
      <c r="H27" s="35" t="s">
        <v>62</v>
      </c>
    </row>
    <row r="28" spans="1:27" x14ac:dyDescent="0.3">
      <c r="A28" s="50" t="s">
        <v>56</v>
      </c>
      <c r="B28" s="49">
        <f>B20</f>
        <v>12.494186591654946</v>
      </c>
      <c r="C28" s="30">
        <f>B22</f>
        <v>0.74165507649513207</v>
      </c>
      <c r="D28" s="49">
        <f>K20</f>
        <v>12.645646630236794</v>
      </c>
      <c r="E28" s="30">
        <f>K22</f>
        <v>0.74846625766871167</v>
      </c>
      <c r="F28" s="47">
        <f>B28*C28</f>
        <v>9.266376912378302</v>
      </c>
      <c r="G28" s="47">
        <f>B28*E28</f>
        <v>9.3514770808705734</v>
      </c>
      <c r="H28" s="47">
        <f>E28*D28</f>
        <v>9.464839809134288</v>
      </c>
    </row>
    <row r="29" spans="1:27" x14ac:dyDescent="0.3">
      <c r="A29" s="50" t="s">
        <v>2</v>
      </c>
      <c r="B29" s="49">
        <f>B21</f>
        <v>14.516931359353967</v>
      </c>
      <c r="C29" s="30">
        <f>B23</f>
        <v>0.25834492350486787</v>
      </c>
      <c r="D29" s="49">
        <f>K21</f>
        <v>13.825257452574526</v>
      </c>
      <c r="E29" s="30">
        <f>K23</f>
        <v>0.25153374233128833</v>
      </c>
      <c r="F29" s="47">
        <f>B29*C29</f>
        <v>3.7503755215577179</v>
      </c>
      <c r="G29" s="47">
        <f>B29*E29</f>
        <v>3.6514980719847401</v>
      </c>
      <c r="H29" s="47">
        <f>E29*D29</f>
        <v>3.4775187457396046</v>
      </c>
    </row>
    <row r="30" spans="1:27" x14ac:dyDescent="0.3">
      <c r="A30" s="51" t="s">
        <v>63</v>
      </c>
      <c r="B30" s="52"/>
      <c r="C30" s="52"/>
      <c r="D30" s="52"/>
      <c r="E30" s="52"/>
      <c r="F30" s="49">
        <f>SUM(F28:F29)</f>
        <v>13.01675243393602</v>
      </c>
      <c r="G30" s="49">
        <f>SUM(G28:G29)</f>
        <v>13.002975152855313</v>
      </c>
      <c r="H30" s="49">
        <f>SUM(H28:H29)</f>
        <v>12.942358554873893</v>
      </c>
    </row>
    <row r="31" spans="1:27" x14ac:dyDescent="0.3">
      <c r="B31" t="s">
        <v>66</v>
      </c>
      <c r="C31" t="s">
        <v>67</v>
      </c>
    </row>
    <row r="32" spans="1:27" x14ac:dyDescent="0.3">
      <c r="A32" t="s">
        <v>59</v>
      </c>
      <c r="B32" s="30">
        <f>H30/F30</f>
        <v>0.99428475885673495</v>
      </c>
      <c r="C32" s="47">
        <f>B32*100-100</f>
        <v>-0.57152411432650752</v>
      </c>
    </row>
    <row r="33" spans="1:3" x14ac:dyDescent="0.3">
      <c r="A33" t="s">
        <v>64</v>
      </c>
      <c r="B33" s="30">
        <f>H30/G30</f>
        <v>0.99533825164865364</v>
      </c>
      <c r="C33" s="47">
        <f>B33*100-100</f>
        <v>-0.46617483513463753</v>
      </c>
    </row>
    <row r="34" spans="1:3" x14ac:dyDescent="0.3">
      <c r="A34" t="s">
        <v>65</v>
      </c>
      <c r="B34" s="30">
        <f>G30/F30</f>
        <v>0.99894157308817</v>
      </c>
      <c r="C34" s="47">
        <f>B34*100-100</f>
        <v>-0.10584269118299972</v>
      </c>
    </row>
  </sheetData>
  <mergeCells count="1">
    <mergeCell ref="A26:A27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D155-31AE-416C-AA58-CCF535C86C05}">
  <dimension ref="B2:I26"/>
  <sheetViews>
    <sheetView tabSelected="1" zoomScale="85" zoomScaleNormal="85" workbookViewId="0">
      <selection activeCell="K1" sqref="K1"/>
    </sheetView>
  </sheetViews>
  <sheetFormatPr defaultRowHeight="14.4" x14ac:dyDescent="0.3"/>
  <cols>
    <col min="3" max="3" width="19.6640625" customWidth="1"/>
    <col min="4" max="9" width="15.6640625" customWidth="1"/>
  </cols>
  <sheetData>
    <row r="2" spans="2:9" ht="57.6" x14ac:dyDescent="0.3">
      <c r="B2" s="54" t="s">
        <v>21</v>
      </c>
      <c r="C2" s="55" t="s">
        <v>69</v>
      </c>
      <c r="D2" s="55" t="s">
        <v>70</v>
      </c>
      <c r="E2" s="55" t="s">
        <v>71</v>
      </c>
      <c r="F2" s="55" t="s">
        <v>75</v>
      </c>
      <c r="G2" s="55" t="s">
        <v>72</v>
      </c>
      <c r="H2" s="55" t="s">
        <v>73</v>
      </c>
      <c r="I2" s="55" t="s">
        <v>73</v>
      </c>
    </row>
    <row r="3" spans="2:9" x14ac:dyDescent="0.3">
      <c r="B3" s="32">
        <v>2002</v>
      </c>
      <c r="C3" s="32">
        <v>145.19999999999999</v>
      </c>
      <c r="D3" s="32">
        <v>1396967</v>
      </c>
      <c r="E3" s="32">
        <v>2332272</v>
      </c>
      <c r="F3" s="56">
        <f>D3/AVERAGE(C4,C3)/1000</f>
        <v>9.6276154376292222</v>
      </c>
      <c r="G3" s="56">
        <f>E3/AVERAGE(C4,C3)/1000</f>
        <v>16.073549276361131</v>
      </c>
      <c r="H3" s="32" t="s">
        <v>74</v>
      </c>
      <c r="I3" s="32" t="s">
        <v>74</v>
      </c>
    </row>
    <row r="4" spans="2:9" x14ac:dyDescent="0.3">
      <c r="B4" s="32">
        <v>2003</v>
      </c>
      <c r="C4" s="32">
        <v>145</v>
      </c>
      <c r="D4" s="32">
        <v>1477301</v>
      </c>
      <c r="E4" s="32">
        <v>2365826</v>
      </c>
      <c r="F4" s="56">
        <f t="shared" ref="F4:F23" si="0">D4/AVERAGE(C5,C4)/1000</f>
        <v>10.212934669892844</v>
      </c>
      <c r="G4" s="56">
        <f t="shared" ref="G4:G23" si="1">E4/AVERAGE(C5,C4)/1000</f>
        <v>16.355520221223642</v>
      </c>
      <c r="H4" s="57">
        <f t="shared" ref="H4:H23" si="2">F4/F3*100-100</f>
        <v>6.0795867476791869</v>
      </c>
      <c r="I4" s="57">
        <f t="shared" ref="I4:I23" si="3">G4/G3*100-100</f>
        <v>1.7542543965519712</v>
      </c>
    </row>
    <row r="5" spans="2:9" x14ac:dyDescent="0.3">
      <c r="B5" s="32">
        <v>2004</v>
      </c>
      <c r="C5" s="32">
        <v>144.30000000000001</v>
      </c>
      <c r="D5" s="32">
        <v>1502477</v>
      </c>
      <c r="E5" s="32">
        <v>2295402</v>
      </c>
      <c r="F5" s="56">
        <f t="shared" si="0"/>
        <v>10.430246442207567</v>
      </c>
      <c r="G5" s="56">
        <f t="shared" si="1"/>
        <v>15.934758764317943</v>
      </c>
      <c r="H5" s="57">
        <f t="shared" si="2"/>
        <v>2.1278092863488638</v>
      </c>
      <c r="I5" s="57">
        <f t="shared" si="3"/>
        <v>-2.572595987253905</v>
      </c>
    </row>
    <row r="6" spans="2:9" x14ac:dyDescent="0.3">
      <c r="B6" s="32">
        <v>2005</v>
      </c>
      <c r="C6" s="32">
        <v>143.80000000000001</v>
      </c>
      <c r="D6" s="32">
        <v>1457376</v>
      </c>
      <c r="E6" s="32">
        <v>2303935</v>
      </c>
      <c r="F6" s="56">
        <f t="shared" si="0"/>
        <v>10.155930313588849</v>
      </c>
      <c r="G6" s="56">
        <f t="shared" si="1"/>
        <v>16.055296167247388</v>
      </c>
      <c r="H6" s="57">
        <f t="shared" si="2"/>
        <v>-2.6300062049220259</v>
      </c>
      <c r="I6" s="57">
        <f t="shared" si="3"/>
        <v>0.75644322397498343</v>
      </c>
    </row>
    <row r="7" spans="2:9" x14ac:dyDescent="0.3">
      <c r="B7" s="32">
        <v>2006</v>
      </c>
      <c r="C7" s="32">
        <v>143.19999999999999</v>
      </c>
      <c r="D7" s="32">
        <v>1479637</v>
      </c>
      <c r="E7" s="32">
        <v>2166703</v>
      </c>
      <c r="F7" s="56">
        <f t="shared" si="0"/>
        <v>10.347111888111888</v>
      </c>
      <c r="G7" s="56">
        <f t="shared" si="1"/>
        <v>15.151769230769231</v>
      </c>
      <c r="H7" s="57">
        <f t="shared" si="2"/>
        <v>1.8824624492276456</v>
      </c>
      <c r="I7" s="57">
        <f t="shared" si="3"/>
        <v>-5.6275943281653156</v>
      </c>
    </row>
    <row r="8" spans="2:9" x14ac:dyDescent="0.3">
      <c r="B8" s="32">
        <v>2007</v>
      </c>
      <c r="C8" s="32">
        <v>142.80000000000001</v>
      </c>
      <c r="D8" s="32">
        <v>1610122</v>
      </c>
      <c r="E8" s="32">
        <v>2080445</v>
      </c>
      <c r="F8" s="56">
        <f t="shared" si="0"/>
        <v>11.275364145658262</v>
      </c>
      <c r="G8" s="56">
        <f t="shared" si="1"/>
        <v>14.568942577030812</v>
      </c>
      <c r="H8" s="57">
        <f t="shared" si="2"/>
        <v>8.9711241898608591</v>
      </c>
      <c r="I8" s="57">
        <f t="shared" si="3"/>
        <v>-3.8465914102945362</v>
      </c>
    </row>
    <row r="9" spans="2:9" x14ac:dyDescent="0.3">
      <c r="B9" s="32">
        <v>2008</v>
      </c>
      <c r="C9" s="32">
        <v>142.80000000000001</v>
      </c>
      <c r="D9" s="32">
        <v>1713947</v>
      </c>
      <c r="E9" s="32">
        <v>2075954</v>
      </c>
      <c r="F9" s="56">
        <f t="shared" si="0"/>
        <v>12.006633975481611</v>
      </c>
      <c r="G9" s="56">
        <f t="shared" si="1"/>
        <v>14.542584938704028</v>
      </c>
      <c r="H9" s="57">
        <f t="shared" si="2"/>
        <v>6.4855539952111769</v>
      </c>
      <c r="I9" s="57">
        <f t="shared" si="3"/>
        <v>-0.18091661894762012</v>
      </c>
    </row>
    <row r="10" spans="2:9" x14ac:dyDescent="0.3">
      <c r="B10" s="32">
        <v>2009</v>
      </c>
      <c r="C10" s="32">
        <v>142.69999999999999</v>
      </c>
      <c r="D10" s="32">
        <v>1761687</v>
      </c>
      <c r="E10" s="32">
        <v>2010543</v>
      </c>
      <c r="F10" s="56">
        <f t="shared" si="0"/>
        <v>12.33674369747899</v>
      </c>
      <c r="G10" s="56">
        <f t="shared" si="1"/>
        <v>14.079432773109241</v>
      </c>
      <c r="H10" s="57">
        <f t="shared" si="2"/>
        <v>2.7493943987256415</v>
      </c>
      <c r="I10" s="57">
        <f t="shared" si="3"/>
        <v>-3.1847994531023289</v>
      </c>
    </row>
    <row r="11" spans="2:9" x14ac:dyDescent="0.3">
      <c r="B11" s="32">
        <v>2010</v>
      </c>
      <c r="C11" s="32">
        <v>142.9</v>
      </c>
      <c r="D11" s="32">
        <v>1788948</v>
      </c>
      <c r="E11" s="32">
        <v>2028516</v>
      </c>
      <c r="F11" s="56">
        <f t="shared" si="0"/>
        <v>12.51888033589923</v>
      </c>
      <c r="G11" s="56">
        <f t="shared" si="1"/>
        <v>14.195353393981804</v>
      </c>
      <c r="H11" s="57">
        <f t="shared" si="2"/>
        <v>1.4763753133451303</v>
      </c>
      <c r="I11" s="57">
        <f t="shared" si="3"/>
        <v>0.82333303294691973</v>
      </c>
    </row>
    <row r="12" spans="2:9" x14ac:dyDescent="0.3">
      <c r="B12" s="32">
        <v>2011</v>
      </c>
      <c r="C12" s="32">
        <v>142.9</v>
      </c>
      <c r="D12" s="32">
        <v>1796629</v>
      </c>
      <c r="E12" s="32">
        <v>1925720</v>
      </c>
      <c r="F12" s="56">
        <f t="shared" si="0"/>
        <v>12.559447745543515</v>
      </c>
      <c r="G12" s="56">
        <f t="shared" si="1"/>
        <v>13.461866480251659</v>
      </c>
      <c r="H12" s="57">
        <f t="shared" si="2"/>
        <v>0.32404982359288681</v>
      </c>
      <c r="I12" s="57">
        <f t="shared" si="3"/>
        <v>-5.1670916064767312</v>
      </c>
    </row>
    <row r="13" spans="2:9" x14ac:dyDescent="0.3">
      <c r="B13" s="32">
        <v>2012</v>
      </c>
      <c r="C13" s="32">
        <v>143.19999999999999</v>
      </c>
      <c r="D13" s="32">
        <v>1902084</v>
      </c>
      <c r="E13" s="32">
        <v>1906335</v>
      </c>
      <c r="F13" s="56">
        <f t="shared" si="0"/>
        <v>13.264184100418412</v>
      </c>
      <c r="G13" s="56">
        <f t="shared" si="1"/>
        <v>13.293828451882847</v>
      </c>
      <c r="H13" s="57">
        <f t="shared" si="2"/>
        <v>5.6112049602257343</v>
      </c>
      <c r="I13" s="57">
        <f t="shared" si="3"/>
        <v>-1.2482520801652726</v>
      </c>
    </row>
    <row r="14" spans="2:9" x14ac:dyDescent="0.3">
      <c r="B14" s="32">
        <v>2013</v>
      </c>
      <c r="C14" s="32">
        <v>143.6</v>
      </c>
      <c r="D14" s="32">
        <v>1895822</v>
      </c>
      <c r="E14" s="32">
        <v>1871809</v>
      </c>
      <c r="F14" s="56">
        <f t="shared" si="0"/>
        <v>13.183741307371349</v>
      </c>
      <c r="G14" s="56">
        <f t="shared" si="1"/>
        <v>13.01675243393602</v>
      </c>
      <c r="H14" s="57">
        <f t="shared" si="2"/>
        <v>-0.60646619828297332</v>
      </c>
      <c r="I14" s="57">
        <f t="shared" si="3"/>
        <v>-2.084245474881115</v>
      </c>
    </row>
    <row r="15" spans="2:9" x14ac:dyDescent="0.3">
      <c r="B15" s="32">
        <v>2014</v>
      </c>
      <c r="C15" s="32">
        <v>144</v>
      </c>
      <c r="D15" s="32">
        <v>1942683</v>
      </c>
      <c r="E15" s="32">
        <v>1912347</v>
      </c>
      <c r="F15" s="56">
        <f t="shared" si="0"/>
        <v>13.365552115583075</v>
      </c>
      <c r="G15" s="56">
        <f t="shared" si="1"/>
        <v>13.156842105263159</v>
      </c>
      <c r="H15" s="57">
        <f t="shared" si="2"/>
        <v>1.3790532139012157</v>
      </c>
      <c r="I15" s="57">
        <f t="shared" si="3"/>
        <v>1.0762259790845405</v>
      </c>
    </row>
    <row r="16" spans="2:9" x14ac:dyDescent="0.3">
      <c r="B16" s="32">
        <v>2015</v>
      </c>
      <c r="C16" s="32">
        <v>146.69999999999999</v>
      </c>
      <c r="D16" s="32">
        <v>1940579</v>
      </c>
      <c r="E16" s="32">
        <v>1908541</v>
      </c>
      <c r="F16" s="56">
        <f t="shared" si="0"/>
        <v>13.205709424974483</v>
      </c>
      <c r="G16" s="56">
        <f t="shared" si="1"/>
        <v>12.987689690370875</v>
      </c>
      <c r="H16" s="57">
        <f t="shared" si="2"/>
        <v>-1.1959303231643474</v>
      </c>
      <c r="I16" s="57">
        <f t="shared" si="3"/>
        <v>-1.2856612060778474</v>
      </c>
    </row>
    <row r="17" spans="2:9" x14ac:dyDescent="0.3">
      <c r="B17" s="32">
        <v>2016</v>
      </c>
      <c r="C17" s="32">
        <v>147.19999999999999</v>
      </c>
      <c r="D17" s="32">
        <v>1888729</v>
      </c>
      <c r="E17" s="32">
        <v>1891015</v>
      </c>
      <c r="F17" s="56">
        <f t="shared" si="0"/>
        <v>12.813629579375851</v>
      </c>
      <c r="G17" s="56">
        <f t="shared" si="1"/>
        <v>12.82913839891452</v>
      </c>
      <c r="H17" s="57">
        <f t="shared" si="2"/>
        <v>-2.9690176648680051</v>
      </c>
      <c r="I17" s="57">
        <f t="shared" si="3"/>
        <v>-1.2207813339881852</v>
      </c>
    </row>
    <row r="18" spans="2:9" x14ac:dyDescent="0.3">
      <c r="B18" s="32">
        <v>2017</v>
      </c>
      <c r="C18" s="32">
        <v>147.6</v>
      </c>
      <c r="D18" s="32">
        <v>1690307</v>
      </c>
      <c r="E18" s="32">
        <v>1826125</v>
      </c>
      <c r="F18" s="56">
        <f t="shared" si="0"/>
        <v>11.444190927555857</v>
      </c>
      <c r="G18" s="56">
        <f t="shared" si="1"/>
        <v>12.363744075829386</v>
      </c>
      <c r="H18" s="57">
        <f t="shared" si="2"/>
        <v>-10.687359450628804</v>
      </c>
      <c r="I18" s="57">
        <f t="shared" si="3"/>
        <v>-3.6276350649121554</v>
      </c>
    </row>
    <row r="19" spans="2:9" x14ac:dyDescent="0.3">
      <c r="B19" s="32">
        <v>2018</v>
      </c>
      <c r="C19" s="32">
        <v>147.80000000000001</v>
      </c>
      <c r="D19" s="32">
        <v>1604344</v>
      </c>
      <c r="E19" s="32">
        <v>1828910</v>
      </c>
      <c r="F19" s="56">
        <f t="shared" si="0"/>
        <v>10.854830852503383</v>
      </c>
      <c r="G19" s="56">
        <f t="shared" si="1"/>
        <v>12.374221921515559</v>
      </c>
      <c r="H19" s="57">
        <f t="shared" si="2"/>
        <v>-5.1498623081635628</v>
      </c>
      <c r="I19" s="57">
        <f t="shared" si="3"/>
        <v>8.4746542972013117E-2</v>
      </c>
    </row>
    <row r="20" spans="2:9" x14ac:dyDescent="0.3">
      <c r="B20" s="32">
        <v>2019</v>
      </c>
      <c r="C20" s="32">
        <v>147.80000000000001</v>
      </c>
      <c r="D20" s="32">
        <v>1481074</v>
      </c>
      <c r="E20" s="32">
        <v>1798307</v>
      </c>
      <c r="F20" s="56">
        <f t="shared" si="0"/>
        <v>10.017409536692591</v>
      </c>
      <c r="G20" s="56">
        <f t="shared" si="1"/>
        <v>12.163050388907676</v>
      </c>
      <c r="H20" s="57">
        <f t="shared" si="2"/>
        <v>-7.7147339022575636</v>
      </c>
      <c r="I20" s="57">
        <f t="shared" si="3"/>
        <v>-1.7065439261333353</v>
      </c>
    </row>
    <row r="21" spans="2:9" x14ac:dyDescent="0.3">
      <c r="B21" s="32">
        <v>2020</v>
      </c>
      <c r="C21" s="32">
        <v>147.9</v>
      </c>
      <c r="D21" s="32">
        <v>1436514</v>
      </c>
      <c r="E21" s="32">
        <v>2138586</v>
      </c>
      <c r="F21" s="56">
        <f t="shared" si="0"/>
        <v>9.7291838807991855</v>
      </c>
      <c r="G21" s="56">
        <f t="shared" si="1"/>
        <v>14.484158482898748</v>
      </c>
      <c r="H21" s="57">
        <f t="shared" si="2"/>
        <v>-2.8772474045078269</v>
      </c>
      <c r="I21" s="57">
        <f t="shared" si="3"/>
        <v>19.083272861451348</v>
      </c>
    </row>
    <row r="22" spans="2:9" x14ac:dyDescent="0.3">
      <c r="B22" s="32">
        <v>2021</v>
      </c>
      <c r="C22" s="32">
        <v>147.4</v>
      </c>
      <c r="D22" s="32">
        <v>1398253</v>
      </c>
      <c r="E22" s="32">
        <v>2441594</v>
      </c>
      <c r="F22" s="56">
        <f t="shared" si="0"/>
        <v>9.4990013586956525</v>
      </c>
      <c r="G22" s="56">
        <f t="shared" si="1"/>
        <v>16.586915760869569</v>
      </c>
      <c r="H22" s="57">
        <f t="shared" si="2"/>
        <v>-2.3658975400578441</v>
      </c>
      <c r="I22" s="57">
        <f t="shared" si="3"/>
        <v>14.517635114622067</v>
      </c>
    </row>
    <row r="23" spans="2:9" x14ac:dyDescent="0.3">
      <c r="B23" s="32">
        <v>2022</v>
      </c>
      <c r="C23" s="32">
        <v>147</v>
      </c>
      <c r="D23" s="32">
        <v>1304087</v>
      </c>
      <c r="E23" s="32">
        <v>1898644</v>
      </c>
      <c r="F23" s="56">
        <f t="shared" si="0"/>
        <v>8.8894819359236532</v>
      </c>
      <c r="G23" s="56">
        <f t="shared" si="1"/>
        <v>12.942358554873893</v>
      </c>
      <c r="H23" s="57">
        <f t="shared" si="2"/>
        <v>-6.4166684449837277</v>
      </c>
      <c r="I23" s="57">
        <f t="shared" si="3"/>
        <v>-21.972482760137979</v>
      </c>
    </row>
    <row r="24" spans="2:9" x14ac:dyDescent="0.3">
      <c r="B24" s="32">
        <v>2023</v>
      </c>
      <c r="C24" s="32">
        <v>146.4</v>
      </c>
      <c r="D24" s="32" t="s">
        <v>74</v>
      </c>
      <c r="E24" s="32" t="s">
        <v>74</v>
      </c>
      <c r="F24" s="56" t="s">
        <v>74</v>
      </c>
      <c r="G24" s="56" t="s">
        <v>74</v>
      </c>
      <c r="H24" s="32" t="s">
        <v>74</v>
      </c>
      <c r="I24" s="32" t="s">
        <v>74</v>
      </c>
    </row>
    <row r="25" spans="2:9" x14ac:dyDescent="0.3">
      <c r="B25" t="s">
        <v>76</v>
      </c>
      <c r="D25">
        <f>(C3/2+C24/2+SUM(C4:C23))/21</f>
        <v>145.06666666666672</v>
      </c>
    </row>
    <row r="26" spans="2:9" x14ac:dyDescent="0.3">
      <c r="B26" t="s">
        <v>77</v>
      </c>
      <c r="D26">
        <f>POWER(C24/C3,1/21)*100-100</f>
        <v>3.9200534433163625E-2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3F42-40F7-4C03-9653-0D1EFC015D78}">
  <dimension ref="A1:N22"/>
  <sheetViews>
    <sheetView workbookViewId="0">
      <selection activeCell="D6" sqref="D6"/>
    </sheetView>
  </sheetViews>
  <sheetFormatPr defaultRowHeight="14.4" x14ac:dyDescent="0.3"/>
  <cols>
    <col min="1" max="1" width="27.33203125" customWidth="1"/>
    <col min="2" max="2" width="18.44140625" customWidth="1"/>
    <col min="3" max="3" width="17.33203125" customWidth="1"/>
    <col min="4" max="4" width="16.44140625" customWidth="1"/>
    <col min="5" max="5" width="16.88671875" customWidth="1"/>
    <col min="10" max="11" width="12" bestFit="1" customWidth="1"/>
  </cols>
  <sheetData>
    <row r="1" spans="1:14" ht="28.8" x14ac:dyDescent="0.3">
      <c r="A1" s="58" t="s">
        <v>85</v>
      </c>
      <c r="B1" s="58" t="s">
        <v>86</v>
      </c>
      <c r="C1" s="58" t="s">
        <v>87</v>
      </c>
      <c r="D1" s="58" t="s">
        <v>90</v>
      </c>
    </row>
    <row r="2" spans="1:14" x14ac:dyDescent="0.3">
      <c r="A2" s="32" t="s">
        <v>88</v>
      </c>
      <c r="B2" s="32">
        <v>7391.86</v>
      </c>
      <c r="C2" s="32">
        <v>7342</v>
      </c>
      <c r="D2" s="57">
        <f>C2/B2</f>
        <v>0.99325474237877887</v>
      </c>
      <c r="E2" s="35" t="s">
        <v>89</v>
      </c>
    </row>
    <row r="3" spans="1:14" x14ac:dyDescent="0.3">
      <c r="A3" s="32" t="s">
        <v>79</v>
      </c>
      <c r="B3" s="32">
        <v>11223.74</v>
      </c>
      <c r="C3" s="32">
        <v>20356</v>
      </c>
      <c r="D3" s="57">
        <f t="shared" ref="D3:D9" si="0">C3/B3</f>
        <v>1.8136556976551488</v>
      </c>
      <c r="E3" s="35" t="s">
        <v>89</v>
      </c>
    </row>
    <row r="4" spans="1:14" x14ac:dyDescent="0.3">
      <c r="A4" s="32" t="s">
        <v>80</v>
      </c>
      <c r="B4" s="32">
        <v>12442</v>
      </c>
      <c r="C4" s="32">
        <v>34557</v>
      </c>
      <c r="D4" s="57">
        <f t="shared" si="0"/>
        <v>2.7774473557305899</v>
      </c>
      <c r="E4" s="35" t="s">
        <v>89</v>
      </c>
    </row>
    <row r="5" spans="1:14" x14ac:dyDescent="0.3">
      <c r="A5" s="32" t="s">
        <v>81</v>
      </c>
      <c r="B5" s="32">
        <v>11231.15</v>
      </c>
      <c r="C5" s="32">
        <v>47159</v>
      </c>
      <c r="D5" s="57">
        <f t="shared" si="0"/>
        <v>4.1989466795475083</v>
      </c>
      <c r="E5" s="35" t="s">
        <v>89</v>
      </c>
    </row>
    <row r="6" spans="1:14" x14ac:dyDescent="0.3">
      <c r="A6" s="32" t="s">
        <v>82</v>
      </c>
      <c r="B6" s="32">
        <v>10419.379999999999</v>
      </c>
      <c r="C6" s="32">
        <v>51690</v>
      </c>
      <c r="D6" s="57">
        <f t="shared" si="0"/>
        <v>4.960947772324265</v>
      </c>
      <c r="E6" s="35" t="s">
        <v>89</v>
      </c>
    </row>
    <row r="7" spans="1:14" x14ac:dyDescent="0.3">
      <c r="A7" s="32" t="s">
        <v>83</v>
      </c>
      <c r="B7" s="32">
        <v>9451.49</v>
      </c>
      <c r="C7" s="32">
        <v>58412</v>
      </c>
      <c r="D7" s="57">
        <f t="shared" si="0"/>
        <v>6.1801895785743834</v>
      </c>
      <c r="E7" s="35" t="s">
        <v>89</v>
      </c>
    </row>
    <row r="8" spans="1:14" x14ac:dyDescent="0.3">
      <c r="A8" s="32" t="s">
        <v>84</v>
      </c>
      <c r="B8" s="32">
        <v>9784.09</v>
      </c>
      <c r="C8" s="32">
        <v>92156</v>
      </c>
      <c r="D8" s="57">
        <f t="shared" si="0"/>
        <v>9.4189648705193836</v>
      </c>
      <c r="E8" s="35" t="s">
        <v>89</v>
      </c>
    </row>
    <row r="9" spans="1:14" x14ac:dyDescent="0.3">
      <c r="A9" s="32" t="s">
        <v>78</v>
      </c>
      <c r="B9" s="32">
        <f>SUM(B2:B8)</f>
        <v>71943.709999999992</v>
      </c>
      <c r="C9" s="32">
        <f>SUM(C2:C8)</f>
        <v>311672</v>
      </c>
      <c r="D9" s="57">
        <f t="shared" si="0"/>
        <v>4.3321646881985938</v>
      </c>
      <c r="E9" s="35" t="s">
        <v>89</v>
      </c>
    </row>
    <row r="10" spans="1:14" x14ac:dyDescent="0.3">
      <c r="D10" s="63"/>
      <c r="H10" s="64"/>
    </row>
    <row r="11" spans="1:14" ht="15" thickBot="1" x14ac:dyDescent="0.35">
      <c r="A11" t="s">
        <v>91</v>
      </c>
    </row>
    <row r="12" spans="1:14" ht="16.2" thickBot="1" x14ac:dyDescent="0.35">
      <c r="A12" s="61" t="s">
        <v>92</v>
      </c>
      <c r="B12" s="59">
        <v>2012</v>
      </c>
      <c r="C12" s="65">
        <v>2022</v>
      </c>
      <c r="D12" s="32" t="s">
        <v>101</v>
      </c>
      <c r="E12" s="58" t="s">
        <v>100</v>
      </c>
      <c r="F12" s="32" t="s">
        <v>102</v>
      </c>
      <c r="G12" s="32" t="s">
        <v>102</v>
      </c>
      <c r="H12" s="32" t="s">
        <v>101</v>
      </c>
      <c r="I12" s="58" t="s">
        <v>100</v>
      </c>
      <c r="J12" s="67"/>
      <c r="M12" t="s">
        <v>104</v>
      </c>
      <c r="N12" t="s">
        <v>104</v>
      </c>
    </row>
    <row r="13" spans="1:14" ht="28.2" thickBot="1" x14ac:dyDescent="0.35">
      <c r="A13" s="62" t="s">
        <v>93</v>
      </c>
      <c r="B13" s="60">
        <v>2332.3000000000002</v>
      </c>
      <c r="C13" s="66">
        <v>1906.3</v>
      </c>
      <c r="D13" s="32">
        <f>C13-B13</f>
        <v>-426.00000000000023</v>
      </c>
      <c r="E13" s="32">
        <f>C13/B13*100-100</f>
        <v>-18.265231745487299</v>
      </c>
      <c r="F13" s="32">
        <f>B13/$B$13</f>
        <v>1</v>
      </c>
      <c r="G13" s="32">
        <f>C13/$C$13</f>
        <v>1</v>
      </c>
      <c r="H13" s="32">
        <f>G13-F13</f>
        <v>0</v>
      </c>
      <c r="I13" s="32">
        <f>G13/F13*100-100</f>
        <v>0</v>
      </c>
      <c r="L13">
        <f t="shared" ref="L13:L20" si="1">(G13-F13)^2</f>
        <v>0</v>
      </c>
    </row>
    <row r="14" spans="1:14" ht="28.2" thickBot="1" x14ac:dyDescent="0.35">
      <c r="A14" s="62" t="s">
        <v>94</v>
      </c>
      <c r="B14" s="60">
        <v>36.9</v>
      </c>
      <c r="C14" s="66">
        <v>32.1</v>
      </c>
      <c r="D14" s="32">
        <f t="shared" ref="D14:D19" si="2">C14-B14</f>
        <v>-4.7999999999999972</v>
      </c>
      <c r="E14" s="32">
        <f t="shared" ref="E14:E19" si="3">C14/B14*100-100</f>
        <v>-13.008130081300806</v>
      </c>
      <c r="F14" s="32">
        <f>B14/B$13</f>
        <v>1.5821292286584056E-2</v>
      </c>
      <c r="G14" s="32">
        <f>C14/C$13</f>
        <v>1.6838902586161674E-2</v>
      </c>
      <c r="H14" s="32">
        <f t="shared" ref="H14:H19" si="4">G14-F14</f>
        <v>1.0176102995776183E-3</v>
      </c>
      <c r="I14" s="32">
        <f t="shared" ref="I14:I19" si="5">G14/F14*100-100</f>
        <v>6.4319037986582117</v>
      </c>
      <c r="J14">
        <f>(G14-F14)^2</f>
        <v>1.0355307218064501E-6</v>
      </c>
      <c r="K14">
        <f>(G14+F14)^2</f>
        <v>1.0666883291257263E-3</v>
      </c>
      <c r="L14">
        <f t="shared" si="1"/>
        <v>1.0355307218064501E-6</v>
      </c>
      <c r="M14">
        <f t="shared" ref="M14:N20" si="6">F14^2</f>
        <v>2.5031328961752414E-4</v>
      </c>
      <c r="N14">
        <f t="shared" si="6"/>
        <v>2.8354864030624233E-4</v>
      </c>
    </row>
    <row r="15" spans="1:14" ht="16.2" thickBot="1" x14ac:dyDescent="0.35">
      <c r="A15" s="62" t="s">
        <v>95</v>
      </c>
      <c r="B15" s="60">
        <v>293</v>
      </c>
      <c r="C15" s="66">
        <v>290.89999999999998</v>
      </c>
      <c r="D15" s="32">
        <f t="shared" si="2"/>
        <v>-2.1000000000000227</v>
      </c>
      <c r="E15" s="32">
        <f t="shared" si="3"/>
        <v>-0.71672354948806571</v>
      </c>
      <c r="F15" s="32">
        <f t="shared" ref="F15:F19" si="7">B15/B$13</f>
        <v>0.12562706341379754</v>
      </c>
      <c r="G15" s="32">
        <f t="shared" ref="G15:G19" si="8">C15/C$13</f>
        <v>0.1525992760845617</v>
      </c>
      <c r="H15" s="32">
        <f t="shared" si="4"/>
        <v>2.6972212670764162E-2</v>
      </c>
      <c r="I15" s="32">
        <f t="shared" si="5"/>
        <v>21.470065396594975</v>
      </c>
      <c r="J15">
        <f>(G15-F15)^2</f>
        <v>7.2750025635693076E-4</v>
      </c>
      <c r="K15">
        <f t="shared" ref="K15:K19" si="9">(G15+F15)^2</f>
        <v>7.7409895990656244E-2</v>
      </c>
      <c r="L15">
        <f t="shared" si="1"/>
        <v>7.2750025635693076E-4</v>
      </c>
      <c r="M15">
        <f t="shared" si="6"/>
        <v>1.5782159061974308E-2</v>
      </c>
      <c r="N15">
        <f t="shared" si="6"/>
        <v>2.3286539061532285E-2</v>
      </c>
    </row>
    <row r="16" spans="1:14" ht="28.2" thickBot="1" x14ac:dyDescent="0.35">
      <c r="A16" s="62" t="s">
        <v>96</v>
      </c>
      <c r="B16" s="60">
        <v>1308.0999999999999</v>
      </c>
      <c r="C16" s="66">
        <v>1055.5999999999999</v>
      </c>
      <c r="D16" s="32">
        <f t="shared" si="2"/>
        <v>-252.5</v>
      </c>
      <c r="E16" s="32">
        <f t="shared" si="3"/>
        <v>-19.302805595902456</v>
      </c>
      <c r="F16" s="32">
        <f t="shared" si="7"/>
        <v>0.56086266775286187</v>
      </c>
      <c r="G16" s="32">
        <f t="shared" si="8"/>
        <v>0.55374285264648793</v>
      </c>
      <c r="H16" s="32">
        <f t="shared" si="4"/>
        <v>-7.119815106373939E-3</v>
      </c>
      <c r="I16" s="32">
        <f t="shared" si="5"/>
        <v>-1.2694400101365204</v>
      </c>
      <c r="J16">
        <f t="shared" ref="J16:J19" si="10">(G16-F16)^2</f>
        <v>5.0691767148950545E-5</v>
      </c>
      <c r="K16">
        <f t="shared" si="9"/>
        <v>1.2423454661047055</v>
      </c>
      <c r="L16">
        <f t="shared" si="1"/>
        <v>5.0691767148950545E-5</v>
      </c>
      <c r="M16">
        <f t="shared" si="6"/>
        <v>0.31456693207885711</v>
      </c>
      <c r="N16">
        <f t="shared" si="6"/>
        <v>0.30663114685707005</v>
      </c>
    </row>
    <row r="17" spans="1:14" ht="28.2" thickBot="1" x14ac:dyDescent="0.35">
      <c r="A17" s="62" t="s">
        <v>97</v>
      </c>
      <c r="B17" s="60">
        <v>101</v>
      </c>
      <c r="C17" s="66">
        <v>70.8</v>
      </c>
      <c r="D17" s="32">
        <f t="shared" si="2"/>
        <v>-30.200000000000003</v>
      </c>
      <c r="E17" s="32">
        <f t="shared" si="3"/>
        <v>-29.900990099009903</v>
      </c>
      <c r="F17" s="32">
        <f t="shared" si="7"/>
        <v>4.3304892166530891E-2</v>
      </c>
      <c r="G17" s="32">
        <f t="shared" si="8"/>
        <v>3.7140009442375284E-2</v>
      </c>
      <c r="H17" s="32">
        <f t="shared" si="4"/>
        <v>-6.164882724155607E-3</v>
      </c>
      <c r="I17" s="32">
        <f t="shared" si="5"/>
        <v>-14.235996017374376</v>
      </c>
      <c r="J17">
        <f t="shared" si="10"/>
        <v>3.8005779002592257E-5</v>
      </c>
      <c r="K17">
        <f t="shared" si="9"/>
        <v>6.4713821948665954E-3</v>
      </c>
      <c r="L17">
        <f t="shared" si="1"/>
        <v>3.8005779002592257E-5</v>
      </c>
      <c r="M17">
        <f t="shared" si="6"/>
        <v>1.8753136855548685E-3</v>
      </c>
      <c r="N17">
        <f t="shared" si="6"/>
        <v>1.3793803013797251E-3</v>
      </c>
    </row>
    <row r="18" spans="1:14" ht="28.2" thickBot="1" x14ac:dyDescent="0.35">
      <c r="A18" s="62" t="s">
        <v>98</v>
      </c>
      <c r="B18" s="60">
        <v>75.5</v>
      </c>
      <c r="C18" s="66">
        <v>88.9</v>
      </c>
      <c r="D18" s="32">
        <f t="shared" si="2"/>
        <v>13.400000000000006</v>
      </c>
      <c r="E18" s="32">
        <f t="shared" si="3"/>
        <v>17.74834437086092</v>
      </c>
      <c r="F18" s="32">
        <f t="shared" si="7"/>
        <v>3.2371478797753289E-2</v>
      </c>
      <c r="G18" s="32">
        <f t="shared" si="8"/>
        <v>4.6634842364790437E-2</v>
      </c>
      <c r="H18" s="32">
        <f t="shared" si="4"/>
        <v>1.4263363567037148E-2</v>
      </c>
      <c r="I18" s="32">
        <f t="shared" si="5"/>
        <v>44.061513705166561</v>
      </c>
      <c r="J18">
        <f t="shared" si="10"/>
        <v>2.0344354024548266E-4</v>
      </c>
      <c r="K18">
        <f t="shared" si="9"/>
        <v>6.2419987836390039E-3</v>
      </c>
      <c r="L18">
        <f t="shared" si="1"/>
        <v>2.0344354024548266E-4</v>
      </c>
      <c r="M18">
        <f t="shared" si="6"/>
        <v>1.0479126395533907E-3</v>
      </c>
      <c r="N18">
        <f t="shared" si="6"/>
        <v>2.174808522388853E-3</v>
      </c>
    </row>
    <row r="19" spans="1:14" ht="28.2" thickBot="1" x14ac:dyDescent="0.35">
      <c r="A19" s="62" t="s">
        <v>99</v>
      </c>
      <c r="B19" s="60">
        <v>339.3</v>
      </c>
      <c r="C19" s="66">
        <v>193.8</v>
      </c>
      <c r="D19" s="32">
        <f t="shared" si="2"/>
        <v>-145.5</v>
      </c>
      <c r="E19" s="32">
        <f t="shared" si="3"/>
        <v>-42.882404951370468</v>
      </c>
      <c r="F19" s="32">
        <f t="shared" si="7"/>
        <v>0.14547871200102902</v>
      </c>
      <c r="G19" s="32">
        <f t="shared" si="8"/>
        <v>0.10166290720243404</v>
      </c>
      <c r="H19" s="32">
        <f t="shared" si="4"/>
        <v>-4.3815804798594982E-2</v>
      </c>
      <c r="I19" s="32">
        <f t="shared" si="5"/>
        <v>-30.118361783602438</v>
      </c>
      <c r="J19">
        <f t="shared" si="10"/>
        <v>1.919824750148579E-3</v>
      </c>
      <c r="K19">
        <f t="shared" si="9"/>
        <v>6.1078979942509541E-2</v>
      </c>
      <c r="L19">
        <f t="shared" si="1"/>
        <v>1.919824750148579E-3</v>
      </c>
      <c r="M19">
        <f t="shared" si="6"/>
        <v>2.1164055645478345E-2</v>
      </c>
      <c r="N19">
        <f t="shared" si="6"/>
        <v>1.0335346700850715E-2</v>
      </c>
    </row>
    <row r="20" spans="1:14" x14ac:dyDescent="0.3">
      <c r="A20" s="69" t="s">
        <v>106</v>
      </c>
      <c r="B20">
        <f>B13-SUM(B14:B19)</f>
        <v>178.5</v>
      </c>
      <c r="C20">
        <f>C13-SUM(C14:C19)</f>
        <v>174.20000000000005</v>
      </c>
      <c r="D20" s="32">
        <f t="shared" ref="D20" si="11">C20-B20</f>
        <v>-4.2999999999999545</v>
      </c>
      <c r="E20" s="32">
        <f t="shared" ref="E20" si="12">C20/B20*100-100</f>
        <v>-2.4089635854341367</v>
      </c>
      <c r="F20" s="32">
        <f t="shared" ref="F20" si="13">B20/B$13</f>
        <v>7.6533893581443205E-2</v>
      </c>
      <c r="G20" s="32">
        <f t="shared" ref="G20" si="14">C20/C$13</f>
        <v>9.1381209673188926E-2</v>
      </c>
      <c r="H20" s="32">
        <f t="shared" ref="H20" si="15">G20-F20</f>
        <v>1.4847316091745721E-2</v>
      </c>
      <c r="I20" s="32">
        <f t="shared" ref="I20" si="16">G20/F20*100-100</f>
        <v>19.39966124413364</v>
      </c>
      <c r="J20">
        <f t="shared" ref="J20" si="17">(G20-F20)^2</f>
        <v>2.2044279512821146E-4</v>
      </c>
      <c r="K20">
        <f t="shared" ref="K20" si="18">(G20+F20)^2</f>
        <v>2.8195481901013768E-2</v>
      </c>
      <c r="L20">
        <f t="shared" si="1"/>
        <v>2.2044279512821146E-4</v>
      </c>
      <c r="M20">
        <f t="shared" si="6"/>
        <v>5.8574368667356734E-3</v>
      </c>
      <c r="N20">
        <f t="shared" si="6"/>
        <v>8.3505254813353181E-3</v>
      </c>
    </row>
    <row r="21" spans="1:14" x14ac:dyDescent="0.3">
      <c r="A21" s="68" t="s">
        <v>103</v>
      </c>
      <c r="B21" s="30">
        <f>SQRT(SUM(J13:J20)/SUM(K13:K20))</f>
        <v>4.7134075326298444E-2</v>
      </c>
    </row>
    <row r="22" spans="1:14" x14ac:dyDescent="0.3">
      <c r="A22" s="68" t="s">
        <v>105</v>
      </c>
      <c r="B22" s="30">
        <f>SQRT(SUM(L14:L20)/(SUM(M14:M20)+SUM(N14:N20)))</f>
        <v>6.6583727703874829E-2</v>
      </c>
    </row>
  </sheetData>
  <phoneticPr fontId="5" type="noConversion"/>
  <conditionalFormatting sqref="D13:D2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:E2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:G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2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:I2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9E8E-05CE-4F2D-A35B-E6A96E9A56D2}">
  <dimension ref="A1:K23"/>
  <sheetViews>
    <sheetView workbookViewId="0">
      <selection activeCell="N18" sqref="N18"/>
    </sheetView>
  </sheetViews>
  <sheetFormatPr defaultRowHeight="14.4" x14ac:dyDescent="0.3"/>
  <cols>
    <col min="1" max="1" width="20.33203125" customWidth="1"/>
    <col min="2" max="3" width="10.33203125" customWidth="1"/>
    <col min="4" max="4" width="12.44140625" customWidth="1"/>
    <col min="5" max="5" width="12.6640625" customWidth="1"/>
    <col min="6" max="6" width="19.6640625" customWidth="1"/>
    <col min="7" max="7" width="10.6640625" customWidth="1"/>
    <col min="8" max="8" width="11.33203125" customWidth="1"/>
  </cols>
  <sheetData>
    <row r="1" spans="1:11" x14ac:dyDescent="0.3">
      <c r="B1" s="115" t="s">
        <v>115</v>
      </c>
      <c r="C1" s="115"/>
      <c r="D1" s="115" t="s">
        <v>113</v>
      </c>
      <c r="E1" s="115"/>
      <c r="F1" s="115" t="s">
        <v>114</v>
      </c>
    </row>
    <row r="2" spans="1:11" x14ac:dyDescent="0.3">
      <c r="B2" t="s">
        <v>111</v>
      </c>
      <c r="C2" t="s">
        <v>112</v>
      </c>
      <c r="D2" t="s">
        <v>111</v>
      </c>
      <c r="E2" t="s">
        <v>112</v>
      </c>
      <c r="F2" s="115"/>
    </row>
    <row r="3" spans="1:11" x14ac:dyDescent="0.3">
      <c r="A3" t="s">
        <v>107</v>
      </c>
      <c r="B3">
        <v>10</v>
      </c>
      <c r="C3">
        <v>12</v>
      </c>
      <c r="D3">
        <v>0.2</v>
      </c>
      <c r="E3">
        <v>0.15</v>
      </c>
      <c r="F3">
        <v>0.18</v>
      </c>
    </row>
    <row r="4" spans="1:11" x14ac:dyDescent="0.3">
      <c r="A4" t="s">
        <v>108</v>
      </c>
      <c r="B4">
        <v>7</v>
      </c>
      <c r="C4">
        <v>9</v>
      </c>
      <c r="D4">
        <v>0.4</v>
      </c>
      <c r="E4">
        <v>0.25</v>
      </c>
      <c r="F4">
        <v>0.32</v>
      </c>
    </row>
    <row r="5" spans="1:11" x14ac:dyDescent="0.3">
      <c r="A5" t="s">
        <v>109</v>
      </c>
      <c r="B5">
        <v>18</v>
      </c>
      <c r="C5">
        <v>20</v>
      </c>
      <c r="D5">
        <v>0.3</v>
      </c>
      <c r="E5">
        <v>0.35</v>
      </c>
      <c r="F5">
        <v>0.32</v>
      </c>
    </row>
    <row r="6" spans="1:11" x14ac:dyDescent="0.3">
      <c r="A6" t="s">
        <v>110</v>
      </c>
      <c r="B6">
        <v>25</v>
      </c>
      <c r="C6">
        <v>30</v>
      </c>
      <c r="D6">
        <v>0.1</v>
      </c>
      <c r="E6">
        <v>0.25</v>
      </c>
      <c r="F6">
        <v>0.18</v>
      </c>
    </row>
    <row r="8" spans="1:11" x14ac:dyDescent="0.3">
      <c r="B8" t="s">
        <v>111</v>
      </c>
      <c r="C8" t="s">
        <v>112</v>
      </c>
    </row>
    <row r="9" spans="1:11" x14ac:dyDescent="0.3">
      <c r="A9" t="s">
        <v>116</v>
      </c>
      <c r="B9" s="47">
        <f>SUMPRODUCT(B3:B6,D3:D6)</f>
        <v>12.7</v>
      </c>
      <c r="C9" s="47">
        <f>SUMPRODUCT(C3:C6,E3:E6)</f>
        <v>18.55</v>
      </c>
    </row>
    <row r="10" spans="1:11" x14ac:dyDescent="0.3">
      <c r="A10" t="s">
        <v>117</v>
      </c>
      <c r="B10" s="47">
        <f>SUMPRODUCT(B3:B6,$F$3:$F$6)</f>
        <v>14.3</v>
      </c>
      <c r="C10" s="47">
        <f>SUMPRODUCT(C3:C6,$F$3:$F$6)</f>
        <v>16.84</v>
      </c>
    </row>
    <row r="12" spans="1:11" x14ac:dyDescent="0.3">
      <c r="A12" t="s">
        <v>118</v>
      </c>
    </row>
    <row r="14" spans="1:11" ht="14.4" customHeight="1" x14ac:dyDescent="0.3">
      <c r="A14" s="116" t="s">
        <v>85</v>
      </c>
      <c r="B14" s="113" t="s">
        <v>119</v>
      </c>
      <c r="C14" s="113"/>
      <c r="D14" s="113" t="s">
        <v>120</v>
      </c>
      <c r="E14" s="113"/>
      <c r="F14" s="113"/>
      <c r="G14" s="116" t="s">
        <v>130</v>
      </c>
      <c r="H14" s="119" t="s">
        <v>125</v>
      </c>
      <c r="I14" s="120"/>
      <c r="J14" s="121"/>
      <c r="K14" s="117" t="s">
        <v>129</v>
      </c>
    </row>
    <row r="15" spans="1:11" x14ac:dyDescent="0.3">
      <c r="A15" s="116"/>
      <c r="B15" s="32" t="s">
        <v>4</v>
      </c>
      <c r="C15" s="32" t="s">
        <v>5</v>
      </c>
      <c r="D15" s="32" t="s">
        <v>4</v>
      </c>
      <c r="E15" s="32" t="s">
        <v>5</v>
      </c>
      <c r="F15" s="32" t="s">
        <v>128</v>
      </c>
      <c r="G15" s="116"/>
      <c r="H15" s="32" t="s">
        <v>4</v>
      </c>
      <c r="I15" s="32" t="s">
        <v>5</v>
      </c>
      <c r="J15" s="32" t="s">
        <v>128</v>
      </c>
      <c r="K15" s="118"/>
    </row>
    <row r="16" spans="1:11" x14ac:dyDescent="0.3">
      <c r="A16" s="32" t="s">
        <v>121</v>
      </c>
      <c r="B16" s="32">
        <v>0.03</v>
      </c>
      <c r="C16" s="32">
        <v>0.04</v>
      </c>
      <c r="D16" s="32">
        <v>19.5</v>
      </c>
      <c r="E16" s="32">
        <v>7.4</v>
      </c>
      <c r="F16" s="32">
        <f>SUM(D16:E16)</f>
        <v>26.9</v>
      </c>
      <c r="G16" s="33">
        <v>1.6</v>
      </c>
      <c r="H16" s="33">
        <f t="shared" ref="H16:I19" si="0">B16/D16*1000</f>
        <v>1.5384615384615385</v>
      </c>
      <c r="I16" s="33">
        <f t="shared" si="0"/>
        <v>5.4054054054054053</v>
      </c>
      <c r="J16" s="33">
        <f>SUM(B16:C16)/SUM(D16:E16)*1000</f>
        <v>2.6022304832713758</v>
      </c>
      <c r="K16" s="33">
        <f>SUM(B16:C16)/G16</f>
        <v>4.3750000000000004E-2</v>
      </c>
    </row>
    <row r="17" spans="1:11" x14ac:dyDescent="0.3">
      <c r="A17" s="32" t="s">
        <v>122</v>
      </c>
      <c r="B17" s="32">
        <v>0.09</v>
      </c>
      <c r="C17" s="32">
        <v>0.11</v>
      </c>
      <c r="D17" s="32">
        <v>27.5</v>
      </c>
      <c r="E17" s="32">
        <v>13.3</v>
      </c>
      <c r="F17" s="32">
        <f t="shared" ref="F17:F19" si="1">SUM(D17:E17)</f>
        <v>40.799999999999997</v>
      </c>
      <c r="G17" s="33">
        <v>3.3</v>
      </c>
      <c r="H17" s="33">
        <f t="shared" si="0"/>
        <v>3.2727272727272725</v>
      </c>
      <c r="I17" s="33">
        <f t="shared" si="0"/>
        <v>8.2706766917293226</v>
      </c>
      <c r="J17" s="33">
        <f>SUM(B17:C17)/SUM(D17:E17)*1000</f>
        <v>4.9019607843137267</v>
      </c>
      <c r="K17" s="33">
        <f>SUM(B17:C17)/G17</f>
        <v>6.0606060606060615E-2</v>
      </c>
    </row>
    <row r="18" spans="1:11" x14ac:dyDescent="0.3">
      <c r="A18" s="32" t="s">
        <v>123</v>
      </c>
      <c r="B18" s="32">
        <v>0.2</v>
      </c>
      <c r="C18" s="32">
        <v>0.26</v>
      </c>
      <c r="D18" s="32">
        <v>21.5</v>
      </c>
      <c r="E18" s="32">
        <v>19.8</v>
      </c>
      <c r="F18" s="32">
        <f t="shared" si="1"/>
        <v>41.3</v>
      </c>
      <c r="G18" s="33">
        <v>17.100000000000001</v>
      </c>
      <c r="H18" s="33">
        <f t="shared" si="0"/>
        <v>9.3023255813953494</v>
      </c>
      <c r="I18" s="33">
        <f t="shared" si="0"/>
        <v>13.131313131313131</v>
      </c>
      <c r="J18" s="33">
        <f>SUM(B18:C18)/SUM(D18:E18)*1000</f>
        <v>11.138014527845039</v>
      </c>
      <c r="K18" s="33">
        <f>SUM(B18:C18)/G18</f>
        <v>2.6900584795321637E-2</v>
      </c>
    </row>
    <row r="19" spans="1:11" x14ac:dyDescent="0.3">
      <c r="A19" s="32" t="s">
        <v>124</v>
      </c>
      <c r="B19" s="32">
        <f>SUM(B16:B18)</f>
        <v>0.32</v>
      </c>
      <c r="C19" s="32">
        <f>SUM(C16:C18)</f>
        <v>0.41000000000000003</v>
      </c>
      <c r="D19" s="32">
        <f>SUM(D16:D18)</f>
        <v>68.5</v>
      </c>
      <c r="E19" s="32">
        <f>SUM(E16:E18)</f>
        <v>40.5</v>
      </c>
      <c r="F19" s="32">
        <f t="shared" si="1"/>
        <v>109</v>
      </c>
      <c r="G19" s="33">
        <v>6.9</v>
      </c>
      <c r="H19" s="33">
        <f t="shared" si="0"/>
        <v>4.671532846715329</v>
      </c>
      <c r="I19" s="33">
        <f t="shared" si="0"/>
        <v>10.123456790123457</v>
      </c>
      <c r="J19" s="33">
        <f>SUM(B19:C19)/SUM(D19:E19)*1000</f>
        <v>6.6972477064220177</v>
      </c>
      <c r="K19" s="33">
        <f>SUM(K16:K18)</f>
        <v>0.13125664540138227</v>
      </c>
    </row>
    <row r="21" spans="1:11" x14ac:dyDescent="0.3">
      <c r="A21" t="s">
        <v>126</v>
      </c>
      <c r="B21" s="47">
        <f>SUM(B16:C18)/SUM(D16:E18)*1000</f>
        <v>6.6972477064220177</v>
      </c>
    </row>
    <row r="22" spans="1:11" x14ac:dyDescent="0.3">
      <c r="A22" t="s">
        <v>127</v>
      </c>
      <c r="B22" s="36">
        <f>G19*(K19/SUM(D19:E19))</f>
        <v>8.308906910729703E-3</v>
      </c>
    </row>
    <row r="23" spans="1:11" x14ac:dyDescent="0.3">
      <c r="A23" t="s">
        <v>127</v>
      </c>
      <c r="B23">
        <f>(SUMPRODUCT(J16:J18,F16:F18)/SUMPRODUCT(G16:G18,F16:F18))*G19</f>
        <v>5.698543969408651</v>
      </c>
    </row>
  </sheetData>
  <mergeCells count="9">
    <mergeCell ref="K14:K15"/>
    <mergeCell ref="D14:F14"/>
    <mergeCell ref="H14:J14"/>
    <mergeCell ref="F1:F2"/>
    <mergeCell ref="B1:C1"/>
    <mergeCell ref="D1:E1"/>
    <mergeCell ref="A14:A15"/>
    <mergeCell ref="B14:C14"/>
    <mergeCell ref="G14:G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B4FE-3006-47E8-AA79-D4CB8F336690}">
  <dimension ref="A1:Z22"/>
  <sheetViews>
    <sheetView topLeftCell="A3" workbookViewId="0">
      <selection activeCell="J6" sqref="J6"/>
    </sheetView>
  </sheetViews>
  <sheetFormatPr defaultColWidth="3" defaultRowHeight="14.4" x14ac:dyDescent="0.3"/>
  <cols>
    <col min="1" max="1" width="9.109375" customWidth="1"/>
    <col min="2" max="3" width="11" bestFit="1" customWidth="1"/>
    <col min="4" max="4" width="15.6640625" customWidth="1"/>
    <col min="5" max="6" width="9.109375" customWidth="1"/>
    <col min="7" max="7" width="15.33203125" customWidth="1"/>
    <col min="8" max="10" width="9.109375" customWidth="1"/>
  </cols>
  <sheetData>
    <row r="1" spans="1:26" ht="15" thickTop="1" x14ac:dyDescent="0.3">
      <c r="A1" s="123" t="s">
        <v>131</v>
      </c>
      <c r="B1" s="72" t="s">
        <v>143</v>
      </c>
      <c r="C1" s="72"/>
      <c r="D1" s="72"/>
      <c r="E1" s="72" t="s">
        <v>142</v>
      </c>
      <c r="F1" s="72"/>
      <c r="G1" s="73"/>
    </row>
    <row r="2" spans="1:26" x14ac:dyDescent="0.3">
      <c r="A2" s="124"/>
      <c r="B2" s="70" t="s">
        <v>132</v>
      </c>
      <c r="C2" s="70"/>
      <c r="D2" s="122" t="s">
        <v>139</v>
      </c>
      <c r="E2" s="70" t="s">
        <v>132</v>
      </c>
      <c r="F2" s="70"/>
      <c r="G2" s="126" t="s">
        <v>139</v>
      </c>
    </row>
    <row r="3" spans="1:26" x14ac:dyDescent="0.3">
      <c r="A3" s="124"/>
      <c r="B3" s="71" t="s">
        <v>133</v>
      </c>
      <c r="C3" s="71" t="s">
        <v>134</v>
      </c>
      <c r="D3" s="122"/>
      <c r="E3" s="71" t="s">
        <v>133</v>
      </c>
      <c r="F3" s="71" t="s">
        <v>134</v>
      </c>
      <c r="G3" s="126"/>
    </row>
    <row r="4" spans="1:26" ht="15" thickBot="1" x14ac:dyDescent="0.35">
      <c r="A4" s="125"/>
      <c r="B4" s="74" t="s">
        <v>135</v>
      </c>
      <c r="C4" s="74" t="s">
        <v>136</v>
      </c>
      <c r="D4" s="74" t="s">
        <v>137</v>
      </c>
      <c r="E4" s="74" t="s">
        <v>138</v>
      </c>
      <c r="F4" s="74" t="s">
        <v>140</v>
      </c>
      <c r="G4" s="75" t="s">
        <v>141</v>
      </c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5" thickTop="1" x14ac:dyDescent="0.3">
      <c r="A5" s="76" t="s">
        <v>88</v>
      </c>
      <c r="B5" s="76">
        <v>4.9000000000000004</v>
      </c>
      <c r="C5" s="76">
        <v>13.6</v>
      </c>
      <c r="D5" s="76">
        <v>52.5</v>
      </c>
      <c r="E5" s="76">
        <v>5.8</v>
      </c>
      <c r="F5" s="76">
        <v>14.9</v>
      </c>
      <c r="G5" s="76">
        <v>28.1</v>
      </c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3"/>
      <c r="Z5" s="83"/>
    </row>
    <row r="6" spans="1:26" x14ac:dyDescent="0.3">
      <c r="A6" s="77" t="s">
        <v>79</v>
      </c>
      <c r="B6" s="77">
        <v>4.7</v>
      </c>
      <c r="C6" s="77">
        <v>13</v>
      </c>
      <c r="D6" s="77">
        <v>163.9</v>
      </c>
      <c r="E6" s="77">
        <v>5.3</v>
      </c>
      <c r="F6" s="77">
        <v>13.6</v>
      </c>
      <c r="G6" s="77">
        <v>95.3</v>
      </c>
      <c r="N6" s="84"/>
      <c r="O6" s="84"/>
      <c r="P6" s="84"/>
      <c r="Q6" s="84"/>
      <c r="R6" s="84"/>
      <c r="S6" s="84"/>
      <c r="T6" s="84"/>
      <c r="U6" s="84"/>
      <c r="V6" s="84"/>
      <c r="W6" s="84"/>
      <c r="X6" s="83"/>
      <c r="Y6" s="83"/>
      <c r="Z6" s="84"/>
    </row>
    <row r="7" spans="1:26" x14ac:dyDescent="0.3">
      <c r="A7" s="77" t="s">
        <v>80</v>
      </c>
      <c r="B7" s="77">
        <v>6.1</v>
      </c>
      <c r="C7" s="77">
        <v>16.899999999999999</v>
      </c>
      <c r="D7" s="77">
        <v>103.1</v>
      </c>
      <c r="E7" s="77">
        <v>5</v>
      </c>
      <c r="F7" s="77">
        <v>12.9</v>
      </c>
      <c r="G7" s="77">
        <v>68.7</v>
      </c>
      <c r="N7" s="84"/>
      <c r="O7" s="84"/>
      <c r="P7" s="84"/>
      <c r="Q7" s="84"/>
      <c r="R7" s="84"/>
      <c r="S7" s="84"/>
      <c r="T7" s="84"/>
      <c r="U7" s="84"/>
      <c r="V7" s="84"/>
      <c r="W7" s="83"/>
      <c r="X7" s="83"/>
      <c r="Y7" s="84"/>
      <c r="Z7" s="84"/>
    </row>
    <row r="8" spans="1:26" x14ac:dyDescent="0.3">
      <c r="A8" s="77" t="s">
        <v>81</v>
      </c>
      <c r="B8" s="77">
        <v>6.4</v>
      </c>
      <c r="C8" s="77">
        <v>17.7</v>
      </c>
      <c r="D8" s="77">
        <v>54.6</v>
      </c>
      <c r="E8" s="77">
        <v>4.7</v>
      </c>
      <c r="F8" s="77">
        <v>12.1</v>
      </c>
      <c r="G8" s="77">
        <v>36</v>
      </c>
      <c r="N8" s="84"/>
      <c r="O8" s="84"/>
      <c r="P8" s="84"/>
      <c r="Q8" s="84"/>
      <c r="R8" s="84"/>
      <c r="S8" s="84"/>
      <c r="T8" s="84"/>
      <c r="U8" s="84"/>
      <c r="V8" s="83"/>
      <c r="W8" s="83"/>
      <c r="X8" s="84"/>
      <c r="Y8" s="84"/>
      <c r="Z8" s="84"/>
    </row>
    <row r="9" spans="1:26" x14ac:dyDescent="0.3">
      <c r="A9" s="78" t="s">
        <v>82</v>
      </c>
      <c r="B9" s="78">
        <v>5.9</v>
      </c>
      <c r="C9" s="78">
        <v>16.399999999999999</v>
      </c>
      <c r="D9" s="78">
        <v>22</v>
      </c>
      <c r="E9" s="78">
        <v>5.8</v>
      </c>
      <c r="F9" s="78">
        <v>14.9</v>
      </c>
      <c r="G9" s="78">
        <v>12</v>
      </c>
      <c r="N9" s="84"/>
      <c r="O9" s="84"/>
      <c r="P9" s="84"/>
      <c r="Q9" s="84"/>
      <c r="R9" s="84"/>
      <c r="S9" s="84"/>
      <c r="T9" s="84"/>
      <c r="U9" s="83"/>
      <c r="V9" s="83"/>
      <c r="W9" s="84"/>
      <c r="X9" s="84"/>
      <c r="Y9" s="84"/>
      <c r="Z9" s="84"/>
    </row>
    <row r="10" spans="1:26" x14ac:dyDescent="0.3">
      <c r="A10" s="78" t="s">
        <v>83</v>
      </c>
      <c r="B10" s="78">
        <v>4.2</v>
      </c>
      <c r="C10" s="78">
        <v>11.6</v>
      </c>
      <c r="D10" s="78">
        <v>5</v>
      </c>
      <c r="E10" s="78">
        <v>6.4</v>
      </c>
      <c r="F10" s="78">
        <v>16.399999999999999</v>
      </c>
      <c r="G10" s="78">
        <v>2.4</v>
      </c>
      <c r="N10" s="84"/>
      <c r="O10" s="84"/>
      <c r="P10" s="84"/>
      <c r="Q10" s="84"/>
      <c r="R10" s="84"/>
      <c r="S10" s="84"/>
      <c r="T10" s="83"/>
      <c r="U10" s="83"/>
      <c r="V10" s="84"/>
      <c r="W10" s="84"/>
      <c r="X10" s="84"/>
      <c r="Y10" s="84"/>
      <c r="Z10" s="84"/>
    </row>
    <row r="11" spans="1:26" x14ac:dyDescent="0.3">
      <c r="A11" s="78" t="s">
        <v>84</v>
      </c>
      <c r="B11" s="78">
        <v>3.9</v>
      </c>
      <c r="C11" s="78">
        <v>10.8</v>
      </c>
      <c r="D11" s="78">
        <v>0.2</v>
      </c>
      <c r="E11" s="78">
        <v>5.9</v>
      </c>
      <c r="F11" s="78">
        <v>15.2</v>
      </c>
      <c r="G11" s="78">
        <v>0.1</v>
      </c>
      <c r="N11" s="84"/>
      <c r="O11" s="84"/>
      <c r="P11" s="84"/>
      <c r="Q11" s="84"/>
      <c r="R11" s="84"/>
      <c r="S11" s="83"/>
      <c r="T11" s="83"/>
      <c r="U11" s="84"/>
      <c r="V11" s="84"/>
      <c r="W11" s="84"/>
      <c r="X11" s="84"/>
      <c r="Y11" s="84"/>
      <c r="Z11" s="84"/>
    </row>
    <row r="12" spans="1:26" x14ac:dyDescent="0.3">
      <c r="A12" s="79" t="s">
        <v>144</v>
      </c>
      <c r="B12" s="80">
        <f>SUM(B5:B11)</f>
        <v>36.1</v>
      </c>
      <c r="C12" s="80">
        <f>SUM(C5:C11)</f>
        <v>99.999999999999986</v>
      </c>
      <c r="D12" s="81">
        <f>SUMPRODUCT(C5:C11,D5:D11)/SUM(C5:C11)</f>
        <v>59.744700000000009</v>
      </c>
      <c r="E12" s="80">
        <f>SUM(E5:E11)</f>
        <v>38.9</v>
      </c>
      <c r="F12" s="80">
        <f>SUM(F5:F11)</f>
        <v>100.00000000000001</v>
      </c>
      <c r="G12" s="81">
        <f>SUMPRODUCT(F5:F11,G5:G11)/SUM(F5:F11)</f>
        <v>32.562799999999996</v>
      </c>
      <c r="N12" s="84"/>
      <c r="O12" s="84"/>
      <c r="P12" s="84"/>
      <c r="Q12" s="84"/>
      <c r="R12" s="83"/>
      <c r="S12" s="83"/>
      <c r="T12" s="84"/>
      <c r="U12" s="84"/>
      <c r="V12" s="84"/>
      <c r="W12" s="84"/>
      <c r="X12" s="84"/>
      <c r="Y12" s="84"/>
      <c r="Z12" s="84"/>
    </row>
    <row r="13" spans="1:26" x14ac:dyDescent="0.3">
      <c r="N13" s="84"/>
      <c r="O13" s="84"/>
      <c r="P13" s="84"/>
      <c r="Q13" s="83"/>
      <c r="R13" s="83"/>
      <c r="S13" s="84"/>
      <c r="T13" s="84"/>
      <c r="U13" s="84"/>
      <c r="V13" s="84"/>
      <c r="W13" s="84"/>
      <c r="X13" s="84"/>
      <c r="Y13" s="84"/>
      <c r="Z13" s="84"/>
    </row>
    <row r="14" spans="1:26" x14ac:dyDescent="0.3">
      <c r="N14" s="84"/>
      <c r="O14" s="84"/>
      <c r="P14" s="83"/>
      <c r="Q14" s="83"/>
      <c r="R14" s="84"/>
      <c r="S14" s="84"/>
      <c r="T14" s="84"/>
      <c r="U14" s="84"/>
      <c r="V14" s="84"/>
      <c r="W14" s="84"/>
      <c r="X14" s="84"/>
      <c r="Y14" s="84"/>
      <c r="Z14" s="84"/>
    </row>
    <row r="15" spans="1:26" x14ac:dyDescent="0.3">
      <c r="B15" t="s">
        <v>145</v>
      </c>
      <c r="C15">
        <f>SUMPRODUCT(F5:F11,G5:G11)</f>
        <v>3256.28</v>
      </c>
      <c r="N15" s="84"/>
      <c r="O15" s="83"/>
      <c r="P15" s="83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x14ac:dyDescent="0.3">
      <c r="B16" t="s">
        <v>146</v>
      </c>
      <c r="C16">
        <f>SUMPRODUCT(F5:F11,D5:D11)</f>
        <v>5414.78</v>
      </c>
      <c r="N16" s="83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x14ac:dyDescent="0.3">
      <c r="B17" t="s">
        <v>147</v>
      </c>
      <c r="C17">
        <f>SUMPRODUCT(C5:C11,D5:D11)</f>
        <v>5974.47</v>
      </c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9" spans="1:26" x14ac:dyDescent="0.3">
      <c r="B19" t="s">
        <v>148</v>
      </c>
      <c r="C19">
        <f>C15/C16</f>
        <v>0.60136884601036433</v>
      </c>
      <c r="D19" s="82">
        <f>C19*100-100</f>
        <v>-39.863115398963565</v>
      </c>
    </row>
    <row r="20" spans="1:26" x14ac:dyDescent="0.3">
      <c r="B20" t="s">
        <v>149</v>
      </c>
      <c r="D20" s="82">
        <f>C15-C16</f>
        <v>-2158.4999999999995</v>
      </c>
    </row>
    <row r="22" spans="1:26" x14ac:dyDescent="0.3">
      <c r="A22" s="85" t="s">
        <v>150</v>
      </c>
    </row>
  </sheetData>
  <mergeCells count="3">
    <mergeCell ref="D2:D3"/>
    <mergeCell ref="A1:A4"/>
    <mergeCell ref="G2:G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18F2-724B-4211-9237-74ED8D0F195E}">
  <dimension ref="A1:R43"/>
  <sheetViews>
    <sheetView zoomScale="40" zoomScaleNormal="40" workbookViewId="0">
      <selection activeCell="A44" sqref="A44"/>
    </sheetView>
  </sheetViews>
  <sheetFormatPr defaultRowHeight="14.4" x14ac:dyDescent="0.3"/>
  <cols>
    <col min="1" max="1" width="24.33203125" customWidth="1"/>
    <col min="2" max="2" width="8.33203125" customWidth="1"/>
    <col min="3" max="5" width="8.109375" customWidth="1"/>
    <col min="6" max="6" width="8" customWidth="1"/>
    <col min="7" max="7" width="7.33203125" customWidth="1"/>
    <col min="8" max="8" width="8.44140625" customWidth="1"/>
    <col min="9" max="9" width="8.109375" customWidth="1"/>
    <col min="10" max="10" width="8.5546875" customWidth="1"/>
    <col min="11" max="11" width="8.33203125" customWidth="1"/>
    <col min="12" max="12" width="8.44140625" customWidth="1"/>
    <col min="13" max="13" width="8.6640625" customWidth="1"/>
    <col min="257" max="257" width="13.88671875" customWidth="1"/>
    <col min="258" max="258" width="8.33203125" customWidth="1"/>
    <col min="259" max="261" width="8.109375" customWidth="1"/>
    <col min="262" max="262" width="8" customWidth="1"/>
    <col min="263" max="263" width="7.33203125" customWidth="1"/>
    <col min="264" max="264" width="8.44140625" customWidth="1"/>
    <col min="265" max="265" width="8.109375" customWidth="1"/>
    <col min="266" max="266" width="8.5546875" customWidth="1"/>
    <col min="267" max="267" width="8.33203125" customWidth="1"/>
    <col min="268" max="268" width="8.44140625" customWidth="1"/>
    <col min="269" max="269" width="8.6640625" customWidth="1"/>
    <col min="513" max="513" width="13.88671875" customWidth="1"/>
    <col min="514" max="514" width="8.33203125" customWidth="1"/>
    <col min="515" max="517" width="8.109375" customWidth="1"/>
    <col min="518" max="518" width="8" customWidth="1"/>
    <col min="519" max="519" width="7.33203125" customWidth="1"/>
    <col min="520" max="520" width="8.44140625" customWidth="1"/>
    <col min="521" max="521" width="8.109375" customWidth="1"/>
    <col min="522" max="522" width="8.5546875" customWidth="1"/>
    <col min="523" max="523" width="8.33203125" customWidth="1"/>
    <col min="524" max="524" width="8.44140625" customWidth="1"/>
    <col min="525" max="525" width="8.6640625" customWidth="1"/>
    <col min="769" max="769" width="13.88671875" customWidth="1"/>
    <col min="770" max="770" width="8.33203125" customWidth="1"/>
    <col min="771" max="773" width="8.109375" customWidth="1"/>
    <col min="774" max="774" width="8" customWidth="1"/>
    <col min="775" max="775" width="7.33203125" customWidth="1"/>
    <col min="776" max="776" width="8.44140625" customWidth="1"/>
    <col min="777" max="777" width="8.109375" customWidth="1"/>
    <col min="778" max="778" width="8.5546875" customWidth="1"/>
    <col min="779" max="779" width="8.33203125" customWidth="1"/>
    <col min="780" max="780" width="8.44140625" customWidth="1"/>
    <col min="781" max="781" width="8.6640625" customWidth="1"/>
    <col min="1025" max="1025" width="13.88671875" customWidth="1"/>
    <col min="1026" max="1026" width="8.33203125" customWidth="1"/>
    <col min="1027" max="1029" width="8.109375" customWidth="1"/>
    <col min="1030" max="1030" width="8" customWidth="1"/>
    <col min="1031" max="1031" width="7.33203125" customWidth="1"/>
    <col min="1032" max="1032" width="8.44140625" customWidth="1"/>
    <col min="1033" max="1033" width="8.109375" customWidth="1"/>
    <col min="1034" max="1034" width="8.5546875" customWidth="1"/>
    <col min="1035" max="1035" width="8.33203125" customWidth="1"/>
    <col min="1036" max="1036" width="8.44140625" customWidth="1"/>
    <col min="1037" max="1037" width="8.6640625" customWidth="1"/>
    <col min="1281" max="1281" width="13.88671875" customWidth="1"/>
    <col min="1282" max="1282" width="8.33203125" customWidth="1"/>
    <col min="1283" max="1285" width="8.109375" customWidth="1"/>
    <col min="1286" max="1286" width="8" customWidth="1"/>
    <col min="1287" max="1287" width="7.33203125" customWidth="1"/>
    <col min="1288" max="1288" width="8.44140625" customWidth="1"/>
    <col min="1289" max="1289" width="8.109375" customWidth="1"/>
    <col min="1290" max="1290" width="8.5546875" customWidth="1"/>
    <col min="1291" max="1291" width="8.33203125" customWidth="1"/>
    <col min="1292" max="1292" width="8.44140625" customWidth="1"/>
    <col min="1293" max="1293" width="8.6640625" customWidth="1"/>
    <col min="1537" max="1537" width="13.88671875" customWidth="1"/>
    <col min="1538" max="1538" width="8.33203125" customWidth="1"/>
    <col min="1539" max="1541" width="8.109375" customWidth="1"/>
    <col min="1542" max="1542" width="8" customWidth="1"/>
    <col min="1543" max="1543" width="7.33203125" customWidth="1"/>
    <col min="1544" max="1544" width="8.44140625" customWidth="1"/>
    <col min="1545" max="1545" width="8.109375" customWidth="1"/>
    <col min="1546" max="1546" width="8.5546875" customWidth="1"/>
    <col min="1547" max="1547" width="8.33203125" customWidth="1"/>
    <col min="1548" max="1548" width="8.44140625" customWidth="1"/>
    <col min="1549" max="1549" width="8.6640625" customWidth="1"/>
    <col min="1793" max="1793" width="13.88671875" customWidth="1"/>
    <col min="1794" max="1794" width="8.33203125" customWidth="1"/>
    <col min="1795" max="1797" width="8.109375" customWidth="1"/>
    <col min="1798" max="1798" width="8" customWidth="1"/>
    <col min="1799" max="1799" width="7.33203125" customWidth="1"/>
    <col min="1800" max="1800" width="8.44140625" customWidth="1"/>
    <col min="1801" max="1801" width="8.109375" customWidth="1"/>
    <col min="1802" max="1802" width="8.5546875" customWidth="1"/>
    <col min="1803" max="1803" width="8.33203125" customWidth="1"/>
    <col min="1804" max="1804" width="8.44140625" customWidth="1"/>
    <col min="1805" max="1805" width="8.6640625" customWidth="1"/>
    <col min="2049" max="2049" width="13.88671875" customWidth="1"/>
    <col min="2050" max="2050" width="8.33203125" customWidth="1"/>
    <col min="2051" max="2053" width="8.109375" customWidth="1"/>
    <col min="2054" max="2054" width="8" customWidth="1"/>
    <col min="2055" max="2055" width="7.33203125" customWidth="1"/>
    <col min="2056" max="2056" width="8.44140625" customWidth="1"/>
    <col min="2057" max="2057" width="8.109375" customWidth="1"/>
    <col min="2058" max="2058" width="8.5546875" customWidth="1"/>
    <col min="2059" max="2059" width="8.33203125" customWidth="1"/>
    <col min="2060" max="2060" width="8.44140625" customWidth="1"/>
    <col min="2061" max="2061" width="8.6640625" customWidth="1"/>
    <col min="2305" max="2305" width="13.88671875" customWidth="1"/>
    <col min="2306" max="2306" width="8.33203125" customWidth="1"/>
    <col min="2307" max="2309" width="8.109375" customWidth="1"/>
    <col min="2310" max="2310" width="8" customWidth="1"/>
    <col min="2311" max="2311" width="7.33203125" customWidth="1"/>
    <col min="2312" max="2312" width="8.44140625" customWidth="1"/>
    <col min="2313" max="2313" width="8.109375" customWidth="1"/>
    <col min="2314" max="2314" width="8.5546875" customWidth="1"/>
    <col min="2315" max="2315" width="8.33203125" customWidth="1"/>
    <col min="2316" max="2316" width="8.44140625" customWidth="1"/>
    <col min="2317" max="2317" width="8.6640625" customWidth="1"/>
    <col min="2561" max="2561" width="13.88671875" customWidth="1"/>
    <col min="2562" max="2562" width="8.33203125" customWidth="1"/>
    <col min="2563" max="2565" width="8.109375" customWidth="1"/>
    <col min="2566" max="2566" width="8" customWidth="1"/>
    <col min="2567" max="2567" width="7.33203125" customWidth="1"/>
    <col min="2568" max="2568" width="8.44140625" customWidth="1"/>
    <col min="2569" max="2569" width="8.109375" customWidth="1"/>
    <col min="2570" max="2570" width="8.5546875" customWidth="1"/>
    <col min="2571" max="2571" width="8.33203125" customWidth="1"/>
    <col min="2572" max="2572" width="8.44140625" customWidth="1"/>
    <col min="2573" max="2573" width="8.6640625" customWidth="1"/>
    <col min="2817" max="2817" width="13.88671875" customWidth="1"/>
    <col min="2818" max="2818" width="8.33203125" customWidth="1"/>
    <col min="2819" max="2821" width="8.109375" customWidth="1"/>
    <col min="2822" max="2822" width="8" customWidth="1"/>
    <col min="2823" max="2823" width="7.33203125" customWidth="1"/>
    <col min="2824" max="2824" width="8.44140625" customWidth="1"/>
    <col min="2825" max="2825" width="8.109375" customWidth="1"/>
    <col min="2826" max="2826" width="8.5546875" customWidth="1"/>
    <col min="2827" max="2827" width="8.33203125" customWidth="1"/>
    <col min="2828" max="2828" width="8.44140625" customWidth="1"/>
    <col min="2829" max="2829" width="8.6640625" customWidth="1"/>
    <col min="3073" max="3073" width="13.88671875" customWidth="1"/>
    <col min="3074" max="3074" width="8.33203125" customWidth="1"/>
    <col min="3075" max="3077" width="8.109375" customWidth="1"/>
    <col min="3078" max="3078" width="8" customWidth="1"/>
    <col min="3079" max="3079" width="7.33203125" customWidth="1"/>
    <col min="3080" max="3080" width="8.44140625" customWidth="1"/>
    <col min="3081" max="3081" width="8.109375" customWidth="1"/>
    <col min="3082" max="3082" width="8.5546875" customWidth="1"/>
    <col min="3083" max="3083" width="8.33203125" customWidth="1"/>
    <col min="3084" max="3084" width="8.44140625" customWidth="1"/>
    <col min="3085" max="3085" width="8.6640625" customWidth="1"/>
    <col min="3329" max="3329" width="13.88671875" customWidth="1"/>
    <col min="3330" max="3330" width="8.33203125" customWidth="1"/>
    <col min="3331" max="3333" width="8.109375" customWidth="1"/>
    <col min="3334" max="3334" width="8" customWidth="1"/>
    <col min="3335" max="3335" width="7.33203125" customWidth="1"/>
    <col min="3336" max="3336" width="8.44140625" customWidth="1"/>
    <col min="3337" max="3337" width="8.109375" customWidth="1"/>
    <col min="3338" max="3338" width="8.5546875" customWidth="1"/>
    <col min="3339" max="3339" width="8.33203125" customWidth="1"/>
    <col min="3340" max="3340" width="8.44140625" customWidth="1"/>
    <col min="3341" max="3341" width="8.6640625" customWidth="1"/>
    <col min="3585" max="3585" width="13.88671875" customWidth="1"/>
    <col min="3586" max="3586" width="8.33203125" customWidth="1"/>
    <col min="3587" max="3589" width="8.109375" customWidth="1"/>
    <col min="3590" max="3590" width="8" customWidth="1"/>
    <col min="3591" max="3591" width="7.33203125" customWidth="1"/>
    <col min="3592" max="3592" width="8.44140625" customWidth="1"/>
    <col min="3593" max="3593" width="8.109375" customWidth="1"/>
    <col min="3594" max="3594" width="8.5546875" customWidth="1"/>
    <col min="3595" max="3595" width="8.33203125" customWidth="1"/>
    <col min="3596" max="3596" width="8.44140625" customWidth="1"/>
    <col min="3597" max="3597" width="8.6640625" customWidth="1"/>
    <col min="3841" max="3841" width="13.88671875" customWidth="1"/>
    <col min="3842" max="3842" width="8.33203125" customWidth="1"/>
    <col min="3843" max="3845" width="8.109375" customWidth="1"/>
    <col min="3846" max="3846" width="8" customWidth="1"/>
    <col min="3847" max="3847" width="7.33203125" customWidth="1"/>
    <col min="3848" max="3848" width="8.44140625" customWidth="1"/>
    <col min="3849" max="3849" width="8.109375" customWidth="1"/>
    <col min="3850" max="3850" width="8.5546875" customWidth="1"/>
    <col min="3851" max="3851" width="8.33203125" customWidth="1"/>
    <col min="3852" max="3852" width="8.44140625" customWidth="1"/>
    <col min="3853" max="3853" width="8.6640625" customWidth="1"/>
    <col min="4097" max="4097" width="13.88671875" customWidth="1"/>
    <col min="4098" max="4098" width="8.33203125" customWidth="1"/>
    <col min="4099" max="4101" width="8.109375" customWidth="1"/>
    <col min="4102" max="4102" width="8" customWidth="1"/>
    <col min="4103" max="4103" width="7.33203125" customWidth="1"/>
    <col min="4104" max="4104" width="8.44140625" customWidth="1"/>
    <col min="4105" max="4105" width="8.109375" customWidth="1"/>
    <col min="4106" max="4106" width="8.5546875" customWidth="1"/>
    <col min="4107" max="4107" width="8.33203125" customWidth="1"/>
    <col min="4108" max="4108" width="8.44140625" customWidth="1"/>
    <col min="4109" max="4109" width="8.6640625" customWidth="1"/>
    <col min="4353" max="4353" width="13.88671875" customWidth="1"/>
    <col min="4354" max="4354" width="8.33203125" customWidth="1"/>
    <col min="4355" max="4357" width="8.109375" customWidth="1"/>
    <col min="4358" max="4358" width="8" customWidth="1"/>
    <col min="4359" max="4359" width="7.33203125" customWidth="1"/>
    <col min="4360" max="4360" width="8.44140625" customWidth="1"/>
    <col min="4361" max="4361" width="8.109375" customWidth="1"/>
    <col min="4362" max="4362" width="8.5546875" customWidth="1"/>
    <col min="4363" max="4363" width="8.33203125" customWidth="1"/>
    <col min="4364" max="4364" width="8.44140625" customWidth="1"/>
    <col min="4365" max="4365" width="8.6640625" customWidth="1"/>
    <col min="4609" max="4609" width="13.88671875" customWidth="1"/>
    <col min="4610" max="4610" width="8.33203125" customWidth="1"/>
    <col min="4611" max="4613" width="8.109375" customWidth="1"/>
    <col min="4614" max="4614" width="8" customWidth="1"/>
    <col min="4615" max="4615" width="7.33203125" customWidth="1"/>
    <col min="4616" max="4616" width="8.44140625" customWidth="1"/>
    <col min="4617" max="4617" width="8.109375" customWidth="1"/>
    <col min="4618" max="4618" width="8.5546875" customWidth="1"/>
    <col min="4619" max="4619" width="8.33203125" customWidth="1"/>
    <col min="4620" max="4620" width="8.44140625" customWidth="1"/>
    <col min="4621" max="4621" width="8.6640625" customWidth="1"/>
    <col min="4865" max="4865" width="13.88671875" customWidth="1"/>
    <col min="4866" max="4866" width="8.33203125" customWidth="1"/>
    <col min="4867" max="4869" width="8.109375" customWidth="1"/>
    <col min="4870" max="4870" width="8" customWidth="1"/>
    <col min="4871" max="4871" width="7.33203125" customWidth="1"/>
    <col min="4872" max="4872" width="8.44140625" customWidth="1"/>
    <col min="4873" max="4873" width="8.109375" customWidth="1"/>
    <col min="4874" max="4874" width="8.5546875" customWidth="1"/>
    <col min="4875" max="4875" width="8.33203125" customWidth="1"/>
    <col min="4876" max="4876" width="8.44140625" customWidth="1"/>
    <col min="4877" max="4877" width="8.6640625" customWidth="1"/>
    <col min="5121" max="5121" width="13.88671875" customWidth="1"/>
    <col min="5122" max="5122" width="8.33203125" customWidth="1"/>
    <col min="5123" max="5125" width="8.109375" customWidth="1"/>
    <col min="5126" max="5126" width="8" customWidth="1"/>
    <col min="5127" max="5127" width="7.33203125" customWidth="1"/>
    <col min="5128" max="5128" width="8.44140625" customWidth="1"/>
    <col min="5129" max="5129" width="8.109375" customWidth="1"/>
    <col min="5130" max="5130" width="8.5546875" customWidth="1"/>
    <col min="5131" max="5131" width="8.33203125" customWidth="1"/>
    <col min="5132" max="5132" width="8.44140625" customWidth="1"/>
    <col min="5133" max="5133" width="8.6640625" customWidth="1"/>
    <col min="5377" max="5377" width="13.88671875" customWidth="1"/>
    <col min="5378" max="5378" width="8.33203125" customWidth="1"/>
    <col min="5379" max="5381" width="8.109375" customWidth="1"/>
    <col min="5382" max="5382" width="8" customWidth="1"/>
    <col min="5383" max="5383" width="7.33203125" customWidth="1"/>
    <col min="5384" max="5384" width="8.44140625" customWidth="1"/>
    <col min="5385" max="5385" width="8.109375" customWidth="1"/>
    <col min="5386" max="5386" width="8.5546875" customWidth="1"/>
    <col min="5387" max="5387" width="8.33203125" customWidth="1"/>
    <col min="5388" max="5388" width="8.44140625" customWidth="1"/>
    <col min="5389" max="5389" width="8.6640625" customWidth="1"/>
    <col min="5633" max="5633" width="13.88671875" customWidth="1"/>
    <col min="5634" max="5634" width="8.33203125" customWidth="1"/>
    <col min="5635" max="5637" width="8.109375" customWidth="1"/>
    <col min="5638" max="5638" width="8" customWidth="1"/>
    <col min="5639" max="5639" width="7.33203125" customWidth="1"/>
    <col min="5640" max="5640" width="8.44140625" customWidth="1"/>
    <col min="5641" max="5641" width="8.109375" customWidth="1"/>
    <col min="5642" max="5642" width="8.5546875" customWidth="1"/>
    <col min="5643" max="5643" width="8.33203125" customWidth="1"/>
    <col min="5644" max="5644" width="8.44140625" customWidth="1"/>
    <col min="5645" max="5645" width="8.6640625" customWidth="1"/>
    <col min="5889" max="5889" width="13.88671875" customWidth="1"/>
    <col min="5890" max="5890" width="8.33203125" customWidth="1"/>
    <col min="5891" max="5893" width="8.109375" customWidth="1"/>
    <col min="5894" max="5894" width="8" customWidth="1"/>
    <col min="5895" max="5895" width="7.33203125" customWidth="1"/>
    <col min="5896" max="5896" width="8.44140625" customWidth="1"/>
    <col min="5897" max="5897" width="8.109375" customWidth="1"/>
    <col min="5898" max="5898" width="8.5546875" customWidth="1"/>
    <col min="5899" max="5899" width="8.33203125" customWidth="1"/>
    <col min="5900" max="5900" width="8.44140625" customWidth="1"/>
    <col min="5901" max="5901" width="8.6640625" customWidth="1"/>
    <col min="6145" max="6145" width="13.88671875" customWidth="1"/>
    <col min="6146" max="6146" width="8.33203125" customWidth="1"/>
    <col min="6147" max="6149" width="8.109375" customWidth="1"/>
    <col min="6150" max="6150" width="8" customWidth="1"/>
    <col min="6151" max="6151" width="7.33203125" customWidth="1"/>
    <col min="6152" max="6152" width="8.44140625" customWidth="1"/>
    <col min="6153" max="6153" width="8.109375" customWidth="1"/>
    <col min="6154" max="6154" width="8.5546875" customWidth="1"/>
    <col min="6155" max="6155" width="8.33203125" customWidth="1"/>
    <col min="6156" max="6156" width="8.44140625" customWidth="1"/>
    <col min="6157" max="6157" width="8.6640625" customWidth="1"/>
    <col min="6401" max="6401" width="13.88671875" customWidth="1"/>
    <col min="6402" max="6402" width="8.33203125" customWidth="1"/>
    <col min="6403" max="6405" width="8.109375" customWidth="1"/>
    <col min="6406" max="6406" width="8" customWidth="1"/>
    <col min="6407" max="6407" width="7.33203125" customWidth="1"/>
    <col min="6408" max="6408" width="8.44140625" customWidth="1"/>
    <col min="6409" max="6409" width="8.109375" customWidth="1"/>
    <col min="6410" max="6410" width="8.5546875" customWidth="1"/>
    <col min="6411" max="6411" width="8.33203125" customWidth="1"/>
    <col min="6412" max="6412" width="8.44140625" customWidth="1"/>
    <col min="6413" max="6413" width="8.6640625" customWidth="1"/>
    <col min="6657" max="6657" width="13.88671875" customWidth="1"/>
    <col min="6658" max="6658" width="8.33203125" customWidth="1"/>
    <col min="6659" max="6661" width="8.109375" customWidth="1"/>
    <col min="6662" max="6662" width="8" customWidth="1"/>
    <col min="6663" max="6663" width="7.33203125" customWidth="1"/>
    <col min="6664" max="6664" width="8.44140625" customWidth="1"/>
    <col min="6665" max="6665" width="8.109375" customWidth="1"/>
    <col min="6666" max="6666" width="8.5546875" customWidth="1"/>
    <col min="6667" max="6667" width="8.33203125" customWidth="1"/>
    <col min="6668" max="6668" width="8.44140625" customWidth="1"/>
    <col min="6669" max="6669" width="8.6640625" customWidth="1"/>
    <col min="6913" max="6913" width="13.88671875" customWidth="1"/>
    <col min="6914" max="6914" width="8.33203125" customWidth="1"/>
    <col min="6915" max="6917" width="8.109375" customWidth="1"/>
    <col min="6918" max="6918" width="8" customWidth="1"/>
    <col min="6919" max="6919" width="7.33203125" customWidth="1"/>
    <col min="6920" max="6920" width="8.44140625" customWidth="1"/>
    <col min="6921" max="6921" width="8.109375" customWidth="1"/>
    <col min="6922" max="6922" width="8.5546875" customWidth="1"/>
    <col min="6923" max="6923" width="8.33203125" customWidth="1"/>
    <col min="6924" max="6924" width="8.44140625" customWidth="1"/>
    <col min="6925" max="6925" width="8.6640625" customWidth="1"/>
    <col min="7169" max="7169" width="13.88671875" customWidth="1"/>
    <col min="7170" max="7170" width="8.33203125" customWidth="1"/>
    <col min="7171" max="7173" width="8.109375" customWidth="1"/>
    <col min="7174" max="7174" width="8" customWidth="1"/>
    <col min="7175" max="7175" width="7.33203125" customWidth="1"/>
    <col min="7176" max="7176" width="8.44140625" customWidth="1"/>
    <col min="7177" max="7177" width="8.109375" customWidth="1"/>
    <col min="7178" max="7178" width="8.5546875" customWidth="1"/>
    <col min="7179" max="7179" width="8.33203125" customWidth="1"/>
    <col min="7180" max="7180" width="8.44140625" customWidth="1"/>
    <col min="7181" max="7181" width="8.6640625" customWidth="1"/>
    <col min="7425" max="7425" width="13.88671875" customWidth="1"/>
    <col min="7426" max="7426" width="8.33203125" customWidth="1"/>
    <col min="7427" max="7429" width="8.109375" customWidth="1"/>
    <col min="7430" max="7430" width="8" customWidth="1"/>
    <col min="7431" max="7431" width="7.33203125" customWidth="1"/>
    <col min="7432" max="7432" width="8.44140625" customWidth="1"/>
    <col min="7433" max="7433" width="8.109375" customWidth="1"/>
    <col min="7434" max="7434" width="8.5546875" customWidth="1"/>
    <col min="7435" max="7435" width="8.33203125" customWidth="1"/>
    <col min="7436" max="7436" width="8.44140625" customWidth="1"/>
    <col min="7437" max="7437" width="8.6640625" customWidth="1"/>
    <col min="7681" max="7681" width="13.88671875" customWidth="1"/>
    <col min="7682" max="7682" width="8.33203125" customWidth="1"/>
    <col min="7683" max="7685" width="8.109375" customWidth="1"/>
    <col min="7686" max="7686" width="8" customWidth="1"/>
    <col min="7687" max="7687" width="7.33203125" customWidth="1"/>
    <col min="7688" max="7688" width="8.44140625" customWidth="1"/>
    <col min="7689" max="7689" width="8.109375" customWidth="1"/>
    <col min="7690" max="7690" width="8.5546875" customWidth="1"/>
    <col min="7691" max="7691" width="8.33203125" customWidth="1"/>
    <col min="7692" max="7692" width="8.44140625" customWidth="1"/>
    <col min="7693" max="7693" width="8.6640625" customWidth="1"/>
    <col min="7937" max="7937" width="13.88671875" customWidth="1"/>
    <col min="7938" max="7938" width="8.33203125" customWidth="1"/>
    <col min="7939" max="7941" width="8.109375" customWidth="1"/>
    <col min="7942" max="7942" width="8" customWidth="1"/>
    <col min="7943" max="7943" width="7.33203125" customWidth="1"/>
    <col min="7944" max="7944" width="8.44140625" customWidth="1"/>
    <col min="7945" max="7945" width="8.109375" customWidth="1"/>
    <col min="7946" max="7946" width="8.5546875" customWidth="1"/>
    <col min="7947" max="7947" width="8.33203125" customWidth="1"/>
    <col min="7948" max="7948" width="8.44140625" customWidth="1"/>
    <col min="7949" max="7949" width="8.6640625" customWidth="1"/>
    <col min="8193" max="8193" width="13.88671875" customWidth="1"/>
    <col min="8194" max="8194" width="8.33203125" customWidth="1"/>
    <col min="8195" max="8197" width="8.109375" customWidth="1"/>
    <col min="8198" max="8198" width="8" customWidth="1"/>
    <col min="8199" max="8199" width="7.33203125" customWidth="1"/>
    <col min="8200" max="8200" width="8.44140625" customWidth="1"/>
    <col min="8201" max="8201" width="8.109375" customWidth="1"/>
    <col min="8202" max="8202" width="8.5546875" customWidth="1"/>
    <col min="8203" max="8203" width="8.33203125" customWidth="1"/>
    <col min="8204" max="8204" width="8.44140625" customWidth="1"/>
    <col min="8205" max="8205" width="8.6640625" customWidth="1"/>
    <col min="8449" max="8449" width="13.88671875" customWidth="1"/>
    <col min="8450" max="8450" width="8.33203125" customWidth="1"/>
    <col min="8451" max="8453" width="8.109375" customWidth="1"/>
    <col min="8454" max="8454" width="8" customWidth="1"/>
    <col min="8455" max="8455" width="7.33203125" customWidth="1"/>
    <col min="8456" max="8456" width="8.44140625" customWidth="1"/>
    <col min="8457" max="8457" width="8.109375" customWidth="1"/>
    <col min="8458" max="8458" width="8.5546875" customWidth="1"/>
    <col min="8459" max="8459" width="8.33203125" customWidth="1"/>
    <col min="8460" max="8460" width="8.44140625" customWidth="1"/>
    <col min="8461" max="8461" width="8.6640625" customWidth="1"/>
    <col min="8705" max="8705" width="13.88671875" customWidth="1"/>
    <col min="8706" max="8706" width="8.33203125" customWidth="1"/>
    <col min="8707" max="8709" width="8.109375" customWidth="1"/>
    <col min="8710" max="8710" width="8" customWidth="1"/>
    <col min="8711" max="8711" width="7.33203125" customWidth="1"/>
    <col min="8712" max="8712" width="8.44140625" customWidth="1"/>
    <col min="8713" max="8713" width="8.109375" customWidth="1"/>
    <col min="8714" max="8714" width="8.5546875" customWidth="1"/>
    <col min="8715" max="8715" width="8.33203125" customWidth="1"/>
    <col min="8716" max="8716" width="8.44140625" customWidth="1"/>
    <col min="8717" max="8717" width="8.6640625" customWidth="1"/>
    <col min="8961" max="8961" width="13.88671875" customWidth="1"/>
    <col min="8962" max="8962" width="8.33203125" customWidth="1"/>
    <col min="8963" max="8965" width="8.109375" customWidth="1"/>
    <col min="8966" max="8966" width="8" customWidth="1"/>
    <col min="8967" max="8967" width="7.33203125" customWidth="1"/>
    <col min="8968" max="8968" width="8.44140625" customWidth="1"/>
    <col min="8969" max="8969" width="8.109375" customWidth="1"/>
    <col min="8970" max="8970" width="8.5546875" customWidth="1"/>
    <col min="8971" max="8971" width="8.33203125" customWidth="1"/>
    <col min="8972" max="8972" width="8.44140625" customWidth="1"/>
    <col min="8973" max="8973" width="8.6640625" customWidth="1"/>
    <col min="9217" max="9217" width="13.88671875" customWidth="1"/>
    <col min="9218" max="9218" width="8.33203125" customWidth="1"/>
    <col min="9219" max="9221" width="8.109375" customWidth="1"/>
    <col min="9222" max="9222" width="8" customWidth="1"/>
    <col min="9223" max="9223" width="7.33203125" customWidth="1"/>
    <col min="9224" max="9224" width="8.44140625" customWidth="1"/>
    <col min="9225" max="9225" width="8.109375" customWidth="1"/>
    <col min="9226" max="9226" width="8.5546875" customWidth="1"/>
    <col min="9227" max="9227" width="8.33203125" customWidth="1"/>
    <col min="9228" max="9228" width="8.44140625" customWidth="1"/>
    <col min="9229" max="9229" width="8.6640625" customWidth="1"/>
    <col min="9473" max="9473" width="13.88671875" customWidth="1"/>
    <col min="9474" max="9474" width="8.33203125" customWidth="1"/>
    <col min="9475" max="9477" width="8.109375" customWidth="1"/>
    <col min="9478" max="9478" width="8" customWidth="1"/>
    <col min="9479" max="9479" width="7.33203125" customWidth="1"/>
    <col min="9480" max="9480" width="8.44140625" customWidth="1"/>
    <col min="9481" max="9481" width="8.109375" customWidth="1"/>
    <col min="9482" max="9482" width="8.5546875" customWidth="1"/>
    <col min="9483" max="9483" width="8.33203125" customWidth="1"/>
    <col min="9484" max="9484" width="8.44140625" customWidth="1"/>
    <col min="9485" max="9485" width="8.6640625" customWidth="1"/>
    <col min="9729" max="9729" width="13.88671875" customWidth="1"/>
    <col min="9730" max="9730" width="8.33203125" customWidth="1"/>
    <col min="9731" max="9733" width="8.109375" customWidth="1"/>
    <col min="9734" max="9734" width="8" customWidth="1"/>
    <col min="9735" max="9735" width="7.33203125" customWidth="1"/>
    <col min="9736" max="9736" width="8.44140625" customWidth="1"/>
    <col min="9737" max="9737" width="8.109375" customWidth="1"/>
    <col min="9738" max="9738" width="8.5546875" customWidth="1"/>
    <col min="9739" max="9739" width="8.33203125" customWidth="1"/>
    <col min="9740" max="9740" width="8.44140625" customWidth="1"/>
    <col min="9741" max="9741" width="8.6640625" customWidth="1"/>
    <col min="9985" max="9985" width="13.88671875" customWidth="1"/>
    <col min="9986" max="9986" width="8.33203125" customWidth="1"/>
    <col min="9987" max="9989" width="8.109375" customWidth="1"/>
    <col min="9990" max="9990" width="8" customWidth="1"/>
    <col min="9991" max="9991" width="7.33203125" customWidth="1"/>
    <col min="9992" max="9992" width="8.44140625" customWidth="1"/>
    <col min="9993" max="9993" width="8.109375" customWidth="1"/>
    <col min="9994" max="9994" width="8.5546875" customWidth="1"/>
    <col min="9995" max="9995" width="8.33203125" customWidth="1"/>
    <col min="9996" max="9996" width="8.44140625" customWidth="1"/>
    <col min="9997" max="9997" width="8.6640625" customWidth="1"/>
    <col min="10241" max="10241" width="13.88671875" customWidth="1"/>
    <col min="10242" max="10242" width="8.33203125" customWidth="1"/>
    <col min="10243" max="10245" width="8.109375" customWidth="1"/>
    <col min="10246" max="10246" width="8" customWidth="1"/>
    <col min="10247" max="10247" width="7.33203125" customWidth="1"/>
    <col min="10248" max="10248" width="8.44140625" customWidth="1"/>
    <col min="10249" max="10249" width="8.109375" customWidth="1"/>
    <col min="10250" max="10250" width="8.5546875" customWidth="1"/>
    <col min="10251" max="10251" width="8.33203125" customWidth="1"/>
    <col min="10252" max="10252" width="8.44140625" customWidth="1"/>
    <col min="10253" max="10253" width="8.6640625" customWidth="1"/>
    <col min="10497" max="10497" width="13.88671875" customWidth="1"/>
    <col min="10498" max="10498" width="8.33203125" customWidth="1"/>
    <col min="10499" max="10501" width="8.109375" customWidth="1"/>
    <col min="10502" max="10502" width="8" customWidth="1"/>
    <col min="10503" max="10503" width="7.33203125" customWidth="1"/>
    <col min="10504" max="10504" width="8.44140625" customWidth="1"/>
    <col min="10505" max="10505" width="8.109375" customWidth="1"/>
    <col min="10506" max="10506" width="8.5546875" customWidth="1"/>
    <col min="10507" max="10507" width="8.33203125" customWidth="1"/>
    <col min="10508" max="10508" width="8.44140625" customWidth="1"/>
    <col min="10509" max="10509" width="8.6640625" customWidth="1"/>
    <col min="10753" max="10753" width="13.88671875" customWidth="1"/>
    <col min="10754" max="10754" width="8.33203125" customWidth="1"/>
    <col min="10755" max="10757" width="8.109375" customWidth="1"/>
    <col min="10758" max="10758" width="8" customWidth="1"/>
    <col min="10759" max="10759" width="7.33203125" customWidth="1"/>
    <col min="10760" max="10760" width="8.44140625" customWidth="1"/>
    <col min="10761" max="10761" width="8.109375" customWidth="1"/>
    <col min="10762" max="10762" width="8.5546875" customWidth="1"/>
    <col min="10763" max="10763" width="8.33203125" customWidth="1"/>
    <col min="10764" max="10764" width="8.44140625" customWidth="1"/>
    <col min="10765" max="10765" width="8.6640625" customWidth="1"/>
    <col min="11009" max="11009" width="13.88671875" customWidth="1"/>
    <col min="11010" max="11010" width="8.33203125" customWidth="1"/>
    <col min="11011" max="11013" width="8.109375" customWidth="1"/>
    <col min="11014" max="11014" width="8" customWidth="1"/>
    <col min="11015" max="11015" width="7.33203125" customWidth="1"/>
    <col min="11016" max="11016" width="8.44140625" customWidth="1"/>
    <col min="11017" max="11017" width="8.109375" customWidth="1"/>
    <col min="11018" max="11018" width="8.5546875" customWidth="1"/>
    <col min="11019" max="11019" width="8.33203125" customWidth="1"/>
    <col min="11020" max="11020" width="8.44140625" customWidth="1"/>
    <col min="11021" max="11021" width="8.6640625" customWidth="1"/>
    <col min="11265" max="11265" width="13.88671875" customWidth="1"/>
    <col min="11266" max="11266" width="8.33203125" customWidth="1"/>
    <col min="11267" max="11269" width="8.109375" customWidth="1"/>
    <col min="11270" max="11270" width="8" customWidth="1"/>
    <col min="11271" max="11271" width="7.33203125" customWidth="1"/>
    <col min="11272" max="11272" width="8.44140625" customWidth="1"/>
    <col min="11273" max="11273" width="8.109375" customWidth="1"/>
    <col min="11274" max="11274" width="8.5546875" customWidth="1"/>
    <col min="11275" max="11275" width="8.33203125" customWidth="1"/>
    <col min="11276" max="11276" width="8.44140625" customWidth="1"/>
    <col min="11277" max="11277" width="8.6640625" customWidth="1"/>
    <col min="11521" max="11521" width="13.88671875" customWidth="1"/>
    <col min="11522" max="11522" width="8.33203125" customWidth="1"/>
    <col min="11523" max="11525" width="8.109375" customWidth="1"/>
    <col min="11526" max="11526" width="8" customWidth="1"/>
    <col min="11527" max="11527" width="7.33203125" customWidth="1"/>
    <col min="11528" max="11528" width="8.44140625" customWidth="1"/>
    <col min="11529" max="11529" width="8.109375" customWidth="1"/>
    <col min="11530" max="11530" width="8.5546875" customWidth="1"/>
    <col min="11531" max="11531" width="8.33203125" customWidth="1"/>
    <col min="11532" max="11532" width="8.44140625" customWidth="1"/>
    <col min="11533" max="11533" width="8.6640625" customWidth="1"/>
    <col min="11777" max="11777" width="13.88671875" customWidth="1"/>
    <col min="11778" max="11778" width="8.33203125" customWidth="1"/>
    <col min="11779" max="11781" width="8.109375" customWidth="1"/>
    <col min="11782" max="11782" width="8" customWidth="1"/>
    <col min="11783" max="11783" width="7.33203125" customWidth="1"/>
    <col min="11784" max="11784" width="8.44140625" customWidth="1"/>
    <col min="11785" max="11785" width="8.109375" customWidth="1"/>
    <col min="11786" max="11786" width="8.5546875" customWidth="1"/>
    <col min="11787" max="11787" width="8.33203125" customWidth="1"/>
    <col min="11788" max="11788" width="8.44140625" customWidth="1"/>
    <col min="11789" max="11789" width="8.6640625" customWidth="1"/>
    <col min="12033" max="12033" width="13.88671875" customWidth="1"/>
    <col min="12034" max="12034" width="8.33203125" customWidth="1"/>
    <col min="12035" max="12037" width="8.109375" customWidth="1"/>
    <col min="12038" max="12038" width="8" customWidth="1"/>
    <col min="12039" max="12039" width="7.33203125" customWidth="1"/>
    <col min="12040" max="12040" width="8.44140625" customWidth="1"/>
    <col min="12041" max="12041" width="8.109375" customWidth="1"/>
    <col min="12042" max="12042" width="8.5546875" customWidth="1"/>
    <col min="12043" max="12043" width="8.33203125" customWidth="1"/>
    <col min="12044" max="12044" width="8.44140625" customWidth="1"/>
    <col min="12045" max="12045" width="8.6640625" customWidth="1"/>
    <col min="12289" max="12289" width="13.88671875" customWidth="1"/>
    <col min="12290" max="12290" width="8.33203125" customWidth="1"/>
    <col min="12291" max="12293" width="8.109375" customWidth="1"/>
    <col min="12294" max="12294" width="8" customWidth="1"/>
    <col min="12295" max="12295" width="7.33203125" customWidth="1"/>
    <col min="12296" max="12296" width="8.44140625" customWidth="1"/>
    <col min="12297" max="12297" width="8.109375" customWidth="1"/>
    <col min="12298" max="12298" width="8.5546875" customWidth="1"/>
    <col min="12299" max="12299" width="8.33203125" customWidth="1"/>
    <col min="12300" max="12300" width="8.44140625" customWidth="1"/>
    <col min="12301" max="12301" width="8.6640625" customWidth="1"/>
    <col min="12545" max="12545" width="13.88671875" customWidth="1"/>
    <col min="12546" max="12546" width="8.33203125" customWidth="1"/>
    <col min="12547" max="12549" width="8.109375" customWidth="1"/>
    <col min="12550" max="12550" width="8" customWidth="1"/>
    <col min="12551" max="12551" width="7.33203125" customWidth="1"/>
    <col min="12552" max="12552" width="8.44140625" customWidth="1"/>
    <col min="12553" max="12553" width="8.109375" customWidth="1"/>
    <col min="12554" max="12554" width="8.5546875" customWidth="1"/>
    <col min="12555" max="12555" width="8.33203125" customWidth="1"/>
    <col min="12556" max="12556" width="8.44140625" customWidth="1"/>
    <col min="12557" max="12557" width="8.6640625" customWidth="1"/>
    <col min="12801" max="12801" width="13.88671875" customWidth="1"/>
    <col min="12802" max="12802" width="8.33203125" customWidth="1"/>
    <col min="12803" max="12805" width="8.109375" customWidth="1"/>
    <col min="12806" max="12806" width="8" customWidth="1"/>
    <col min="12807" max="12807" width="7.33203125" customWidth="1"/>
    <col min="12808" max="12808" width="8.44140625" customWidth="1"/>
    <col min="12809" max="12809" width="8.109375" customWidth="1"/>
    <col min="12810" max="12810" width="8.5546875" customWidth="1"/>
    <col min="12811" max="12811" width="8.33203125" customWidth="1"/>
    <col min="12812" max="12812" width="8.44140625" customWidth="1"/>
    <col min="12813" max="12813" width="8.6640625" customWidth="1"/>
    <col min="13057" max="13057" width="13.88671875" customWidth="1"/>
    <col min="13058" max="13058" width="8.33203125" customWidth="1"/>
    <col min="13059" max="13061" width="8.109375" customWidth="1"/>
    <col min="13062" max="13062" width="8" customWidth="1"/>
    <col min="13063" max="13063" width="7.33203125" customWidth="1"/>
    <col min="13064" max="13064" width="8.44140625" customWidth="1"/>
    <col min="13065" max="13065" width="8.109375" customWidth="1"/>
    <col min="13066" max="13066" width="8.5546875" customWidth="1"/>
    <col min="13067" max="13067" width="8.33203125" customWidth="1"/>
    <col min="13068" max="13068" width="8.44140625" customWidth="1"/>
    <col min="13069" max="13069" width="8.6640625" customWidth="1"/>
    <col min="13313" max="13313" width="13.88671875" customWidth="1"/>
    <col min="13314" max="13314" width="8.33203125" customWidth="1"/>
    <col min="13315" max="13317" width="8.109375" customWidth="1"/>
    <col min="13318" max="13318" width="8" customWidth="1"/>
    <col min="13319" max="13319" width="7.33203125" customWidth="1"/>
    <col min="13320" max="13320" width="8.44140625" customWidth="1"/>
    <col min="13321" max="13321" width="8.109375" customWidth="1"/>
    <col min="13322" max="13322" width="8.5546875" customWidth="1"/>
    <col min="13323" max="13323" width="8.33203125" customWidth="1"/>
    <col min="13324" max="13324" width="8.44140625" customWidth="1"/>
    <col min="13325" max="13325" width="8.6640625" customWidth="1"/>
    <col min="13569" max="13569" width="13.88671875" customWidth="1"/>
    <col min="13570" max="13570" width="8.33203125" customWidth="1"/>
    <col min="13571" max="13573" width="8.109375" customWidth="1"/>
    <col min="13574" max="13574" width="8" customWidth="1"/>
    <col min="13575" max="13575" width="7.33203125" customWidth="1"/>
    <col min="13576" max="13576" width="8.44140625" customWidth="1"/>
    <col min="13577" max="13577" width="8.109375" customWidth="1"/>
    <col min="13578" max="13578" width="8.5546875" customWidth="1"/>
    <col min="13579" max="13579" width="8.33203125" customWidth="1"/>
    <col min="13580" max="13580" width="8.44140625" customWidth="1"/>
    <col min="13581" max="13581" width="8.6640625" customWidth="1"/>
    <col min="13825" max="13825" width="13.88671875" customWidth="1"/>
    <col min="13826" max="13826" width="8.33203125" customWidth="1"/>
    <col min="13827" max="13829" width="8.109375" customWidth="1"/>
    <col min="13830" max="13830" width="8" customWidth="1"/>
    <col min="13831" max="13831" width="7.33203125" customWidth="1"/>
    <col min="13832" max="13832" width="8.44140625" customWidth="1"/>
    <col min="13833" max="13833" width="8.109375" customWidth="1"/>
    <col min="13834" max="13834" width="8.5546875" customWidth="1"/>
    <col min="13835" max="13835" width="8.33203125" customWidth="1"/>
    <col min="13836" max="13836" width="8.44140625" customWidth="1"/>
    <col min="13837" max="13837" width="8.6640625" customWidth="1"/>
    <col min="14081" max="14081" width="13.88671875" customWidth="1"/>
    <col min="14082" max="14082" width="8.33203125" customWidth="1"/>
    <col min="14083" max="14085" width="8.109375" customWidth="1"/>
    <col min="14086" max="14086" width="8" customWidth="1"/>
    <col min="14087" max="14087" width="7.33203125" customWidth="1"/>
    <col min="14088" max="14088" width="8.44140625" customWidth="1"/>
    <col min="14089" max="14089" width="8.109375" customWidth="1"/>
    <col min="14090" max="14090" width="8.5546875" customWidth="1"/>
    <col min="14091" max="14091" width="8.33203125" customWidth="1"/>
    <col min="14092" max="14092" width="8.44140625" customWidth="1"/>
    <col min="14093" max="14093" width="8.6640625" customWidth="1"/>
    <col min="14337" max="14337" width="13.88671875" customWidth="1"/>
    <col min="14338" max="14338" width="8.33203125" customWidth="1"/>
    <col min="14339" max="14341" width="8.109375" customWidth="1"/>
    <col min="14342" max="14342" width="8" customWidth="1"/>
    <col min="14343" max="14343" width="7.33203125" customWidth="1"/>
    <col min="14344" max="14344" width="8.44140625" customWidth="1"/>
    <col min="14345" max="14345" width="8.109375" customWidth="1"/>
    <col min="14346" max="14346" width="8.5546875" customWidth="1"/>
    <col min="14347" max="14347" width="8.33203125" customWidth="1"/>
    <col min="14348" max="14348" width="8.44140625" customWidth="1"/>
    <col min="14349" max="14349" width="8.6640625" customWidth="1"/>
    <col min="14593" max="14593" width="13.88671875" customWidth="1"/>
    <col min="14594" max="14594" width="8.33203125" customWidth="1"/>
    <col min="14595" max="14597" width="8.109375" customWidth="1"/>
    <col min="14598" max="14598" width="8" customWidth="1"/>
    <col min="14599" max="14599" width="7.33203125" customWidth="1"/>
    <col min="14600" max="14600" width="8.44140625" customWidth="1"/>
    <col min="14601" max="14601" width="8.109375" customWidth="1"/>
    <col min="14602" max="14602" width="8.5546875" customWidth="1"/>
    <col min="14603" max="14603" width="8.33203125" customWidth="1"/>
    <col min="14604" max="14604" width="8.44140625" customWidth="1"/>
    <col min="14605" max="14605" width="8.6640625" customWidth="1"/>
    <col min="14849" max="14849" width="13.88671875" customWidth="1"/>
    <col min="14850" max="14850" width="8.33203125" customWidth="1"/>
    <col min="14851" max="14853" width="8.109375" customWidth="1"/>
    <col min="14854" max="14854" width="8" customWidth="1"/>
    <col min="14855" max="14855" width="7.33203125" customWidth="1"/>
    <col min="14856" max="14856" width="8.44140625" customWidth="1"/>
    <col min="14857" max="14857" width="8.109375" customWidth="1"/>
    <col min="14858" max="14858" width="8.5546875" customWidth="1"/>
    <col min="14859" max="14859" width="8.33203125" customWidth="1"/>
    <col min="14860" max="14860" width="8.44140625" customWidth="1"/>
    <col min="14861" max="14861" width="8.6640625" customWidth="1"/>
    <col min="15105" max="15105" width="13.88671875" customWidth="1"/>
    <col min="15106" max="15106" width="8.33203125" customWidth="1"/>
    <col min="15107" max="15109" width="8.109375" customWidth="1"/>
    <col min="15110" max="15110" width="8" customWidth="1"/>
    <col min="15111" max="15111" width="7.33203125" customWidth="1"/>
    <col min="15112" max="15112" width="8.44140625" customWidth="1"/>
    <col min="15113" max="15113" width="8.109375" customWidth="1"/>
    <col min="15114" max="15114" width="8.5546875" customWidth="1"/>
    <col min="15115" max="15115" width="8.33203125" customWidth="1"/>
    <col min="15116" max="15116" width="8.44140625" customWidth="1"/>
    <col min="15117" max="15117" width="8.6640625" customWidth="1"/>
    <col min="15361" max="15361" width="13.88671875" customWidth="1"/>
    <col min="15362" max="15362" width="8.33203125" customWidth="1"/>
    <col min="15363" max="15365" width="8.109375" customWidth="1"/>
    <col min="15366" max="15366" width="8" customWidth="1"/>
    <col min="15367" max="15367" width="7.33203125" customWidth="1"/>
    <col min="15368" max="15368" width="8.44140625" customWidth="1"/>
    <col min="15369" max="15369" width="8.109375" customWidth="1"/>
    <col min="15370" max="15370" width="8.5546875" customWidth="1"/>
    <col min="15371" max="15371" width="8.33203125" customWidth="1"/>
    <col min="15372" max="15372" width="8.44140625" customWidth="1"/>
    <col min="15373" max="15373" width="8.6640625" customWidth="1"/>
    <col min="15617" max="15617" width="13.88671875" customWidth="1"/>
    <col min="15618" max="15618" width="8.33203125" customWidth="1"/>
    <col min="15619" max="15621" width="8.109375" customWidth="1"/>
    <col min="15622" max="15622" width="8" customWidth="1"/>
    <col min="15623" max="15623" width="7.33203125" customWidth="1"/>
    <col min="15624" max="15624" width="8.44140625" customWidth="1"/>
    <col min="15625" max="15625" width="8.109375" customWidth="1"/>
    <col min="15626" max="15626" width="8.5546875" customWidth="1"/>
    <col min="15627" max="15627" width="8.33203125" customWidth="1"/>
    <col min="15628" max="15628" width="8.44140625" customWidth="1"/>
    <col min="15629" max="15629" width="8.6640625" customWidth="1"/>
    <col min="15873" max="15873" width="13.88671875" customWidth="1"/>
    <col min="15874" max="15874" width="8.33203125" customWidth="1"/>
    <col min="15875" max="15877" width="8.109375" customWidth="1"/>
    <col min="15878" max="15878" width="8" customWidth="1"/>
    <col min="15879" max="15879" width="7.33203125" customWidth="1"/>
    <col min="15880" max="15880" width="8.44140625" customWidth="1"/>
    <col min="15881" max="15881" width="8.109375" customWidth="1"/>
    <col min="15882" max="15882" width="8.5546875" customWidth="1"/>
    <col min="15883" max="15883" width="8.33203125" customWidth="1"/>
    <col min="15884" max="15884" width="8.44140625" customWidth="1"/>
    <col min="15885" max="15885" width="8.6640625" customWidth="1"/>
    <col min="16129" max="16129" width="13.88671875" customWidth="1"/>
    <col min="16130" max="16130" width="8.33203125" customWidth="1"/>
    <col min="16131" max="16133" width="8.109375" customWidth="1"/>
    <col min="16134" max="16134" width="8" customWidth="1"/>
    <col min="16135" max="16135" width="7.33203125" customWidth="1"/>
    <col min="16136" max="16136" width="8.44140625" customWidth="1"/>
    <col min="16137" max="16137" width="8.109375" customWidth="1"/>
    <col min="16138" max="16138" width="8.5546875" customWidth="1"/>
    <col min="16139" max="16139" width="8.33203125" customWidth="1"/>
    <col min="16140" max="16140" width="8.44140625" customWidth="1"/>
    <col min="16141" max="16141" width="8.6640625" customWidth="1"/>
  </cols>
  <sheetData>
    <row r="1" spans="1:18" ht="22.2" customHeight="1" x14ac:dyDescent="0.3">
      <c r="A1" s="128" t="s">
        <v>151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8" ht="22.2" customHeight="1" x14ac:dyDescent="0.3">
      <c r="A2" s="128" t="s">
        <v>166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8" x14ac:dyDescent="0.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1:18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</row>
    <row r="5" spans="1:18" x14ac:dyDescent="0.3">
      <c r="A5" s="130" t="s">
        <v>152</v>
      </c>
      <c r="B5" s="132" t="s">
        <v>153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4"/>
    </row>
    <row r="6" spans="1:18" ht="39.6" x14ac:dyDescent="0.3">
      <c r="A6" s="131"/>
      <c r="B6" s="86" t="s">
        <v>154</v>
      </c>
      <c r="C6" s="87" t="s">
        <v>155</v>
      </c>
      <c r="D6" s="87" t="s">
        <v>156</v>
      </c>
      <c r="E6" s="87" t="s">
        <v>79</v>
      </c>
      <c r="F6" s="87" t="s">
        <v>80</v>
      </c>
      <c r="G6" s="88" t="s">
        <v>81</v>
      </c>
      <c r="H6" s="87" t="s">
        <v>82</v>
      </c>
      <c r="I6" s="87" t="s">
        <v>83</v>
      </c>
      <c r="J6" s="87" t="s">
        <v>84</v>
      </c>
      <c r="K6" s="87" t="s">
        <v>157</v>
      </c>
      <c r="L6" s="87" t="s">
        <v>158</v>
      </c>
      <c r="M6" s="87" t="s">
        <v>159</v>
      </c>
      <c r="N6" s="87" t="s">
        <v>160</v>
      </c>
      <c r="O6" s="87" t="s">
        <v>128</v>
      </c>
    </row>
    <row r="7" spans="1:18" x14ac:dyDescent="0.3">
      <c r="A7" s="89" t="s">
        <v>161</v>
      </c>
      <c r="B7" s="89">
        <v>1</v>
      </c>
      <c r="C7" s="89">
        <v>2</v>
      </c>
      <c r="D7" s="89">
        <v>3</v>
      </c>
      <c r="E7" s="89">
        <v>4</v>
      </c>
      <c r="F7" s="89">
        <v>5</v>
      </c>
      <c r="G7" s="89">
        <v>6</v>
      </c>
      <c r="H7" s="89">
        <v>7</v>
      </c>
      <c r="I7" s="89">
        <v>8</v>
      </c>
      <c r="J7" s="89">
        <v>9</v>
      </c>
      <c r="K7" s="89">
        <v>10</v>
      </c>
      <c r="L7" s="89">
        <v>11</v>
      </c>
      <c r="M7" s="89">
        <v>12</v>
      </c>
      <c r="N7" s="89">
        <v>13</v>
      </c>
      <c r="O7" s="89">
        <v>14</v>
      </c>
      <c r="P7" t="s">
        <v>172</v>
      </c>
      <c r="Q7" t="s">
        <v>174</v>
      </c>
      <c r="R7" t="s">
        <v>175</v>
      </c>
    </row>
    <row r="8" spans="1:18" x14ac:dyDescent="0.3">
      <c r="A8" s="35" t="s">
        <v>162</v>
      </c>
      <c r="B8" s="35">
        <v>1</v>
      </c>
      <c r="C8" s="35">
        <v>3</v>
      </c>
      <c r="D8" s="35">
        <v>1</v>
      </c>
      <c r="E8" s="35">
        <v>5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10</v>
      </c>
      <c r="P8" s="35">
        <v>15</v>
      </c>
      <c r="Q8">
        <f>(O8/SUM($O$8:$O$19)/2)</f>
        <v>2.5106703489831785E-4</v>
      </c>
      <c r="R8">
        <f>O8</f>
        <v>10</v>
      </c>
    </row>
    <row r="9" spans="1:18" x14ac:dyDescent="0.3">
      <c r="A9" s="35" t="s">
        <v>155</v>
      </c>
      <c r="B9" s="35">
        <v>0</v>
      </c>
      <c r="C9" s="35">
        <v>9</v>
      </c>
      <c r="D9" s="35">
        <v>16</v>
      </c>
      <c r="E9" s="35">
        <v>26</v>
      </c>
      <c r="F9" s="35">
        <v>3</v>
      </c>
      <c r="G9" s="35">
        <v>1</v>
      </c>
      <c r="H9" s="35">
        <v>1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56</v>
      </c>
      <c r="P9">
        <v>17</v>
      </c>
      <c r="Q9">
        <f t="shared" ref="Q9:Q10" si="0">(O9/SUM($O$8:$O$19)/2)</f>
        <v>1.4059753954305801E-3</v>
      </c>
      <c r="R9">
        <f>R8+O9</f>
        <v>66</v>
      </c>
    </row>
    <row r="10" spans="1:18" x14ac:dyDescent="0.3">
      <c r="A10" s="35" t="s">
        <v>156</v>
      </c>
      <c r="B10" s="35">
        <v>0</v>
      </c>
      <c r="C10" s="35">
        <v>1</v>
      </c>
      <c r="D10" s="35">
        <v>150</v>
      </c>
      <c r="E10" s="35">
        <v>611</v>
      </c>
      <c r="F10" s="35">
        <v>208</v>
      </c>
      <c r="G10" s="35">
        <v>54</v>
      </c>
      <c r="H10" s="35">
        <v>10</v>
      </c>
      <c r="I10" s="35">
        <v>5</v>
      </c>
      <c r="J10" s="35">
        <v>0</v>
      </c>
      <c r="K10" s="35">
        <v>0</v>
      </c>
      <c r="L10" s="35">
        <v>1</v>
      </c>
      <c r="M10" s="35">
        <v>0</v>
      </c>
      <c r="N10" s="35">
        <v>0</v>
      </c>
      <c r="O10" s="35">
        <v>1040</v>
      </c>
      <c r="P10" s="35">
        <v>19</v>
      </c>
      <c r="Q10">
        <f t="shared" si="0"/>
        <v>2.6110971629425057E-2</v>
      </c>
      <c r="R10">
        <f t="shared" ref="R10:R19" si="1">R9+O10</f>
        <v>1106</v>
      </c>
    </row>
    <row r="11" spans="1:18" x14ac:dyDescent="0.3">
      <c r="A11" s="35" t="s">
        <v>79</v>
      </c>
      <c r="B11" s="35">
        <v>0</v>
      </c>
      <c r="C11" s="35">
        <v>2</v>
      </c>
      <c r="D11" s="35">
        <v>70</v>
      </c>
      <c r="E11" s="35">
        <v>2491</v>
      </c>
      <c r="F11" s="35">
        <v>2028</v>
      </c>
      <c r="G11" s="35">
        <v>447</v>
      </c>
      <c r="H11" s="35">
        <v>101</v>
      </c>
      <c r="I11" s="35">
        <v>17</v>
      </c>
      <c r="J11" s="35">
        <v>6</v>
      </c>
      <c r="K11" s="35">
        <v>4</v>
      </c>
      <c r="L11" s="35">
        <v>0</v>
      </c>
      <c r="M11" s="35">
        <v>0</v>
      </c>
      <c r="N11" s="35">
        <v>0</v>
      </c>
      <c r="O11" s="35">
        <v>5166</v>
      </c>
      <c r="P11" s="35">
        <v>22.5</v>
      </c>
      <c r="Q11">
        <f>(O11/SUM($O$8:$O$19))/5</f>
        <v>5.1880492091388397E-2</v>
      </c>
      <c r="R11">
        <f t="shared" si="1"/>
        <v>6272</v>
      </c>
    </row>
    <row r="12" spans="1:18" x14ac:dyDescent="0.3">
      <c r="A12" s="35" t="s">
        <v>80</v>
      </c>
      <c r="B12" s="35">
        <v>0</v>
      </c>
      <c r="C12" s="35">
        <v>0</v>
      </c>
      <c r="D12" s="35">
        <v>11</v>
      </c>
      <c r="E12" s="35">
        <v>371</v>
      </c>
      <c r="F12" s="35">
        <v>1978</v>
      </c>
      <c r="G12" s="35">
        <v>1134</v>
      </c>
      <c r="H12" s="35">
        <v>332</v>
      </c>
      <c r="I12" s="35">
        <v>76</v>
      </c>
      <c r="J12" s="35">
        <v>17</v>
      </c>
      <c r="K12" s="35">
        <v>6</v>
      </c>
      <c r="L12" s="35">
        <v>2</v>
      </c>
      <c r="M12" s="35">
        <v>0</v>
      </c>
      <c r="N12" s="35">
        <v>0</v>
      </c>
      <c r="O12" s="35">
        <v>3927</v>
      </c>
      <c r="P12">
        <v>27.5</v>
      </c>
      <c r="Q12">
        <f t="shared" ref="Q12:Q19" si="2">(O12/SUM($O$8:$O$19))/5</f>
        <v>3.9437609841827773E-2</v>
      </c>
      <c r="R12">
        <f t="shared" si="1"/>
        <v>10199</v>
      </c>
    </row>
    <row r="13" spans="1:18" x14ac:dyDescent="0.3">
      <c r="A13" s="35" t="s">
        <v>81</v>
      </c>
      <c r="B13" s="35">
        <v>0</v>
      </c>
      <c r="C13" s="35">
        <v>0</v>
      </c>
      <c r="D13" s="35">
        <v>2</v>
      </c>
      <c r="E13" s="35">
        <v>69</v>
      </c>
      <c r="F13" s="35">
        <v>426</v>
      </c>
      <c r="G13" s="35">
        <v>1124</v>
      </c>
      <c r="H13" s="35">
        <v>772</v>
      </c>
      <c r="I13" s="35">
        <v>240</v>
      </c>
      <c r="J13" s="35">
        <v>67</v>
      </c>
      <c r="K13" s="35">
        <v>22</v>
      </c>
      <c r="L13" s="35">
        <v>4</v>
      </c>
      <c r="M13" s="35">
        <v>2</v>
      </c>
      <c r="N13" s="35">
        <v>0</v>
      </c>
      <c r="O13" s="35">
        <v>2728</v>
      </c>
      <c r="P13" s="35">
        <v>32.5</v>
      </c>
      <c r="Q13">
        <f t="shared" si="2"/>
        <v>2.7396434848104445E-2</v>
      </c>
      <c r="R13">
        <f t="shared" si="1"/>
        <v>12927</v>
      </c>
    </row>
    <row r="14" spans="1:18" x14ac:dyDescent="0.3">
      <c r="A14" s="35" t="s">
        <v>82</v>
      </c>
      <c r="B14" s="35">
        <v>0</v>
      </c>
      <c r="C14" s="35">
        <v>0</v>
      </c>
      <c r="D14" s="35">
        <v>2</v>
      </c>
      <c r="E14" s="35">
        <v>24</v>
      </c>
      <c r="F14" s="35">
        <v>145</v>
      </c>
      <c r="G14" s="35">
        <v>488</v>
      </c>
      <c r="H14" s="35">
        <v>959</v>
      </c>
      <c r="I14" s="35">
        <v>571</v>
      </c>
      <c r="J14" s="35">
        <v>228</v>
      </c>
      <c r="K14" s="35">
        <v>64</v>
      </c>
      <c r="L14" s="35">
        <v>22</v>
      </c>
      <c r="M14" s="35">
        <v>10</v>
      </c>
      <c r="N14" s="35">
        <v>0</v>
      </c>
      <c r="O14" s="35">
        <v>2513</v>
      </c>
      <c r="P14" s="35">
        <v>37.5</v>
      </c>
      <c r="Q14">
        <f t="shared" si="2"/>
        <v>2.5237258347978908E-2</v>
      </c>
      <c r="R14">
        <f t="shared" si="1"/>
        <v>15440</v>
      </c>
    </row>
    <row r="15" spans="1:18" x14ac:dyDescent="0.3">
      <c r="A15" s="35" t="s">
        <v>83</v>
      </c>
      <c r="B15" s="35">
        <v>0</v>
      </c>
      <c r="C15" s="35">
        <v>0</v>
      </c>
      <c r="D15" s="35">
        <v>1</v>
      </c>
      <c r="E15" s="35">
        <v>11</v>
      </c>
      <c r="F15" s="35">
        <v>31</v>
      </c>
      <c r="G15" s="35">
        <v>157</v>
      </c>
      <c r="H15" s="35">
        <v>373</v>
      </c>
      <c r="I15" s="35">
        <v>504</v>
      </c>
      <c r="J15" s="35">
        <v>334</v>
      </c>
      <c r="K15" s="35">
        <v>154</v>
      </c>
      <c r="L15" s="35">
        <v>50</v>
      </c>
      <c r="M15" s="35">
        <v>30</v>
      </c>
      <c r="N15" s="35">
        <v>0</v>
      </c>
      <c r="O15" s="35">
        <v>1645</v>
      </c>
      <c r="P15">
        <v>42.5</v>
      </c>
      <c r="Q15">
        <f t="shared" si="2"/>
        <v>1.6520210896309315E-2</v>
      </c>
      <c r="R15">
        <f t="shared" si="1"/>
        <v>17085</v>
      </c>
    </row>
    <row r="16" spans="1:18" x14ac:dyDescent="0.3">
      <c r="A16" s="35" t="s">
        <v>84</v>
      </c>
      <c r="B16" s="35">
        <v>0</v>
      </c>
      <c r="C16" s="35">
        <v>0</v>
      </c>
      <c r="D16" s="35">
        <v>0</v>
      </c>
      <c r="E16" s="35">
        <v>5</v>
      </c>
      <c r="F16" s="35">
        <v>10</v>
      </c>
      <c r="G16" s="35">
        <v>42</v>
      </c>
      <c r="H16" s="35">
        <v>108</v>
      </c>
      <c r="I16" s="35">
        <v>205</v>
      </c>
      <c r="J16" s="35">
        <v>389</v>
      </c>
      <c r="K16" s="35">
        <v>278</v>
      </c>
      <c r="L16" s="35">
        <v>126</v>
      </c>
      <c r="M16" s="35">
        <v>60</v>
      </c>
      <c r="N16" s="35">
        <v>0</v>
      </c>
      <c r="O16" s="35">
        <v>1223</v>
      </c>
      <c r="P16" s="35">
        <v>47.5</v>
      </c>
      <c r="Q16">
        <f t="shared" si="2"/>
        <v>1.2282199347225711E-2</v>
      </c>
      <c r="R16">
        <f t="shared" si="1"/>
        <v>18308</v>
      </c>
    </row>
    <row r="17" spans="1:18" x14ac:dyDescent="0.3">
      <c r="A17" s="35" t="s">
        <v>157</v>
      </c>
      <c r="B17" s="35">
        <v>0</v>
      </c>
      <c r="C17" s="35">
        <v>0</v>
      </c>
      <c r="D17" s="35">
        <v>0</v>
      </c>
      <c r="E17" s="35">
        <v>0</v>
      </c>
      <c r="F17" s="35">
        <v>1</v>
      </c>
      <c r="G17" s="35">
        <v>7</v>
      </c>
      <c r="H17" s="35">
        <v>31</v>
      </c>
      <c r="I17" s="35">
        <v>64</v>
      </c>
      <c r="J17" s="35">
        <v>121</v>
      </c>
      <c r="K17" s="35">
        <v>226</v>
      </c>
      <c r="L17" s="35">
        <v>155</v>
      </c>
      <c r="M17" s="35">
        <v>115</v>
      </c>
      <c r="N17" s="35">
        <v>0</v>
      </c>
      <c r="O17" s="35">
        <v>720</v>
      </c>
      <c r="P17" s="35">
        <v>52.5</v>
      </c>
      <c r="Q17">
        <f t="shared" si="2"/>
        <v>7.2307306050715548E-3</v>
      </c>
      <c r="R17">
        <f t="shared" si="1"/>
        <v>19028</v>
      </c>
    </row>
    <row r="18" spans="1:18" x14ac:dyDescent="0.3">
      <c r="A18" s="35" t="s">
        <v>158</v>
      </c>
      <c r="B18" s="35">
        <v>0</v>
      </c>
      <c r="C18" s="35">
        <v>0</v>
      </c>
      <c r="D18" s="35">
        <v>0</v>
      </c>
      <c r="E18" s="35">
        <v>0</v>
      </c>
      <c r="F18" s="35">
        <v>2</v>
      </c>
      <c r="G18" s="35">
        <v>0</v>
      </c>
      <c r="H18" s="35">
        <v>6</v>
      </c>
      <c r="I18" s="35">
        <v>11</v>
      </c>
      <c r="J18" s="35">
        <v>32</v>
      </c>
      <c r="K18" s="35">
        <v>59</v>
      </c>
      <c r="L18" s="35">
        <v>129</v>
      </c>
      <c r="M18" s="35">
        <v>136</v>
      </c>
      <c r="N18" s="35">
        <v>0</v>
      </c>
      <c r="O18" s="35">
        <v>375</v>
      </c>
      <c r="P18">
        <v>57.5</v>
      </c>
      <c r="Q18">
        <f t="shared" si="2"/>
        <v>3.7660055234747677E-3</v>
      </c>
      <c r="R18">
        <f t="shared" si="1"/>
        <v>19403</v>
      </c>
    </row>
    <row r="19" spans="1:18" x14ac:dyDescent="0.3">
      <c r="A19" s="35" t="s">
        <v>163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1</v>
      </c>
      <c r="H19" s="35">
        <v>0</v>
      </c>
      <c r="I19" s="35">
        <v>5</v>
      </c>
      <c r="J19" s="35">
        <v>17</v>
      </c>
      <c r="K19" s="35">
        <v>30</v>
      </c>
      <c r="L19" s="35">
        <v>48</v>
      </c>
      <c r="M19" s="35">
        <v>411</v>
      </c>
      <c r="N19" s="35">
        <v>0</v>
      </c>
      <c r="O19" s="35">
        <v>512</v>
      </c>
      <c r="P19" s="35">
        <v>62.5</v>
      </c>
      <c r="Q19">
        <f t="shared" si="2"/>
        <v>5.141852874717549E-3</v>
      </c>
      <c r="R19">
        <f t="shared" si="1"/>
        <v>19915</v>
      </c>
    </row>
    <row r="20" spans="1:18" x14ac:dyDescent="0.3">
      <c r="A20" s="35" t="s">
        <v>164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</row>
    <row r="21" spans="1:18" x14ac:dyDescent="0.3">
      <c r="A21" s="90" t="s">
        <v>165</v>
      </c>
      <c r="B21" s="90">
        <v>1</v>
      </c>
      <c r="C21" s="90">
        <v>15</v>
      </c>
      <c r="D21" s="90">
        <v>253</v>
      </c>
      <c r="E21" s="90">
        <v>3613</v>
      </c>
      <c r="F21" s="90">
        <v>4832</v>
      </c>
      <c r="G21" s="90">
        <v>3455</v>
      </c>
      <c r="H21" s="90">
        <v>2693</v>
      </c>
      <c r="I21" s="90">
        <v>1698</v>
      </c>
      <c r="J21" s="90">
        <v>1211</v>
      </c>
      <c r="K21" s="90">
        <v>843</v>
      </c>
      <c r="L21" s="90">
        <v>537</v>
      </c>
      <c r="M21" s="90">
        <v>764</v>
      </c>
      <c r="N21" s="90">
        <v>0</v>
      </c>
      <c r="O21" s="90">
        <v>19915</v>
      </c>
    </row>
    <row r="22" spans="1:18" x14ac:dyDescent="0.3">
      <c r="A22" s="35" t="s">
        <v>173</v>
      </c>
      <c r="B22" cm="1">
        <f t="array" ref="B22:M22">TRANSPOSE(P8:P19)</f>
        <v>15</v>
      </c>
      <c r="C22">
        <v>17</v>
      </c>
      <c r="D22">
        <v>19</v>
      </c>
      <c r="E22">
        <v>22.5</v>
      </c>
      <c r="F22">
        <v>27.5</v>
      </c>
      <c r="G22">
        <v>32.5</v>
      </c>
      <c r="H22">
        <v>37.5</v>
      </c>
      <c r="I22">
        <v>42.5</v>
      </c>
      <c r="J22">
        <v>47.5</v>
      </c>
      <c r="K22">
        <v>52.5</v>
      </c>
      <c r="L22">
        <v>57.5</v>
      </c>
      <c r="M22">
        <v>62.5</v>
      </c>
      <c r="P22">
        <f>R19/2</f>
        <v>9957.5</v>
      </c>
    </row>
    <row r="23" spans="1:18" x14ac:dyDescent="0.3">
      <c r="A23" s="35" t="s">
        <v>184</v>
      </c>
      <c r="B23" s="30">
        <f>(B21/$P$22)/2</f>
        <v>5.0213406979663568E-5</v>
      </c>
      <c r="C23">
        <f t="shared" ref="C23:D23" si="3">(C21/$P$22)/2</f>
        <v>7.5320110469495355E-4</v>
      </c>
      <c r="D23">
        <f t="shared" si="3"/>
        <v>1.2703991965854883E-2</v>
      </c>
      <c r="E23">
        <f>(E21/$P$22)/5</f>
        <v>7.2568415767009786E-2</v>
      </c>
      <c r="F23">
        <f t="shared" ref="F23:M23" si="4">(F21/$P$22)/5</f>
        <v>9.7052473010293752E-2</v>
      </c>
      <c r="G23">
        <f t="shared" si="4"/>
        <v>6.9394928445895052E-2</v>
      </c>
      <c r="H23">
        <f t="shared" si="4"/>
        <v>5.4089881998493593E-2</v>
      </c>
      <c r="I23">
        <f t="shared" si="4"/>
        <v>3.4104946020587494E-2</v>
      </c>
      <c r="J23">
        <f t="shared" si="4"/>
        <v>2.4323374340949035E-2</v>
      </c>
      <c r="K23">
        <f t="shared" si="4"/>
        <v>1.6931960833542557E-2</v>
      </c>
      <c r="L23">
        <f t="shared" si="4"/>
        <v>1.0785839819231735E-2</v>
      </c>
      <c r="M23">
        <f t="shared" si="4"/>
        <v>1.5345217172985186E-2</v>
      </c>
    </row>
    <row r="24" spans="1:18" x14ac:dyDescent="0.3">
      <c r="A24" s="35" t="s">
        <v>177</v>
      </c>
      <c r="B24">
        <f>B21</f>
        <v>1</v>
      </c>
      <c r="C24">
        <f>B24+C21</f>
        <v>16</v>
      </c>
      <c r="D24">
        <f t="shared" ref="D24:M24" si="5">C24+D21</f>
        <v>269</v>
      </c>
      <c r="E24">
        <f t="shared" si="5"/>
        <v>3882</v>
      </c>
      <c r="F24">
        <f t="shared" si="5"/>
        <v>8714</v>
      </c>
      <c r="G24">
        <f t="shared" si="5"/>
        <v>12169</v>
      </c>
      <c r="H24">
        <f t="shared" si="5"/>
        <v>14862</v>
      </c>
      <c r="I24">
        <f t="shared" si="5"/>
        <v>16560</v>
      </c>
      <c r="J24">
        <f t="shared" si="5"/>
        <v>17771</v>
      </c>
      <c r="K24">
        <f t="shared" si="5"/>
        <v>18614</v>
      </c>
      <c r="L24">
        <f t="shared" si="5"/>
        <v>19151</v>
      </c>
      <c r="M24">
        <f t="shared" si="5"/>
        <v>19915</v>
      </c>
    </row>
    <row r="26" spans="1:18" x14ac:dyDescent="0.3">
      <c r="A26" s="35" t="s">
        <v>178</v>
      </c>
    </row>
    <row r="27" spans="1:18" x14ac:dyDescent="0.3">
      <c r="A27" t="s">
        <v>167</v>
      </c>
      <c r="B27" s="47">
        <f>SUMPRODUCT(P8:P19,O8:O19)/SUM(O8:O19)</f>
        <v>32.505874968616624</v>
      </c>
    </row>
    <row r="28" spans="1:18" x14ac:dyDescent="0.3">
      <c r="A28" t="s">
        <v>168</v>
      </c>
      <c r="B28" s="47">
        <f>SUMPRODUCT(B21:M21,_xlfn.ANCHORARRAY(B22))/SUM(B21:M21)</f>
        <v>34.401054481546574</v>
      </c>
    </row>
    <row r="29" spans="1:18" x14ac:dyDescent="0.3">
      <c r="A29" t="s">
        <v>169</v>
      </c>
      <c r="B29" s="47">
        <f>20+5*(Q11-Q10)/((Q11-Q10)+(Q11-Q12))</f>
        <v>23.371879106438897</v>
      </c>
    </row>
    <row r="30" spans="1:18" x14ac:dyDescent="0.3">
      <c r="A30" t="s">
        <v>171</v>
      </c>
      <c r="B30" s="47">
        <f>25+5*(F23-E23)/((F23-E23)+(F23-G23))</f>
        <v>27.347842835130972</v>
      </c>
    </row>
    <row r="31" spans="1:18" x14ac:dyDescent="0.3">
      <c r="A31" t="s">
        <v>170</v>
      </c>
      <c r="B31" s="47">
        <f>25+5*(P22-R11)/O11</f>
        <v>28.567073170731707</v>
      </c>
    </row>
    <row r="32" spans="1:18" x14ac:dyDescent="0.3">
      <c r="A32" t="s">
        <v>176</v>
      </c>
      <c r="B32" s="47">
        <f>30+5*(P22-F24)/G21</f>
        <v>31.799565846599133</v>
      </c>
    </row>
    <row r="33" spans="1:3" x14ac:dyDescent="0.3">
      <c r="A33" t="s">
        <v>179</v>
      </c>
    </row>
    <row r="34" spans="1:3" ht="22.8" x14ac:dyDescent="0.3">
      <c r="A34" s="91" t="s">
        <v>185</v>
      </c>
      <c r="B34" s="92">
        <v>3127.8420000000001</v>
      </c>
    </row>
    <row r="35" spans="1:3" ht="22.8" x14ac:dyDescent="0.3">
      <c r="A35" s="91" t="s">
        <v>181</v>
      </c>
      <c r="B35" s="91">
        <v>3142.7</v>
      </c>
    </row>
    <row r="36" spans="1:3" ht="43.2" x14ac:dyDescent="0.3">
      <c r="A36" s="35" t="s">
        <v>182</v>
      </c>
      <c r="B36">
        <f>AVERAGE(B34:B35)</f>
        <v>3135.2709999999997</v>
      </c>
    </row>
    <row r="37" spans="1:3" ht="27" customHeight="1" x14ac:dyDescent="0.3">
      <c r="A37" t="s">
        <v>180</v>
      </c>
      <c r="B37">
        <f>O21/B36</f>
        <v>6.3519230076124202</v>
      </c>
    </row>
    <row r="38" spans="1:3" x14ac:dyDescent="0.3">
      <c r="A38" t="s">
        <v>183</v>
      </c>
    </row>
    <row r="39" spans="1:3" x14ac:dyDescent="0.3">
      <c r="A39" s="127" t="s">
        <v>187</v>
      </c>
      <c r="B39" s="127"/>
      <c r="C39">
        <f>SUM(O8:O10)/SUM(O8:O19)</f>
        <v>5.5536028119507912E-2</v>
      </c>
    </row>
    <row r="40" spans="1:3" x14ac:dyDescent="0.3">
      <c r="A40" s="127" t="s">
        <v>186</v>
      </c>
      <c r="B40" s="127"/>
      <c r="C40">
        <f>(B21+C21+D21)/SUM(B21:M21)</f>
        <v>1.35074064775295E-2</v>
      </c>
    </row>
    <row r="41" spans="1:3" x14ac:dyDescent="0.3">
      <c r="A41" t="s">
        <v>190</v>
      </c>
    </row>
    <row r="42" spans="1:3" x14ac:dyDescent="0.3">
      <c r="A42" s="127" t="s">
        <v>188</v>
      </c>
      <c r="B42" s="127"/>
      <c r="C42">
        <f>SUM(O17:O19)/SUM(O8:O19)</f>
        <v>8.0692945016319351E-2</v>
      </c>
    </row>
    <row r="43" spans="1:3" x14ac:dyDescent="0.3">
      <c r="A43" s="127" t="s">
        <v>189</v>
      </c>
      <c r="B43" s="127"/>
      <c r="C43">
        <f>SUM(K21:M21)/SUM(B21:M21)</f>
        <v>0.10765754456439869</v>
      </c>
    </row>
  </sheetData>
  <mergeCells count="10">
    <mergeCell ref="A43:B43"/>
    <mergeCell ref="A39:B39"/>
    <mergeCell ref="A40:B40"/>
    <mergeCell ref="A42:B42"/>
    <mergeCell ref="A1:O1"/>
    <mergeCell ref="A2:O2"/>
    <mergeCell ref="A3:O3"/>
    <mergeCell ref="A4:O4"/>
    <mergeCell ref="A5:A6"/>
    <mergeCell ref="B5:O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0B3C-065E-4322-BA98-7611C83CDF27}">
  <dimension ref="A1:H6"/>
  <sheetViews>
    <sheetView workbookViewId="0">
      <selection activeCell="A5" sqref="A5"/>
    </sheetView>
  </sheetViews>
  <sheetFormatPr defaultRowHeight="14.4" x14ac:dyDescent="0.3"/>
  <cols>
    <col min="1" max="1" width="19.21875" bestFit="1" customWidth="1"/>
  </cols>
  <sheetData>
    <row r="1" spans="1:8" x14ac:dyDescent="0.3">
      <c r="A1" s="32" t="s">
        <v>192</v>
      </c>
      <c r="B1" s="32">
        <v>0</v>
      </c>
      <c r="C1" s="32">
        <v>1</v>
      </c>
      <c r="D1" s="32">
        <v>2</v>
      </c>
      <c r="E1" s="32">
        <v>3</v>
      </c>
      <c r="F1" s="32">
        <v>4</v>
      </c>
      <c r="G1" s="32">
        <v>5</v>
      </c>
      <c r="H1" s="32">
        <v>6</v>
      </c>
    </row>
    <row r="2" spans="1:8" x14ac:dyDescent="0.3">
      <c r="A2" s="32" t="s">
        <v>191</v>
      </c>
      <c r="B2" s="32">
        <v>1.9300000000000001E-2</v>
      </c>
      <c r="C2" s="32">
        <v>5.1999999999999998E-3</v>
      </c>
      <c r="D2" s="32">
        <v>1.8E-3</v>
      </c>
      <c r="E2" s="32">
        <v>1E-3</v>
      </c>
      <c r="F2" s="32">
        <v>8.9999999999999998E-4</v>
      </c>
      <c r="G2" s="32">
        <v>1E-4</v>
      </c>
      <c r="H2" s="32"/>
    </row>
    <row r="3" spans="1:8" x14ac:dyDescent="0.3">
      <c r="A3" s="32" t="s">
        <v>193</v>
      </c>
      <c r="B3" s="32">
        <v>10000</v>
      </c>
      <c r="C3" s="32">
        <f>B3-B4</f>
        <v>9807</v>
      </c>
      <c r="D3" s="32">
        <f t="shared" ref="D3:H3" si="0">C3-C4</f>
        <v>9756.0036</v>
      </c>
      <c r="E3" s="32">
        <f t="shared" si="0"/>
        <v>9738.4427935200001</v>
      </c>
      <c r="F3" s="32">
        <f t="shared" si="0"/>
        <v>9728.7043507264807</v>
      </c>
      <c r="G3" s="32">
        <f t="shared" si="0"/>
        <v>9719.9485168108276</v>
      </c>
      <c r="H3" s="32">
        <f t="shared" si="0"/>
        <v>9718.9765219591463</v>
      </c>
    </row>
    <row r="4" spans="1:8" x14ac:dyDescent="0.3">
      <c r="A4" s="32" t="s">
        <v>195</v>
      </c>
      <c r="B4" s="32">
        <f>B3*B2</f>
        <v>193</v>
      </c>
      <c r="C4" s="32">
        <f>C3*C2</f>
        <v>50.996399999999994</v>
      </c>
      <c r="D4" s="32">
        <f t="shared" ref="D4:G4" si="1">D3*D2</f>
        <v>17.56080648</v>
      </c>
      <c r="E4" s="32">
        <f t="shared" si="1"/>
        <v>9.7384427935200009</v>
      </c>
      <c r="F4" s="32">
        <f t="shared" si="1"/>
        <v>8.7558339156538327</v>
      </c>
      <c r="G4" s="32">
        <f t="shared" si="1"/>
        <v>0.97199485168108279</v>
      </c>
      <c r="H4" s="32"/>
    </row>
    <row r="5" spans="1:8" x14ac:dyDescent="0.3">
      <c r="A5" s="32" t="s">
        <v>196</v>
      </c>
      <c r="B5" s="32">
        <f>C3/B3</f>
        <v>0.98070000000000002</v>
      </c>
      <c r="C5" s="32">
        <f t="shared" ref="C5:G5" si="2">D3/C3</f>
        <v>0.99480000000000002</v>
      </c>
      <c r="D5" s="32">
        <f t="shared" si="2"/>
        <v>0.99819999999999998</v>
      </c>
      <c r="E5" s="32">
        <f t="shared" si="2"/>
        <v>0.99900000000000011</v>
      </c>
      <c r="F5" s="32">
        <f t="shared" si="2"/>
        <v>0.9991000000000001</v>
      </c>
      <c r="G5" s="32">
        <f t="shared" si="2"/>
        <v>0.99990000000000001</v>
      </c>
      <c r="H5" s="32"/>
    </row>
    <row r="6" spans="1:8" x14ac:dyDescent="0.3">
      <c r="A6" s="32" t="s">
        <v>194</v>
      </c>
      <c r="B6" s="32">
        <f>(B3+C3)/2</f>
        <v>9903.5</v>
      </c>
      <c r="C6" s="32">
        <f t="shared" ref="C6:G6" si="3">(C3+D3)/2</f>
        <v>9781.5018</v>
      </c>
      <c r="D6" s="32">
        <f t="shared" si="3"/>
        <v>9747.2231967600001</v>
      </c>
      <c r="E6" s="32">
        <f t="shared" si="3"/>
        <v>9733.5735721232413</v>
      </c>
      <c r="F6" s="32">
        <f t="shared" si="3"/>
        <v>9724.3264337686542</v>
      </c>
      <c r="G6" s="32">
        <f t="shared" si="3"/>
        <v>9719.4625193849861</v>
      </c>
      <c r="H6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21.11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Головин</dc:creator>
  <cp:lastModifiedBy>Stakan</cp:lastModifiedBy>
  <dcterms:created xsi:type="dcterms:W3CDTF">2024-09-26T18:22:40Z</dcterms:created>
  <dcterms:modified xsi:type="dcterms:W3CDTF">2026-03-02T15:15:07Z</dcterms:modified>
</cp:coreProperties>
</file>