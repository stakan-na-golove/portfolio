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Учёба\Работы\"/>
    </mc:Choice>
  </mc:AlternateContent>
  <xr:revisionPtr revIDLastSave="0" documentId="13_ncr:1_{3C06891C-FFB2-4448-9ABA-1AEE1E7FA1B9}" xr6:coauthVersionLast="47" xr6:coauthVersionMax="47" xr10:uidLastSave="{00000000-0000-0000-0000-000000000000}"/>
  <bookViews>
    <workbookView xWindow="-108" yWindow="-108" windowWidth="23256" windowHeight="12456" xr2:uid="{4C3099BD-92BF-44E4-B0D4-321870AD2573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107" i="1" l="1"/>
  <c r="S107" i="1"/>
  <c r="Q107" i="1"/>
  <c r="R81" i="1"/>
  <c r="S81" i="1"/>
  <c r="Q81" i="1"/>
  <c r="T81" i="1"/>
  <c r="U81" i="1"/>
  <c r="K78" i="1"/>
  <c r="J78" i="1"/>
  <c r="I78" i="1"/>
  <c r="B78" i="1"/>
  <c r="C78" i="1"/>
  <c r="D78" i="1"/>
  <c r="A78" i="1"/>
  <c r="A79" i="1" a="1"/>
  <c r="A79" i="1" s="1"/>
  <c r="Q51" i="1" a="1"/>
  <c r="Q51" i="1" s="1"/>
  <c r="Q50" i="1" s="1"/>
  <c r="I51" i="1" a="1"/>
  <c r="N50" i="1" s="1"/>
  <c r="D50" i="1"/>
  <c r="B50" i="1"/>
  <c r="C50" i="1"/>
  <c r="E50" i="1"/>
  <c r="F50" i="1"/>
  <c r="A50" i="1"/>
  <c r="A51" i="1" a="1"/>
  <c r="A51" i="1" s="1"/>
  <c r="U50" i="1" l="1"/>
  <c r="V50" i="1"/>
  <c r="R50" i="1"/>
  <c r="S50" i="1"/>
  <c r="T50" i="1"/>
  <c r="I51" i="1"/>
  <c r="I50" i="1" s="1"/>
  <c r="J50" i="1"/>
  <c r="K50" i="1"/>
  <c r="L50" i="1"/>
  <c r="M50" i="1"/>
  <c r="J48" i="1" s="1"/>
  <c r="B48" i="1"/>
  <c r="R48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<sst xmlns="http://schemas.openxmlformats.org/spreadsheetml/2006/main" count="311" uniqueCount="64">
  <si>
    <t>Год</t>
  </si>
  <si>
    <t>Уровеннь бедности</t>
  </si>
  <si>
    <t>уровень безработицы</t>
  </si>
  <si>
    <t>ВРП на душу</t>
  </si>
  <si>
    <t>Ожидаемая продолжительность жизни</t>
  </si>
  <si>
    <t>Коэффициент Джинни</t>
  </si>
  <si>
    <t>Коэф дем нагрузки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</si>
  <si>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</si>
  <si>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</si>
  <si>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</si>
  <si>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</si>
  <si>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</si>
  <si>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</si>
  <si>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</si>
  <si>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</si>
  <si>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</si>
  <si>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</si>
  <si>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Московская область</t>
  </si>
  <si>
    <t>Город Москва</t>
  </si>
  <si>
    <t>Город Санк-Петербург</t>
  </si>
  <si>
    <t>ВЫВОД ИТОГОВ</t>
  </si>
  <si>
    <t>Регрессионная статистика</t>
  </si>
  <si>
    <t>Множественный R</t>
  </si>
  <si>
    <t>R-квадрат</t>
  </si>
  <si>
    <t>Нормированный R-квадрат</t>
  </si>
  <si>
    <t>Стандартная ошибка</t>
  </si>
  <si>
    <t>Наблюдения</t>
  </si>
  <si>
    <t>Дисперсионный анализ</t>
  </si>
  <si>
    <t>Регрессия</t>
  </si>
  <si>
    <t>Остаток</t>
  </si>
  <si>
    <t>Итого</t>
  </si>
  <si>
    <t>Y-пересечение</t>
  </si>
  <si>
    <t>df</t>
  </si>
  <si>
    <t>SS</t>
  </si>
  <si>
    <t>MS</t>
  </si>
  <si>
    <t>F</t>
  </si>
  <si>
    <t>Значимость F</t>
  </si>
  <si>
    <t>Коэффициенты</t>
  </si>
  <si>
    <t>t-статистика</t>
  </si>
  <si>
    <t>P-Значение</t>
  </si>
  <si>
    <t>a0</t>
  </si>
  <si>
    <t>a5</t>
  </si>
  <si>
    <t>a4</t>
  </si>
  <si>
    <t>a3</t>
  </si>
  <si>
    <t>a2</t>
  </si>
  <si>
    <t>a1</t>
  </si>
  <si>
    <t>Модель:</t>
  </si>
  <si>
    <t>Убираем x4 и x5 из-за большого p-value</t>
  </si>
  <si>
    <t>Убираем x1, x3 и x4 из-за большого p-value</t>
  </si>
  <si>
    <t>Убираем x1 из-за большого p-value</t>
  </si>
  <si>
    <t>y=17,246-0,000003x2-0,0088x5</t>
  </si>
  <si>
    <t>y=-21,2709+1,3196x1-0,000005x2+0,381</t>
  </si>
  <si>
    <t>Модель</t>
  </si>
  <si>
    <t>y=43,8707-0,000002x2-0,01535x3-29,3328x4-0,0156x5</t>
  </si>
  <si>
    <t>Уровеннь бедности (%)</t>
  </si>
  <si>
    <t>уровень безработицы (%)</t>
  </si>
  <si>
    <t>ВРП на душу (руб)</t>
  </si>
  <si>
    <t>Ожидаемая продолжительность жизни (лет)</t>
  </si>
  <si>
    <t xml:space="preserve">Коэффициент Джинни </t>
  </si>
  <si>
    <t>Коэф дем нагрузки (‰)</t>
  </si>
  <si>
    <t>Убираем x3 и x4 из-за большого p-value</t>
  </si>
  <si>
    <t>y=15,367-0,000002x2-0,0085x5</t>
  </si>
  <si>
    <t xml:space="preserve"> </t>
  </si>
  <si>
    <t>Итоговая модель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</si>
</sst>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#,##0.0"/>
    <numFmt numFmtId="166" formatCode="#,##0.000"/>
    <numFmt numFmtId="167" formatCode="0.000"/>
    <numFmt numFmtId="168" formatCode="0.000000"/>
  </numFmts>
  <fonts count="8" x14ac:knownFonts="1"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0"/>
      <name val="Arial"/>
      <family val="2"/>
    </font>
    <font>
      <i/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0" fontId="4" fillId="0" borderId="0"/>
  </cellStyleXfs>
  <cellXfs count="26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164" fontId="2" fillId="0" borderId="1" xfId="1" applyNumberFormat="1" applyFont="1" applyBorder="1" applyAlignment="1">
      <alignment horizontal="center" vertical="center"/>
    </xf>
    <xf numFmtId="164" fontId="2" fillId="0" borderId="1" xfId="2" applyNumberFormat="1" applyFont="1" applyBorder="1" applyAlignment="1">
      <alignment horizontal="center" vertical="center"/>
    </xf>
    <xf numFmtId="165" fontId="2" fillId="0" borderId="1" xfId="3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66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7" fontId="2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5" fillId="0" borderId="4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0" xfId="0" applyAlignment="1">
      <alignment horizontal="centerContinuous"/>
    </xf>
    <xf numFmtId="0" fontId="5" fillId="0" borderId="4" xfId="0" applyFont="1" applyBorder="1" applyAlignment="1">
      <alignment horizontal="centerContinuous"/>
    </xf>
    <xf numFmtId="168" fontId="0" fillId="0" borderId="0" xfId="0" applyNumberFormat="1"/>
    <xf numFmtId="0" fontId="0" fillId="3" borderId="0" xfId="0" applyFill="1"/>
    <xf numFmtId="0" fontId="0" fillId="4" borderId="0" xfId="0" applyFill="1"/>
    <xf numFmtId="0" fontId="5" fillId="4" borderId="0" xfId="0" applyFont="1" applyFill="1" applyAlignment="1">
      <alignment horizontal="center"/>
    </xf>
    <xf numFmtId="0" fontId="0" fillId="5" borderId="0" xfId="0" applyFill="1"/>
    <xf numFmtId="0" fontId="0" fillId="5" borderId="2" xfId="0" applyFill="1" applyBorder="1"/>
    <xf numFmtId="0" fontId="7" fillId="0" borderId="0" xfId="0" applyFont="1"/>
  </cellXfs>
  <cellStyles count="4">
    <cellStyle name="Обычный" xfId="0" builtinId="0"/>
    <cellStyle name="Обычный 11" xfId="2" xr:uid="{53A43083-BEB7-46CE-A754-C2CF9FA6D691}"/>
    <cellStyle name="Обычный 2" xfId="1" xr:uid="{E5C541E3-C1F9-4265-81F3-7275CB1BB365}"/>
    <cellStyle name="Обычный 25" xfId="3" xr:uid="{5FFDCF5F-CC76-4F01-BC8E-671797859F1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0AC4B-2A07-45BA-B385-D171F76DBDCE}">
  <dimension ref="A1:Y107"/>
  <sheetViews>
    <sheetView tabSelected="1" topLeftCell="O76" zoomScale="70" zoomScaleNormal="70" workbookViewId="0">
      <selection activeCell="V114" sqref="V114"/>
    </sheetView>
  </sheetViews>
  <sheetFormatPr defaultRowHeight="14.4" x14ac:dyDescent="0.3"/>
  <cols>
    <col min="1" max="1" width="19.33203125" customWidth="1"/>
    <col min="2" max="2" width="18.33203125" bestFit="1" customWidth="1"/>
    <col min="3" max="3" width="21" bestFit="1" customWidth="1"/>
    <col min="4" max="4" width="18.6640625" customWidth="1"/>
    <col min="5" max="5" width="35.5546875" bestFit="1" customWidth="1"/>
    <col min="6" max="6" width="20.5546875" bestFit="1" customWidth="1"/>
    <col min="7" max="7" width="17.44140625" bestFit="1" customWidth="1"/>
    <col min="8" max="8" width="8.88671875" style="21"/>
    <col min="9" max="9" width="23.88671875" customWidth="1"/>
    <col min="10" max="10" width="18.6640625" bestFit="1" customWidth="1"/>
    <col min="11" max="11" width="21.33203125" bestFit="1" customWidth="1"/>
    <col min="12" max="12" width="14.33203125" bestFit="1" customWidth="1"/>
    <col min="13" max="13" width="37.109375" bestFit="1" customWidth="1"/>
    <col min="14" max="14" width="21.88671875" bestFit="1" customWidth="1"/>
    <col min="15" max="15" width="18" bestFit="1" customWidth="1"/>
    <col min="16" max="16" width="8.88671875" style="21"/>
    <col min="17" max="17" width="24.6640625" customWidth="1"/>
    <col min="18" max="18" width="18.6640625" bestFit="1" customWidth="1"/>
    <col min="19" max="19" width="21.33203125" bestFit="1" customWidth="1"/>
    <col min="20" max="20" width="14.33203125" bestFit="1" customWidth="1"/>
    <col min="21" max="21" width="37.109375" bestFit="1" customWidth="1"/>
    <col min="22" max="22" width="21.88671875" bestFit="1" customWidth="1"/>
    <col min="23" max="23" width="18" bestFit="1" customWidth="1"/>
  </cols>
  <sheetData>
    <row r="1" spans="1:23" x14ac:dyDescent="0.3">
      <c r="A1" s="17" t="s">
        <v>17</v>
      </c>
      <c r="B1" s="17"/>
      <c r="C1" s="17"/>
      <c r="D1" s="17"/>
      <c r="E1" s="17"/>
      <c r="F1" s="17"/>
      <c r="G1" s="17"/>
      <c r="I1" s="17" t="s">
        <v>18</v>
      </c>
      <c r="J1" s="17"/>
      <c r="K1" s="17"/>
      <c r="L1" s="17"/>
      <c r="M1" s="17"/>
      <c r="N1" s="17"/>
      <c r="O1" s="17"/>
      <c r="Q1" s="17" t="s">
        <v>19</v>
      </c>
      <c r="R1" s="17"/>
      <c r="S1" s="17"/>
      <c r="T1" s="17"/>
      <c r="U1" s="17"/>
      <c r="V1" s="17"/>
      <c r="W1" s="17"/>
    </row>
    <row r="2" spans="1:23" ht="28.8" x14ac:dyDescent="0.3">
      <c r="A2" s="1" t="s">
        <v>0</v>
      </c>
      <c r="B2" s="1" t="s">
        <v>54</v>
      </c>
      <c r="C2" s="1" t="s">
        <v>55</v>
      </c>
      <c r="D2" s="1" t="s">
        <v>56</v>
      </c>
      <c r="E2" s="1" t="s">
        <v>57</v>
      </c>
      <c r="F2" s="1" t="s">
        <v>58</v>
      </c>
      <c r="G2" s="1" t="s">
        <v>59</v>
      </c>
      <c r="I2" s="1" t="s">
        <v>0</v>
      </c>
      <c r="J2" s="1" t="s">
        <v>54</v>
      </c>
      <c r="K2" s="1" t="s">
        <v>55</v>
      </c>
      <c r="L2" s="1" t="s">
        <v>56</v>
      </c>
      <c r="M2" s="1" t="s">
        <v>57</v>
      </c>
      <c r="N2" s="1" t="s">
        <v>58</v>
      </c>
      <c r="O2" s="1" t="s">
        <v>59</v>
      </c>
      <c r="Q2" s="1" t="s">
        <v>0</v>
      </c>
      <c r="R2" s="1" t="s">
        <v>54</v>
      </c>
      <c r="S2" s="1" t="s">
        <v>55</v>
      </c>
      <c r="T2" s="1" t="s">
        <v>56</v>
      </c>
      <c r="U2" s="1" t="s">
        <v>57</v>
      </c>
      <c r="V2" s="1" t="s">
        <v>58</v>
      </c>
      <c r="W2" s="1" t="s">
        <v>59</v>
      </c>
    </row>
    <row r="3" spans="1:23" x14ac:dyDescent="0.3">
      <c r="A3" s="2" t="s">
        <v>7</v>
      </c>
      <c r="B3" s="3">
        <v>9.6</v>
      </c>
      <c r="C3" s="4">
        <v>3.7</v>
      </c>
      <c r="D3" s="5">
        <v>303386.90000000002</v>
      </c>
      <c r="E3" s="10">
        <v>70.41</v>
      </c>
      <c r="F3" s="7">
        <v>0.41299999999999998</v>
      </c>
      <c r="G3" s="8">
        <v>613.79278435182925</v>
      </c>
      <c r="I3" s="2" t="s">
        <v>7</v>
      </c>
      <c r="J3" s="3">
        <v>10</v>
      </c>
      <c r="K3" s="4">
        <v>1.4</v>
      </c>
      <c r="L3" s="5">
        <v>857290</v>
      </c>
      <c r="M3" s="6">
        <v>75.8</v>
      </c>
      <c r="N3" s="7">
        <v>0.48799999999999999</v>
      </c>
      <c r="O3" s="8">
        <v>590.14900543532815</v>
      </c>
      <c r="Q3" s="2" t="s">
        <v>7</v>
      </c>
      <c r="R3" s="3">
        <v>9.1</v>
      </c>
      <c r="S3" s="4">
        <v>2</v>
      </c>
      <c r="T3" s="5">
        <v>423715</v>
      </c>
      <c r="U3" s="6">
        <v>73.06</v>
      </c>
      <c r="V3" s="7">
        <v>0.442</v>
      </c>
      <c r="W3" s="8">
        <v>617.37319699329589</v>
      </c>
    </row>
    <row r="4" spans="1:23" x14ac:dyDescent="0.3">
      <c r="A4" s="2" t="s">
        <v>8</v>
      </c>
      <c r="B4" s="3">
        <v>7.2</v>
      </c>
      <c r="C4" s="4">
        <v>2.9</v>
      </c>
      <c r="D4" s="5">
        <v>322242.7</v>
      </c>
      <c r="E4" s="10">
        <v>70.930000000000007</v>
      </c>
      <c r="F4" s="7">
        <v>0.41499999999999998</v>
      </c>
      <c r="G4" s="8">
        <v>623.1201100313408</v>
      </c>
      <c r="I4" s="2" t="s">
        <v>8</v>
      </c>
      <c r="J4" s="3">
        <v>9.4</v>
      </c>
      <c r="K4" s="4">
        <v>0.8</v>
      </c>
      <c r="L4" s="5">
        <v>907114.4</v>
      </c>
      <c r="M4" s="6">
        <v>75.41</v>
      </c>
      <c r="N4" s="7">
        <v>0.48799999999999999</v>
      </c>
      <c r="O4" s="8">
        <v>594.76235597852212</v>
      </c>
      <c r="Q4" s="2" t="s">
        <v>8</v>
      </c>
      <c r="R4" s="3">
        <v>9</v>
      </c>
      <c r="S4" s="4">
        <v>1.1000000000000001</v>
      </c>
      <c r="T4" s="5">
        <v>453981</v>
      </c>
      <c r="U4" s="6">
        <v>73.400000000000006</v>
      </c>
      <c r="V4" s="7">
        <v>0.442</v>
      </c>
      <c r="W4" s="8">
        <v>613.21000521104736</v>
      </c>
    </row>
    <row r="5" spans="1:23" x14ac:dyDescent="0.3">
      <c r="A5" s="2" t="s">
        <v>9</v>
      </c>
      <c r="B5" s="3">
        <v>7.9</v>
      </c>
      <c r="C5" s="4">
        <v>2.8</v>
      </c>
      <c r="D5" s="5">
        <v>341618.7</v>
      </c>
      <c r="E5" s="10">
        <v>71.36</v>
      </c>
      <c r="F5" s="7">
        <v>0.41</v>
      </c>
      <c r="G5" s="8">
        <v>635.82138049482433</v>
      </c>
      <c r="I5" s="2" t="s">
        <v>9</v>
      </c>
      <c r="J5" s="3">
        <v>8.6999999999999993</v>
      </c>
      <c r="K5" s="4">
        <v>1.7</v>
      </c>
      <c r="L5" s="5">
        <v>989278.4</v>
      </c>
      <c r="M5" s="6">
        <v>76.03</v>
      </c>
      <c r="N5" s="7">
        <v>0.48499999999999999</v>
      </c>
      <c r="O5" s="8">
        <v>614.42259746910497</v>
      </c>
      <c r="Q5" s="2" t="s">
        <v>9</v>
      </c>
      <c r="R5" s="3">
        <v>8.3000000000000007</v>
      </c>
      <c r="S5" s="4">
        <v>1.5</v>
      </c>
      <c r="T5" s="5">
        <v>485317</v>
      </c>
      <c r="U5" s="6">
        <v>74.180000000000007</v>
      </c>
      <c r="V5" s="7">
        <v>0.439</v>
      </c>
      <c r="W5" s="8">
        <v>626.50017791867492</v>
      </c>
    </row>
    <row r="6" spans="1:23" x14ac:dyDescent="0.3">
      <c r="A6" s="2" t="s">
        <v>10</v>
      </c>
      <c r="B6" s="3">
        <v>8</v>
      </c>
      <c r="C6" s="4">
        <v>2.7</v>
      </c>
      <c r="D6" s="5">
        <v>361238.5</v>
      </c>
      <c r="E6" s="10">
        <v>71.56</v>
      </c>
      <c r="F6" s="7">
        <v>0.39600000000000002</v>
      </c>
      <c r="G6" s="8">
        <v>652.75010425837536</v>
      </c>
      <c r="I6" s="2" t="s">
        <v>10</v>
      </c>
      <c r="J6" s="3">
        <v>8.8000000000000007</v>
      </c>
      <c r="K6" s="4">
        <v>1.5</v>
      </c>
      <c r="L6" s="5">
        <v>1055307.1000000001</v>
      </c>
      <c r="M6" s="6">
        <v>76.36</v>
      </c>
      <c r="N6" s="7">
        <v>0.45400000000000001</v>
      </c>
      <c r="O6" s="8">
        <v>634.95321297884118</v>
      </c>
      <c r="Q6" s="2" t="s">
        <v>10</v>
      </c>
      <c r="R6" s="3">
        <v>8.8000000000000007</v>
      </c>
      <c r="S6" s="4">
        <v>1.3</v>
      </c>
      <c r="T6" s="5">
        <v>508256.7</v>
      </c>
      <c r="U6" s="6">
        <v>74.53</v>
      </c>
      <c r="V6" s="7">
        <v>0.43</v>
      </c>
      <c r="W6" s="8">
        <v>636.94937960511629</v>
      </c>
    </row>
    <row r="7" spans="1:23" x14ac:dyDescent="0.3">
      <c r="A7" s="2" t="s">
        <v>11</v>
      </c>
      <c r="B7" s="3">
        <v>8.8000000000000007</v>
      </c>
      <c r="C7" s="4">
        <v>3.3</v>
      </c>
      <c r="D7" s="5">
        <v>411183.7</v>
      </c>
      <c r="E7" s="10">
        <v>72.900000000000006</v>
      </c>
      <c r="F7" s="7">
        <v>0.38500000000000001</v>
      </c>
      <c r="G7" s="8">
        <v>672.66544840507981</v>
      </c>
      <c r="I7" s="2" t="s">
        <v>11</v>
      </c>
      <c r="J7" s="3">
        <v>8.9</v>
      </c>
      <c r="K7" s="4">
        <v>1.8</v>
      </c>
      <c r="L7" s="5">
        <v>1101222.1000000001</v>
      </c>
      <c r="M7" s="6">
        <v>76.45</v>
      </c>
      <c r="N7" s="7">
        <v>0.432</v>
      </c>
      <c r="O7" s="8">
        <v>657.91333659544398</v>
      </c>
      <c r="Q7" s="2" t="s">
        <v>11</v>
      </c>
      <c r="R7" s="3">
        <v>8.6999999999999993</v>
      </c>
      <c r="S7" s="4">
        <v>2.1</v>
      </c>
      <c r="T7" s="5">
        <v>638685.1</v>
      </c>
      <c r="U7" s="6">
        <v>74.42</v>
      </c>
      <c r="V7" s="7">
        <v>0.40500000000000003</v>
      </c>
      <c r="W7" s="8">
        <v>658.79608920697808</v>
      </c>
    </row>
    <row r="8" spans="1:23" x14ac:dyDescent="0.3">
      <c r="A8" s="2" t="s">
        <v>12</v>
      </c>
      <c r="B8" s="3">
        <v>8.3000000000000007</v>
      </c>
      <c r="C8" s="4">
        <v>3.3</v>
      </c>
      <c r="D8" s="5">
        <v>533624.19999999995</v>
      </c>
      <c r="E8" s="10">
        <v>73.180000000000007</v>
      </c>
      <c r="F8" s="7">
        <v>0.38800000000000001</v>
      </c>
      <c r="G8" s="8">
        <v>696.83058588949939</v>
      </c>
      <c r="I8" s="2" t="s">
        <v>12</v>
      </c>
      <c r="J8" s="3">
        <v>8.5</v>
      </c>
      <c r="K8" s="4">
        <v>1.8</v>
      </c>
      <c r="L8" s="5">
        <v>1216874.1000000001</v>
      </c>
      <c r="M8" s="6">
        <v>76.78</v>
      </c>
      <c r="N8" s="7">
        <v>0.42499999999999999</v>
      </c>
      <c r="O8" s="8">
        <v>684.3708591177957</v>
      </c>
      <c r="Q8" s="2" t="s">
        <v>12</v>
      </c>
      <c r="R8" s="3">
        <v>8.5</v>
      </c>
      <c r="S8" s="4">
        <v>1.6</v>
      </c>
      <c r="T8" s="5">
        <v>763731.9</v>
      </c>
      <c r="U8" s="6">
        <v>74.91</v>
      </c>
      <c r="V8" s="7">
        <v>0.40799999999999997</v>
      </c>
      <c r="W8" s="8">
        <v>690.45385436547735</v>
      </c>
    </row>
    <row r="9" spans="1:23" x14ac:dyDescent="0.3">
      <c r="A9" s="2" t="s">
        <v>13</v>
      </c>
      <c r="B9" s="3">
        <v>8.5</v>
      </c>
      <c r="C9" s="4">
        <v>3.2</v>
      </c>
      <c r="D9" s="5">
        <v>534666.5</v>
      </c>
      <c r="E9" s="10">
        <v>74.040000000000006</v>
      </c>
      <c r="F9" s="7">
        <v>0.38400000000000001</v>
      </c>
      <c r="G9" s="8">
        <v>718.76085295547671</v>
      </c>
      <c r="I9" s="2" t="s">
        <v>13</v>
      </c>
      <c r="J9" s="3">
        <v>7.6</v>
      </c>
      <c r="K9" s="4">
        <v>1.4</v>
      </c>
      <c r="L9" s="5">
        <v>1315542.6000000001</v>
      </c>
      <c r="M9" s="6">
        <v>77.540000000000006</v>
      </c>
      <c r="N9" s="7">
        <v>0.41599999999999998</v>
      </c>
      <c r="O9" s="8">
        <v>708.55471067993312</v>
      </c>
      <c r="Q9" s="2" t="s">
        <v>13</v>
      </c>
      <c r="R9" s="3">
        <v>7.5</v>
      </c>
      <c r="S9" s="4">
        <v>1.7</v>
      </c>
      <c r="T9" s="5">
        <v>785866</v>
      </c>
      <c r="U9" s="6">
        <v>75.48</v>
      </c>
      <c r="V9" s="7">
        <v>0.40200000000000002</v>
      </c>
      <c r="W9" s="8">
        <v>715.08361747036849</v>
      </c>
    </row>
    <row r="10" spans="1:23" x14ac:dyDescent="0.3">
      <c r="A10" s="2" t="s">
        <v>14</v>
      </c>
      <c r="B10" s="3">
        <v>7.9</v>
      </c>
      <c r="C10" s="4">
        <v>2.7</v>
      </c>
      <c r="D10" s="5">
        <v>569142.69999999995</v>
      </c>
      <c r="E10" s="10">
        <v>74.28</v>
      </c>
      <c r="F10" s="7">
        <v>0.38300000000000001</v>
      </c>
      <c r="G10" s="8">
        <v>738.62872766874432</v>
      </c>
      <c r="I10" s="2" t="s">
        <v>14</v>
      </c>
      <c r="J10" s="3">
        <v>6.7</v>
      </c>
      <c r="K10" s="4">
        <v>1.3</v>
      </c>
      <c r="L10" s="5">
        <v>1473322.5</v>
      </c>
      <c r="M10" s="6">
        <v>77.55</v>
      </c>
      <c r="N10" s="7">
        <v>0.41499999999999998</v>
      </c>
      <c r="O10" s="8">
        <v>731.12326112533742</v>
      </c>
      <c r="Q10" s="2" t="s">
        <v>14</v>
      </c>
      <c r="R10" s="3">
        <v>6.7</v>
      </c>
      <c r="S10" s="4">
        <v>1.5</v>
      </c>
      <c r="T10" s="5">
        <v>866794.9</v>
      </c>
      <c r="U10" s="6">
        <v>75.97</v>
      </c>
      <c r="V10" s="7">
        <v>0.40100000000000002</v>
      </c>
      <c r="W10" s="8">
        <v>733.35276590231899</v>
      </c>
    </row>
    <row r="11" spans="1:23" x14ac:dyDescent="0.3">
      <c r="A11" s="2" t="s">
        <v>15</v>
      </c>
      <c r="B11" s="3">
        <v>7.9</v>
      </c>
      <c r="C11" s="4">
        <v>2.8</v>
      </c>
      <c r="D11" s="5">
        <v>625811.9</v>
      </c>
      <c r="E11" s="10">
        <v>74.67</v>
      </c>
      <c r="F11" s="7">
        <v>0.38200000000000001</v>
      </c>
      <c r="G11" s="8">
        <v>754.15474102114308</v>
      </c>
      <c r="I11" s="2" t="s">
        <v>15</v>
      </c>
      <c r="J11" s="3">
        <v>6.5</v>
      </c>
      <c r="K11" s="4">
        <v>1.5</v>
      </c>
      <c r="L11" s="5">
        <v>1536186</v>
      </c>
      <c r="M11" s="6">
        <v>78.08</v>
      </c>
      <c r="N11" s="7">
        <v>0.41599999999999998</v>
      </c>
      <c r="O11" s="8">
        <v>753.87887887887882</v>
      </c>
      <c r="Q11" s="2" t="s">
        <v>15</v>
      </c>
      <c r="R11" s="3">
        <v>6.6</v>
      </c>
      <c r="S11" s="4">
        <v>1.4</v>
      </c>
      <c r="T11" s="5">
        <v>932159.6</v>
      </c>
      <c r="U11" s="6">
        <v>76.38</v>
      </c>
      <c r="V11" s="7">
        <v>0.40100000000000002</v>
      </c>
      <c r="W11" s="8">
        <v>753.59911406423032</v>
      </c>
    </row>
    <row r="12" spans="1:23" x14ac:dyDescent="0.3">
      <c r="A12" s="2" t="s">
        <v>16</v>
      </c>
      <c r="B12" s="3">
        <v>7.4</v>
      </c>
      <c r="C12" s="4">
        <v>3.6</v>
      </c>
      <c r="D12" s="5">
        <v>643208.1</v>
      </c>
      <c r="E12" s="10">
        <v>72.59</v>
      </c>
      <c r="F12" s="7">
        <v>0.36499999999999999</v>
      </c>
      <c r="G12" s="8">
        <v>738.9811525296044</v>
      </c>
      <c r="I12" s="2" t="s">
        <v>16</v>
      </c>
      <c r="J12" s="3">
        <v>6.1</v>
      </c>
      <c r="K12" s="4">
        <v>2.8</v>
      </c>
      <c r="L12" s="5">
        <v>1562963.6</v>
      </c>
      <c r="M12" s="6">
        <v>76.099999999999994</v>
      </c>
      <c r="N12" s="7">
        <v>0.41</v>
      </c>
      <c r="O12" s="8">
        <v>744.72255282551657</v>
      </c>
      <c r="Q12" s="2" t="s">
        <v>16</v>
      </c>
      <c r="R12" s="3">
        <v>6.1</v>
      </c>
      <c r="S12" s="4">
        <v>3</v>
      </c>
      <c r="T12" s="5">
        <v>954862.8</v>
      </c>
      <c r="U12" s="6">
        <v>74.23</v>
      </c>
      <c r="V12" s="7">
        <v>0.39800000000000002</v>
      </c>
      <c r="W12" s="8">
        <v>744.96447261776211</v>
      </c>
    </row>
    <row r="13" spans="1:23" x14ac:dyDescent="0.3">
      <c r="A13" s="2">
        <v>2021</v>
      </c>
      <c r="B13" s="3">
        <v>6.6</v>
      </c>
      <c r="C13" s="4">
        <v>3.4</v>
      </c>
      <c r="D13" s="5">
        <v>802156.1</v>
      </c>
      <c r="E13" s="10">
        <v>71.36</v>
      </c>
      <c r="F13" s="7">
        <v>0.372</v>
      </c>
      <c r="G13" s="8">
        <v>734.27548402119783</v>
      </c>
      <c r="I13" s="2">
        <v>2021</v>
      </c>
      <c r="J13" s="3">
        <v>5.7</v>
      </c>
      <c r="K13" s="4">
        <v>2.7</v>
      </c>
      <c r="L13" s="5">
        <v>1866988.7</v>
      </c>
      <c r="M13" s="6">
        <v>74.599999999999994</v>
      </c>
      <c r="N13" s="7">
        <v>0.42</v>
      </c>
      <c r="O13" s="8">
        <v>755.29690476702365</v>
      </c>
      <c r="Q13" s="2">
        <v>2021</v>
      </c>
      <c r="R13" s="3">
        <v>5.2</v>
      </c>
      <c r="S13" s="4">
        <v>2.2999999999999998</v>
      </c>
      <c r="T13" s="5">
        <v>1682758.7</v>
      </c>
      <c r="U13" s="6">
        <v>72.89</v>
      </c>
      <c r="V13" s="7">
        <v>0.40300000000000002</v>
      </c>
      <c r="W13" s="8">
        <v>754.38596491228077</v>
      </c>
    </row>
    <row r="14" spans="1:23" x14ac:dyDescent="0.3">
      <c r="A14" s="2">
        <v>2022</v>
      </c>
      <c r="B14" s="3">
        <v>6</v>
      </c>
      <c r="C14" s="4">
        <v>3.1</v>
      </c>
      <c r="D14" s="5">
        <v>907486.1</v>
      </c>
      <c r="E14" s="10">
        <v>73.78</v>
      </c>
      <c r="F14" s="7">
        <v>0.36</v>
      </c>
      <c r="G14" s="8">
        <v>699.12634358628236</v>
      </c>
      <c r="I14" s="2">
        <v>2022</v>
      </c>
      <c r="J14" s="3">
        <v>4.8</v>
      </c>
      <c r="K14" s="4">
        <v>2.2999999999999998</v>
      </c>
      <c r="L14" s="5">
        <v>2123057.7000000002</v>
      </c>
      <c r="M14" s="6">
        <v>78.17</v>
      </c>
      <c r="N14" s="7">
        <v>0.41599999999999998</v>
      </c>
      <c r="O14" s="8">
        <v>729.5625196339513</v>
      </c>
      <c r="Q14" s="2">
        <v>2022</v>
      </c>
      <c r="R14" s="3">
        <v>4.5999999999999996</v>
      </c>
      <c r="S14" s="4">
        <v>2</v>
      </c>
      <c r="T14" s="5">
        <v>1993849.6</v>
      </c>
      <c r="U14" s="6">
        <v>75.77</v>
      </c>
      <c r="V14" s="7">
        <v>0.40100000000000002</v>
      </c>
      <c r="W14" s="8">
        <v>727.17853218652806</v>
      </c>
    </row>
    <row r="15" spans="1:23" x14ac:dyDescent="0.3">
      <c r="A15" s="2">
        <v>2023</v>
      </c>
      <c r="B15" s="3">
        <v>5.5</v>
      </c>
      <c r="C15" s="4">
        <v>2.6</v>
      </c>
      <c r="D15" s="5">
        <v>1072270.7</v>
      </c>
      <c r="E15" s="10">
        <v>74.489999999999995</v>
      </c>
      <c r="F15" s="9">
        <v>0.372</v>
      </c>
      <c r="G15" s="8">
        <v>702.77599463942033</v>
      </c>
      <c r="I15" s="2">
        <v>2023</v>
      </c>
      <c r="J15" s="3">
        <v>4.4000000000000004</v>
      </c>
      <c r="K15" s="4">
        <v>1.8</v>
      </c>
      <c r="L15" s="5">
        <v>2463550.4</v>
      </c>
      <c r="M15" s="6">
        <v>79.38</v>
      </c>
      <c r="N15" s="9">
        <v>0.42599999999999999</v>
      </c>
      <c r="O15" s="8">
        <v>744.2769348314248</v>
      </c>
      <c r="Q15" s="2">
        <v>2023</v>
      </c>
      <c r="R15" s="3">
        <v>4.4000000000000004</v>
      </c>
      <c r="S15" s="4">
        <v>1.6</v>
      </c>
      <c r="T15" s="5">
        <v>1948243.8</v>
      </c>
      <c r="U15" s="6">
        <v>76.55</v>
      </c>
      <c r="V15" s="9">
        <v>0.40699999999999997</v>
      </c>
      <c r="W15" s="8">
        <v>684.60526549320787</v>
      </c>
    </row>
    <row r="17" spans="1:23" x14ac:dyDescent="0.3">
      <c r="B17" t="s">
        <v>1</v>
      </c>
      <c r="C17" t="s">
        <v>2</v>
      </c>
      <c r="D17" t="s">
        <v>3</v>
      </c>
      <c r="E17" t="s">
        <v>4</v>
      </c>
      <c r="F17" t="s">
        <v>5</v>
      </c>
      <c r="G17" t="s">
        <v>6</v>
      </c>
      <c r="I17" s="14"/>
      <c r="J17" s="14" t="s">
        <v>1</v>
      </c>
      <c r="K17" s="14" t="s">
        <v>2</v>
      </c>
      <c r="L17" s="14" t="s">
        <v>3</v>
      </c>
      <c r="M17" s="14" t="s">
        <v>4</v>
      </c>
      <c r="N17" s="14" t="s">
        <v>5</v>
      </c>
      <c r="O17" s="14" t="s">
        <v>6</v>
      </c>
      <c r="Q17" s="14"/>
      <c r="R17" s="14" t="s">
        <v>1</v>
      </c>
      <c r="S17" s="14" t="s">
        <v>2</v>
      </c>
      <c r="T17" s="14" t="s">
        <v>3</v>
      </c>
      <c r="U17" s="14" t="s">
        <v>4</v>
      </c>
      <c r="V17" s="14" t="s">
        <v>5</v>
      </c>
      <c r="W17" s="14" t="s">
        <v>6</v>
      </c>
    </row>
    <row r="18" spans="1:23" x14ac:dyDescent="0.3">
      <c r="A18" t="s">
        <v>1</v>
      </c>
      <c r="B18" s="15">
        <v>1</v>
      </c>
      <c r="C18" s="12">
        <v>0.39758349224669237</v>
      </c>
      <c r="D18" s="12">
        <v>-0.82224089574807646</v>
      </c>
      <c r="E18" s="12">
        <v>-0.30225553291237833</v>
      </c>
      <c r="F18" s="12">
        <v>0.57639374416342948</v>
      </c>
      <c r="G18" s="16">
        <v>-0.32668749205052067</v>
      </c>
      <c r="I18" t="s">
        <v>1</v>
      </c>
      <c r="J18" s="15">
        <v>1</v>
      </c>
      <c r="K18" s="12">
        <v>-0.58665492369693095</v>
      </c>
      <c r="L18" s="12">
        <v>-0.96909020801053991</v>
      </c>
      <c r="M18" s="12">
        <v>-0.552955498784786</v>
      </c>
      <c r="N18" s="12">
        <v>0.7338510005920883</v>
      </c>
      <c r="O18" s="16">
        <v>-0.89080584880290448</v>
      </c>
      <c r="Q18" t="s">
        <v>1</v>
      </c>
      <c r="R18" s="15">
        <v>1</v>
      </c>
      <c r="S18" s="12">
        <v>-0.36345594196039865</v>
      </c>
      <c r="T18" s="12">
        <v>-0.94491652430378181</v>
      </c>
      <c r="U18" s="12">
        <v>-0.46633991853215284</v>
      </c>
      <c r="V18" s="12">
        <v>0.66893854675975184</v>
      </c>
      <c r="W18" s="16">
        <v>-0.73179567320730932</v>
      </c>
    </row>
    <row r="19" spans="1:23" x14ac:dyDescent="0.3">
      <c r="A19" t="s">
        <v>2</v>
      </c>
      <c r="B19">
        <v>0.39758349224669237</v>
      </c>
      <c r="C19">
        <v>1</v>
      </c>
      <c r="D19">
        <v>-0.15590311206736107</v>
      </c>
      <c r="E19">
        <v>-0.38362355658298358</v>
      </c>
      <c r="F19">
        <v>-7.7560869682682373E-2</v>
      </c>
      <c r="G19">
        <v>-3.6701220839243515E-2</v>
      </c>
      <c r="I19" t="s">
        <v>2</v>
      </c>
      <c r="J19">
        <v>-0.58665492369693095</v>
      </c>
      <c r="K19">
        <v>1</v>
      </c>
      <c r="L19">
        <v>0.53570220614989639</v>
      </c>
      <c r="M19">
        <v>-0.12012654569391018</v>
      </c>
      <c r="N19">
        <v>-0.53084193407989244</v>
      </c>
      <c r="O19">
        <v>0.58035576886547779</v>
      </c>
      <c r="Q19" t="s">
        <v>2</v>
      </c>
      <c r="R19">
        <v>-0.36345594196039865</v>
      </c>
      <c r="S19">
        <v>1</v>
      </c>
      <c r="T19">
        <v>0.29153772819597823</v>
      </c>
      <c r="U19">
        <v>-0.27799409151248428</v>
      </c>
      <c r="V19">
        <v>-0.4447518139787166</v>
      </c>
      <c r="W19">
        <v>0.43831501147276936</v>
      </c>
    </row>
    <row r="20" spans="1:23" x14ac:dyDescent="0.3">
      <c r="A20" t="s">
        <v>3</v>
      </c>
      <c r="B20">
        <v>-0.82224089574807646</v>
      </c>
      <c r="C20">
        <v>-0.15590311206736107</v>
      </c>
      <c r="D20">
        <v>1</v>
      </c>
      <c r="E20">
        <v>0.60328425757805659</v>
      </c>
      <c r="F20">
        <v>-0.83728567502635631</v>
      </c>
      <c r="G20">
        <v>0.62996252501896544</v>
      </c>
      <c r="I20" t="s">
        <v>3</v>
      </c>
      <c r="J20">
        <v>-0.96909020801053991</v>
      </c>
      <c r="K20">
        <v>0.53570220614989639</v>
      </c>
      <c r="L20">
        <v>1</v>
      </c>
      <c r="M20">
        <v>0.59591485959103041</v>
      </c>
      <c r="N20">
        <v>-0.66023738363620132</v>
      </c>
      <c r="O20">
        <v>0.81444744773695643</v>
      </c>
      <c r="Q20" t="s">
        <v>3</v>
      </c>
      <c r="R20">
        <v>-0.94491652430378181</v>
      </c>
      <c r="S20">
        <v>0.29153772819597823</v>
      </c>
      <c r="T20">
        <v>1</v>
      </c>
      <c r="U20">
        <v>0.39715450548667491</v>
      </c>
      <c r="V20">
        <v>-0.59071848733934185</v>
      </c>
      <c r="W20">
        <v>0.59212158185565555</v>
      </c>
    </row>
    <row r="21" spans="1:23" x14ac:dyDescent="0.3">
      <c r="A21" t="s">
        <v>4</v>
      </c>
      <c r="B21">
        <v>-0.30225553291237833</v>
      </c>
      <c r="C21">
        <v>-0.38362355658298358</v>
      </c>
      <c r="D21">
        <v>0.60328425757805659</v>
      </c>
      <c r="E21">
        <v>1</v>
      </c>
      <c r="F21">
        <v>-0.64793934664555819</v>
      </c>
      <c r="G21">
        <v>0.73745561540099513</v>
      </c>
      <c r="I21" t="s">
        <v>4</v>
      </c>
      <c r="J21">
        <v>-0.552955498784786</v>
      </c>
      <c r="K21">
        <v>-0.12012654569391018</v>
      </c>
      <c r="L21">
        <v>0.59591485959103041</v>
      </c>
      <c r="M21">
        <v>1</v>
      </c>
      <c r="N21">
        <v>-0.47436762652136488</v>
      </c>
      <c r="O21">
        <v>0.47521135148198962</v>
      </c>
      <c r="Q21" t="s">
        <v>4</v>
      </c>
      <c r="R21">
        <v>-0.46633991853215284</v>
      </c>
      <c r="S21">
        <v>-0.27799409151248428</v>
      </c>
      <c r="T21">
        <v>0.39715450548667491</v>
      </c>
      <c r="U21">
        <v>1</v>
      </c>
      <c r="V21">
        <v>-0.56343440603732586</v>
      </c>
      <c r="W21">
        <v>0.43466712997134971</v>
      </c>
    </row>
    <row r="22" spans="1:23" x14ac:dyDescent="0.3">
      <c r="A22" t="s">
        <v>5</v>
      </c>
      <c r="B22">
        <v>0.57639374416342948</v>
      </c>
      <c r="C22">
        <v>-7.7560869682682373E-2</v>
      </c>
      <c r="D22">
        <v>-0.83728567502635631</v>
      </c>
      <c r="E22">
        <v>-0.64793934664555819</v>
      </c>
      <c r="F22">
        <v>1</v>
      </c>
      <c r="G22">
        <v>-0.81033471262349976</v>
      </c>
      <c r="I22" t="s">
        <v>5</v>
      </c>
      <c r="J22">
        <v>0.7338510005920883</v>
      </c>
      <c r="K22">
        <v>-0.53084193407989244</v>
      </c>
      <c r="L22">
        <v>-0.66023738363620132</v>
      </c>
      <c r="M22">
        <v>-0.47436762652136488</v>
      </c>
      <c r="N22">
        <v>1</v>
      </c>
      <c r="O22">
        <v>-0.92719987279738947</v>
      </c>
      <c r="Q22" t="s">
        <v>5</v>
      </c>
      <c r="R22">
        <v>0.66893854675975184</v>
      </c>
      <c r="S22">
        <v>-0.4447518139787166</v>
      </c>
      <c r="T22">
        <v>-0.59071848733934185</v>
      </c>
      <c r="U22">
        <v>-0.56343440603732586</v>
      </c>
      <c r="V22">
        <v>1</v>
      </c>
      <c r="W22">
        <v>-0.90341683540909201</v>
      </c>
    </row>
    <row r="23" spans="1:23" x14ac:dyDescent="0.3">
      <c r="A23" t="s">
        <v>6</v>
      </c>
      <c r="B23">
        <v>-0.32668749205052067</v>
      </c>
      <c r="C23">
        <v>-3.6701220839243515E-2</v>
      </c>
      <c r="D23">
        <v>0.62996252501896544</v>
      </c>
      <c r="E23">
        <v>0.73745561540099513</v>
      </c>
      <c r="F23">
        <v>-0.81033471262349976</v>
      </c>
      <c r="G23">
        <v>1</v>
      </c>
      <c r="I23" t="s">
        <v>6</v>
      </c>
      <c r="J23">
        <v>-0.89080584880290448</v>
      </c>
      <c r="K23">
        <v>0.58035576886547779</v>
      </c>
      <c r="L23">
        <v>0.81444744773695643</v>
      </c>
      <c r="M23">
        <v>0.47521135148198962</v>
      </c>
      <c r="N23">
        <v>-0.92719987279738947</v>
      </c>
      <c r="O23">
        <v>1</v>
      </c>
      <c r="Q23" t="s">
        <v>6</v>
      </c>
      <c r="R23">
        <v>-0.73179567320730932</v>
      </c>
      <c r="S23">
        <v>0.43831501147276936</v>
      </c>
      <c r="T23">
        <v>0.59212158185565555</v>
      </c>
      <c r="U23">
        <v>0.43466712997134971</v>
      </c>
      <c r="V23">
        <v>-0.90341683540909201</v>
      </c>
      <c r="W23">
        <v>1</v>
      </c>
    </row>
    <row r="25" spans="1:23" x14ac:dyDescent="0.3">
      <c r="A25" t="s">
        <v>20</v>
      </c>
      <c r="I25" t="s">
        <v>20</v>
      </c>
      <c r="Q25" t="s">
        <v>20</v>
      </c>
    </row>
    <row r="26" spans="1:23" ht="15" thickBot="1" x14ac:dyDescent="0.35"/>
    <row r="27" spans="1:23" x14ac:dyDescent="0.3">
      <c r="A27" s="18" t="s">
        <v>21</v>
      </c>
      <c r="B27" s="18"/>
      <c r="I27" s="18" t="s">
        <v>21</v>
      </c>
      <c r="J27" s="18"/>
      <c r="Q27" s="18" t="s">
        <v>21</v>
      </c>
      <c r="R27" s="18"/>
    </row>
    <row r="28" spans="1:23" x14ac:dyDescent="0.3">
      <c r="A28" t="s">
        <v>22</v>
      </c>
      <c r="B28">
        <v>0.94924691467441835</v>
      </c>
      <c r="I28" t="s">
        <v>22</v>
      </c>
      <c r="J28">
        <v>0.98820811772652728</v>
      </c>
      <c r="Q28" t="s">
        <v>22</v>
      </c>
      <c r="R28">
        <v>0.98585933489356425</v>
      </c>
    </row>
    <row r="29" spans="1:23" x14ac:dyDescent="0.3">
      <c r="A29" t="s">
        <v>23</v>
      </c>
      <c r="B29">
        <v>0.90106970501890238</v>
      </c>
      <c r="I29" t="s">
        <v>23</v>
      </c>
      <c r="J29">
        <v>0.97655528394060609</v>
      </c>
      <c r="Q29" t="s">
        <v>23</v>
      </c>
      <c r="R29">
        <v>0.97191862819678088</v>
      </c>
    </row>
    <row r="30" spans="1:23" x14ac:dyDescent="0.3">
      <c r="A30" t="s">
        <v>24</v>
      </c>
      <c r="B30">
        <v>0.8304052086038326</v>
      </c>
      <c r="I30" t="s">
        <v>24</v>
      </c>
      <c r="J30">
        <v>0.95980905818389617</v>
      </c>
      <c r="Q30" t="s">
        <v>24</v>
      </c>
      <c r="R30">
        <v>0.95186050548019574</v>
      </c>
    </row>
    <row r="31" spans="1:23" x14ac:dyDescent="0.3">
      <c r="A31" t="s">
        <v>25</v>
      </c>
      <c r="B31">
        <v>0.46486869274911408</v>
      </c>
      <c r="I31" t="s">
        <v>25</v>
      </c>
      <c r="J31">
        <v>0.36395064142428923</v>
      </c>
      <c r="Q31" t="s">
        <v>25</v>
      </c>
      <c r="R31">
        <v>0.37507944074435018</v>
      </c>
    </row>
    <row r="32" spans="1:23" ht="15" thickBot="1" x14ac:dyDescent="0.35">
      <c r="A32" s="11" t="s">
        <v>26</v>
      </c>
      <c r="B32" s="11">
        <v>13</v>
      </c>
      <c r="I32" s="11" t="s">
        <v>26</v>
      </c>
      <c r="J32" s="11">
        <v>13</v>
      </c>
      <c r="Q32" s="11" t="s">
        <v>26</v>
      </c>
      <c r="R32" s="11">
        <v>13</v>
      </c>
    </row>
    <row r="34" spans="1:25" ht="15" thickBot="1" x14ac:dyDescent="0.35">
      <c r="A34" t="s">
        <v>27</v>
      </c>
      <c r="I34" t="s">
        <v>27</v>
      </c>
      <c r="Q34" t="s">
        <v>27</v>
      </c>
    </row>
    <row r="35" spans="1:25" x14ac:dyDescent="0.3">
      <c r="A35" s="13"/>
      <c r="B35" s="13" t="s">
        <v>32</v>
      </c>
      <c r="C35" s="13" t="s">
        <v>33</v>
      </c>
      <c r="D35" s="13" t="s">
        <v>34</v>
      </c>
      <c r="E35" s="13" t="s">
        <v>35</v>
      </c>
      <c r="F35" s="13" t="s">
        <v>36</v>
      </c>
      <c r="I35" s="13"/>
      <c r="J35" s="13" t="s">
        <v>32</v>
      </c>
      <c r="K35" s="13" t="s">
        <v>33</v>
      </c>
      <c r="L35" s="13" t="s">
        <v>34</v>
      </c>
      <c r="M35" s="13" t="s">
        <v>35</v>
      </c>
      <c r="N35" s="13" t="s">
        <v>36</v>
      </c>
      <c r="Q35" s="13"/>
      <c r="R35" s="13" t="s">
        <v>32</v>
      </c>
      <c r="S35" s="13" t="s">
        <v>33</v>
      </c>
      <c r="T35" s="13" t="s">
        <v>34</v>
      </c>
      <c r="U35" s="13" t="s">
        <v>35</v>
      </c>
      <c r="V35" s="13" t="s">
        <v>36</v>
      </c>
    </row>
    <row r="36" spans="1:25" x14ac:dyDescent="0.3">
      <c r="A36" t="s">
        <v>28</v>
      </c>
      <c r="B36">
        <v>5</v>
      </c>
      <c r="C36">
        <v>13.778048920281341</v>
      </c>
      <c r="D36">
        <v>2.7556097840562681</v>
      </c>
      <c r="E36">
        <v>12.751378000717521</v>
      </c>
      <c r="F36">
        <v>2.0962968551274503E-3</v>
      </c>
      <c r="I36" t="s">
        <v>28</v>
      </c>
      <c r="J36">
        <v>5</v>
      </c>
      <c r="K36">
        <v>38.622010283478716</v>
      </c>
      <c r="L36">
        <v>7.7244020566957428</v>
      </c>
      <c r="M36">
        <v>58.314947984581906</v>
      </c>
      <c r="N36">
        <v>1.4896100559842974E-5</v>
      </c>
      <c r="Q36" t="s">
        <v>28</v>
      </c>
      <c r="R36">
        <v>5</v>
      </c>
      <c r="S36">
        <v>34.084438661147111</v>
      </c>
      <c r="T36">
        <v>6.8168877322294223</v>
      </c>
      <c r="U36">
        <v>48.455114266159548</v>
      </c>
      <c r="V36">
        <v>2.7860138130770057E-5</v>
      </c>
    </row>
    <row r="37" spans="1:25" x14ac:dyDescent="0.3">
      <c r="A37" t="s">
        <v>29</v>
      </c>
      <c r="B37">
        <v>7</v>
      </c>
      <c r="C37">
        <v>1.5127203104878915</v>
      </c>
      <c r="D37">
        <v>0.21610290149827022</v>
      </c>
      <c r="I37" t="s">
        <v>29</v>
      </c>
      <c r="J37">
        <v>7</v>
      </c>
      <c r="K37">
        <v>0.92722048575206095</v>
      </c>
      <c r="L37">
        <v>0.13246006939315155</v>
      </c>
      <c r="Q37" t="s">
        <v>29</v>
      </c>
      <c r="R37">
        <v>7</v>
      </c>
      <c r="S37">
        <v>0.98479210808366135</v>
      </c>
      <c r="T37">
        <v>0.14068458686909449</v>
      </c>
    </row>
    <row r="38" spans="1:25" ht="15" thickBot="1" x14ac:dyDescent="0.35">
      <c r="A38" s="11" t="s">
        <v>30</v>
      </c>
      <c r="B38" s="11">
        <v>12</v>
      </c>
      <c r="C38" s="11">
        <v>15.290769230769232</v>
      </c>
      <c r="D38" s="11"/>
      <c r="E38" s="11"/>
      <c r="I38" s="11" t="s">
        <v>30</v>
      </c>
      <c r="J38" s="11">
        <v>12</v>
      </c>
      <c r="K38" s="11">
        <v>39.549230769230775</v>
      </c>
      <c r="L38" s="11"/>
      <c r="M38" s="11"/>
      <c r="Q38" s="11" t="s">
        <v>30</v>
      </c>
      <c r="R38" s="11">
        <v>12</v>
      </c>
      <c r="S38" s="11">
        <v>35.069230769230771</v>
      </c>
      <c r="T38" s="11"/>
      <c r="U38" s="11"/>
    </row>
    <row r="39" spans="1:25" ht="15" thickBot="1" x14ac:dyDescent="0.35"/>
    <row r="40" spans="1:25" x14ac:dyDescent="0.3">
      <c r="A40" s="13"/>
      <c r="B40" s="13" t="s">
        <v>37</v>
      </c>
      <c r="C40" s="13" t="s">
        <v>25</v>
      </c>
      <c r="D40" s="13" t="s">
        <v>38</v>
      </c>
      <c r="E40" s="13" t="s">
        <v>39</v>
      </c>
      <c r="F40" s="14"/>
      <c r="G40" s="14"/>
      <c r="H40" s="22"/>
      <c r="I40" s="13"/>
      <c r="J40" s="13" t="s">
        <v>37</v>
      </c>
      <c r="K40" s="13" t="s">
        <v>25</v>
      </c>
      <c r="L40" s="13" t="s">
        <v>38</v>
      </c>
      <c r="M40" s="13" t="s">
        <v>39</v>
      </c>
      <c r="N40" s="14"/>
      <c r="O40" s="14"/>
      <c r="P40" s="22"/>
      <c r="Q40" s="13"/>
      <c r="R40" s="13" t="s">
        <v>37</v>
      </c>
      <c r="S40" s="13" t="s">
        <v>25</v>
      </c>
      <c r="T40" s="13" t="s">
        <v>38</v>
      </c>
      <c r="U40" s="13" t="s">
        <v>39</v>
      </c>
      <c r="V40" s="14"/>
      <c r="W40" s="14"/>
      <c r="X40" s="14"/>
      <c r="Y40" s="14"/>
    </row>
    <row r="41" spans="1:25" x14ac:dyDescent="0.3">
      <c r="A41" t="s">
        <v>31</v>
      </c>
      <c r="B41">
        <v>-35.572878660712696</v>
      </c>
      <c r="C41">
        <v>17.100635657677035</v>
      </c>
      <c r="D41">
        <v>-2.0802079743008188</v>
      </c>
      <c r="E41">
        <v>7.6061779165093796E-2</v>
      </c>
      <c r="I41" t="s">
        <v>31</v>
      </c>
      <c r="J41">
        <v>35.559512166087686</v>
      </c>
      <c r="K41">
        <v>18.171852621526867</v>
      </c>
      <c r="L41">
        <v>1.9568457276592113</v>
      </c>
      <c r="M41">
        <v>9.1242743467753379E-2</v>
      </c>
      <c r="Q41" t="s">
        <v>31</v>
      </c>
      <c r="R41">
        <v>73.243353055039407</v>
      </c>
      <c r="S41">
        <v>20.304439037272886</v>
      </c>
      <c r="T41">
        <v>3.6072581429403927</v>
      </c>
      <c r="U41">
        <v>8.6557202907404478E-3</v>
      </c>
    </row>
    <row r="42" spans="1:25" x14ac:dyDescent="0.3">
      <c r="A42" t="s">
        <v>2</v>
      </c>
      <c r="B42">
        <v>1.5779836700619085</v>
      </c>
      <c r="C42">
        <v>0.49326957411432537</v>
      </c>
      <c r="D42">
        <v>3.1990289952410045</v>
      </c>
      <c r="E42">
        <v>1.5086147022243842E-2</v>
      </c>
      <c r="I42" t="s">
        <v>2</v>
      </c>
      <c r="J42">
        <v>-0.2586320275388907</v>
      </c>
      <c r="K42">
        <v>0.33864374683400827</v>
      </c>
      <c r="L42">
        <v>-0.76372893330188485</v>
      </c>
      <c r="M42" s="23">
        <v>0.46998247174877716</v>
      </c>
      <c r="Q42" t="s">
        <v>2</v>
      </c>
      <c r="R42">
        <v>-0.75041795820508572</v>
      </c>
      <c r="S42">
        <v>0.35074929855843778</v>
      </c>
      <c r="T42">
        <v>-2.1394710161624451</v>
      </c>
      <c r="U42" s="23">
        <v>6.9688725596508017E-2</v>
      </c>
    </row>
    <row r="43" spans="1:25" x14ac:dyDescent="0.3">
      <c r="A43" t="s">
        <v>3</v>
      </c>
      <c r="B43">
        <v>-4.0707161744897962E-6</v>
      </c>
      <c r="C43">
        <v>1.1592536907221208E-6</v>
      </c>
      <c r="D43">
        <v>-3.5114972736934491</v>
      </c>
      <c r="E43">
        <v>9.8395368106221973E-3</v>
      </c>
      <c r="I43" t="s">
        <v>3</v>
      </c>
      <c r="J43">
        <v>-2.2215227586385125E-6</v>
      </c>
      <c r="K43">
        <v>5.8669593950466998E-7</v>
      </c>
      <c r="L43">
        <v>-3.7864975859796788</v>
      </c>
      <c r="M43">
        <v>6.8340594505393992E-3</v>
      </c>
      <c r="Q43" t="s">
        <v>3</v>
      </c>
      <c r="R43">
        <v>-2.3303354403277223E-6</v>
      </c>
      <c r="S43">
        <v>2.5067806102940398E-7</v>
      </c>
      <c r="T43">
        <v>-9.296128391763725</v>
      </c>
      <c r="U43">
        <v>3.4541360008541221E-5</v>
      </c>
    </row>
    <row r="44" spans="1:25" x14ac:dyDescent="0.3">
      <c r="A44" t="s">
        <v>4</v>
      </c>
      <c r="B44">
        <v>0.42865463665593845</v>
      </c>
      <c r="C44">
        <v>0.16478822237856486</v>
      </c>
      <c r="D44">
        <v>2.6012455894523718</v>
      </c>
      <c r="E44">
        <v>3.5360989041804687E-2</v>
      </c>
      <c r="I44" t="s">
        <v>4</v>
      </c>
      <c r="J44">
        <v>-8.1047045549254945E-2</v>
      </c>
      <c r="K44">
        <v>0.15590972435694414</v>
      </c>
      <c r="L44">
        <v>-0.51983316552919778</v>
      </c>
      <c r="M44" s="23">
        <v>0.61920907289522154</v>
      </c>
      <c r="Q44" t="s">
        <v>4</v>
      </c>
      <c r="R44">
        <v>-0.4023180469279955</v>
      </c>
      <c r="S44">
        <v>0.16068213089641134</v>
      </c>
      <c r="T44">
        <v>-2.5038132409842273</v>
      </c>
      <c r="U44">
        <v>4.0764155665800314E-2</v>
      </c>
    </row>
    <row r="45" spans="1:25" x14ac:dyDescent="0.3">
      <c r="A45" t="s">
        <v>5</v>
      </c>
      <c r="B45">
        <v>20.87192941946731</v>
      </c>
      <c r="C45">
        <v>21.025797787849957</v>
      </c>
      <c r="D45">
        <v>0.99268192484607831</v>
      </c>
      <c r="E45" s="23">
        <v>0.35393176798825371</v>
      </c>
      <c r="I45" t="s">
        <v>5</v>
      </c>
      <c r="J45">
        <v>-15.741136386134842</v>
      </c>
      <c r="K45">
        <v>11.933276156101588</v>
      </c>
      <c r="L45">
        <v>-1.3190959615969553</v>
      </c>
      <c r="M45" s="23">
        <v>0.22864760415241084</v>
      </c>
      <c r="Q45" t="s">
        <v>5</v>
      </c>
      <c r="R45">
        <v>-50.343943439486857</v>
      </c>
      <c r="S45">
        <v>18.963018478191273</v>
      </c>
      <c r="T45">
        <v>-2.6548486200857595</v>
      </c>
      <c r="U45">
        <v>3.2710698933796668E-2</v>
      </c>
    </row>
    <row r="46" spans="1:25" ht="15" thickBot="1" x14ac:dyDescent="0.35">
      <c r="A46" s="11" t="s">
        <v>6</v>
      </c>
      <c r="B46" s="11">
        <v>2.0944703188296092E-3</v>
      </c>
      <c r="C46" s="11">
        <v>5.6967502723385497E-3</v>
      </c>
      <c r="D46" s="11">
        <v>0.36766054657505931</v>
      </c>
      <c r="E46" s="24">
        <v>0.72399112510162156</v>
      </c>
      <c r="I46" s="11" t="s">
        <v>6</v>
      </c>
      <c r="J46" s="11">
        <v>-1.6632425039293339E-2</v>
      </c>
      <c r="K46" s="11">
        <v>6.956921656714841E-3</v>
      </c>
      <c r="L46" s="11">
        <v>-2.3907736582371419</v>
      </c>
      <c r="M46" s="11">
        <v>4.8114067792133057E-2</v>
      </c>
      <c r="Q46" s="11" t="s">
        <v>6</v>
      </c>
      <c r="R46" s="11">
        <v>-1.6812797919641135E-2</v>
      </c>
      <c r="S46" s="11">
        <v>4.9712573025887177E-3</v>
      </c>
      <c r="T46" s="11">
        <v>-3.3820011510742138</v>
      </c>
      <c r="U46" s="11">
        <v>1.172663709530955E-2</v>
      </c>
    </row>
    <row r="48" spans="1:25" x14ac:dyDescent="0.3">
      <c r="A48" t="s">
        <v>46</v>
      </c>
      <c r="B48" t="str">
        <f>"y="&amp;F50&amp;"+"&amp;E50&amp;"X1+"&amp;D50&amp;"X2+"&amp;C50&amp;"X3+"&amp;B50&amp;"X4+"&amp;A50&amp;"X5"</f>
        <v>y=-35,5729+1,578X1+-0,0000041X2+0,4287X3+20,8719X4+0,0021X5</v>
      </c>
      <c r="I48" t="s">
        <v>46</v>
      </c>
      <c r="J48" t="str">
        <f>"y="&amp;N50&amp;"+"&amp;M50&amp;"X1+"&amp;L50&amp;"X2+"&amp;K50&amp;"X3+"&amp;J50&amp;"X4+"&amp;I50&amp;"X5"</f>
        <v>y=35,5595+-0,2586X1+-0,0000022X2+-0,081X3+-15,7411X4+-0,0166X5</v>
      </c>
      <c r="Q48" t="s">
        <v>46</v>
      </c>
      <c r="R48" t="str">
        <f>"y="&amp;V50&amp;"+"&amp;U50&amp;"X1+"&amp;T50&amp;"X2+"&amp;S50&amp;"X3+"&amp;R50&amp;"X4+"&amp;Q50&amp;"X5"</f>
        <v>y=73,2434+-0,7504X1+-0,0000023X2+-0,4023X3+-50,3439X4+-0,0168X5</v>
      </c>
    </row>
    <row r="49" spans="1:22" x14ac:dyDescent="0.3">
      <c r="A49" t="s">
        <v>41</v>
      </c>
      <c r="B49" t="s">
        <v>42</v>
      </c>
      <c r="C49" t="s">
        <v>43</v>
      </c>
      <c r="D49" t="s">
        <v>44</v>
      </c>
      <c r="E49" t="s">
        <v>45</v>
      </c>
      <c r="F49" t="s">
        <v>40</v>
      </c>
      <c r="I49" t="s">
        <v>41</v>
      </c>
      <c r="J49" t="s">
        <v>42</v>
      </c>
      <c r="K49" t="s">
        <v>43</v>
      </c>
      <c r="L49" t="s">
        <v>44</v>
      </c>
      <c r="M49" t="s">
        <v>45</v>
      </c>
      <c r="N49" t="s">
        <v>40</v>
      </c>
      <c r="Q49" t="s">
        <v>41</v>
      </c>
      <c r="R49" t="s">
        <v>42</v>
      </c>
      <c r="S49" t="s">
        <v>43</v>
      </c>
      <c r="T49" t="s">
        <v>44</v>
      </c>
      <c r="U49" t="s">
        <v>45</v>
      </c>
      <c r="V49" t="s">
        <v>40</v>
      </c>
    </row>
    <row r="50" spans="1:22" x14ac:dyDescent="0.3">
      <c r="A50" s="19">
        <f>ROUND(A51,4)</f>
        <v>2.0999999999999999E-3</v>
      </c>
      <c r="B50" s="19">
        <f t="shared" ref="B50:F50" si="0">ROUND(B51,4)</f>
        <v>20.8719</v>
      </c>
      <c r="C50" s="19">
        <f t="shared" si="0"/>
        <v>0.42870000000000003</v>
      </c>
      <c r="D50" s="19">
        <f>ROUND(D51,7)</f>
        <v>-4.0999999999999997E-6</v>
      </c>
      <c r="E50" s="19">
        <f t="shared" si="0"/>
        <v>1.5780000000000001</v>
      </c>
      <c r="F50" s="19">
        <f t="shared" si="0"/>
        <v>-35.572899999999997</v>
      </c>
      <c r="I50" s="19">
        <f>ROUND(I51,4)</f>
        <v>-1.66E-2</v>
      </c>
      <c r="J50" s="19">
        <f t="shared" ref="J50" si="1">ROUND(J51,4)</f>
        <v>-15.741099999999999</v>
      </c>
      <c r="K50" s="19">
        <f t="shared" ref="K50" si="2">ROUND(K51,4)</f>
        <v>-8.1000000000000003E-2</v>
      </c>
      <c r="L50" s="19">
        <f>ROUND(L51,7)</f>
        <v>-2.2000000000000001E-6</v>
      </c>
      <c r="M50" s="19">
        <f t="shared" ref="M50" si="3">ROUND(M51,4)</f>
        <v>-0.2586</v>
      </c>
      <c r="N50" s="19">
        <f t="shared" ref="N50" si="4">ROUND(N51,4)</f>
        <v>35.5595</v>
      </c>
      <c r="Q50" s="19">
        <f>ROUND(Q51,4)</f>
        <v>-1.6799999999999999E-2</v>
      </c>
      <c r="R50" s="19">
        <f t="shared" ref="R50" si="5">ROUND(R51,4)</f>
        <v>-50.343899999999998</v>
      </c>
      <c r="S50" s="19">
        <f t="shared" ref="S50" si="6">ROUND(S51,4)</f>
        <v>-0.40229999999999999</v>
      </c>
      <c r="T50" s="19">
        <f>ROUND(T51,7)</f>
        <v>-2.3E-6</v>
      </c>
      <c r="U50" s="19">
        <f t="shared" ref="U50" si="7">ROUND(U51,4)</f>
        <v>-0.75039999999999996</v>
      </c>
      <c r="V50" s="19">
        <f t="shared" ref="V50" si="8">ROUND(V51,4)</f>
        <v>73.243399999999994</v>
      </c>
    </row>
    <row r="51" spans="1:22" x14ac:dyDescent="0.3">
      <c r="A51" cm="1">
        <f t="array" ref="A51:F51">LINEST(B3:B15,C3:G15)</f>
        <v>2.0944703188296092E-3</v>
      </c>
      <c r="B51">
        <v>20.87192941946731</v>
      </c>
      <c r="C51">
        <v>0.42865463665593845</v>
      </c>
      <c r="D51">
        <v>-4.0707161744897962E-6</v>
      </c>
      <c r="E51">
        <v>1.5779836700619085</v>
      </c>
      <c r="F51">
        <v>-35.572878660712696</v>
      </c>
      <c r="I51" cm="1">
        <f t="array" ref="I51:N51">LINEST(J3:J15,K3:O15)</f>
        <v>-1.6632425039293339E-2</v>
      </c>
      <c r="J51">
        <v>-15.741136386134842</v>
      </c>
      <c r="K51">
        <v>-8.1047045549254945E-2</v>
      </c>
      <c r="L51">
        <v>-2.2215227586385125E-6</v>
      </c>
      <c r="M51">
        <v>-0.2586320275388907</v>
      </c>
      <c r="N51">
        <v>35.559512166087686</v>
      </c>
      <c r="Q51" cm="1">
        <f t="array" ref="Q51:V51">LINEST(R3:R15,S3:W15)</f>
        <v>-1.6812797919641135E-2</v>
      </c>
      <c r="R51">
        <v>-50.343943439486857</v>
      </c>
      <c r="S51">
        <v>-0.4023180469279955</v>
      </c>
      <c r="T51">
        <v>-2.3303354403277223E-6</v>
      </c>
      <c r="U51">
        <v>-0.75041795820508572</v>
      </c>
      <c r="V51">
        <v>73.243353055039407</v>
      </c>
    </row>
    <row r="53" spans="1:22" s="20" customFormat="1" ht="27.6" customHeight="1" x14ac:dyDescent="0.3">
      <c r="A53" s="20" t="s">
        <v>47</v>
      </c>
      <c r="H53" s="21"/>
      <c r="I53" s="20" t="s">
        <v>48</v>
      </c>
      <c r="P53" s="21"/>
      <c r="Q53" s="20" t="s">
        <v>49</v>
      </c>
    </row>
    <row r="55" spans="1:22" x14ac:dyDescent="0.3">
      <c r="A55" t="s">
        <v>20</v>
      </c>
      <c r="I55" t="s">
        <v>20</v>
      </c>
      <c r="Q55" t="s">
        <v>20</v>
      </c>
    </row>
    <row r="56" spans="1:22" ht="15" thickBot="1" x14ac:dyDescent="0.35"/>
    <row r="57" spans="1:22" x14ac:dyDescent="0.3">
      <c r="A57" s="18" t="s">
        <v>21</v>
      </c>
      <c r="B57" s="18"/>
      <c r="I57" s="18" t="s">
        <v>21</v>
      </c>
      <c r="J57" s="18"/>
      <c r="Q57" s="18" t="s">
        <v>21</v>
      </c>
      <c r="R57" s="18"/>
    </row>
    <row r="58" spans="1:22" x14ac:dyDescent="0.3">
      <c r="A58" t="s">
        <v>22</v>
      </c>
      <c r="B58">
        <v>0.94163569548186343</v>
      </c>
      <c r="I58" t="s">
        <v>22</v>
      </c>
      <c r="J58">
        <v>0.98476167961175742</v>
      </c>
      <c r="Q58" t="s">
        <v>22</v>
      </c>
      <c r="R58">
        <v>0.97650195792815164</v>
      </c>
    </row>
    <row r="59" spans="1:22" x14ac:dyDescent="0.3">
      <c r="A59" t="s">
        <v>23</v>
      </c>
      <c r="B59">
        <v>0.88667778300561262</v>
      </c>
      <c r="I59" t="s">
        <v>23</v>
      </c>
      <c r="J59">
        <v>0.96975556563176968</v>
      </c>
      <c r="Q59" t="s">
        <v>23</v>
      </c>
      <c r="R59">
        <v>0.95355607383751362</v>
      </c>
    </row>
    <row r="60" spans="1:22" x14ac:dyDescent="0.3">
      <c r="A60" t="s">
        <v>24</v>
      </c>
      <c r="B60">
        <v>0.84890371067415016</v>
      </c>
      <c r="I60" t="s">
        <v>24</v>
      </c>
      <c r="J60">
        <v>0.96370667875812366</v>
      </c>
      <c r="Q60" t="s">
        <v>24</v>
      </c>
      <c r="R60">
        <v>0.93033411075627037</v>
      </c>
    </row>
    <row r="61" spans="1:22" x14ac:dyDescent="0.3">
      <c r="A61" t="s">
        <v>25</v>
      </c>
      <c r="B61">
        <v>0.43878416217497235</v>
      </c>
      <c r="I61" t="s">
        <v>25</v>
      </c>
      <c r="J61">
        <v>0.34585316455310849</v>
      </c>
      <c r="Q61" t="s">
        <v>25</v>
      </c>
      <c r="R61">
        <v>0.45121402410903472</v>
      </c>
    </row>
    <row r="62" spans="1:22" ht="15" thickBot="1" x14ac:dyDescent="0.35">
      <c r="A62" s="11" t="s">
        <v>26</v>
      </c>
      <c r="B62" s="11">
        <v>13</v>
      </c>
      <c r="I62" s="11" t="s">
        <v>26</v>
      </c>
      <c r="J62" s="11">
        <v>13</v>
      </c>
      <c r="Q62" s="11" t="s">
        <v>26</v>
      </c>
      <c r="R62" s="11">
        <v>13</v>
      </c>
    </row>
    <row r="64" spans="1:22" ht="15" thickBot="1" x14ac:dyDescent="0.35">
      <c r="A64" t="s">
        <v>27</v>
      </c>
      <c r="I64" t="s">
        <v>27</v>
      </c>
      <c r="Q64" t="s">
        <v>27</v>
      </c>
    </row>
    <row r="65" spans="1:22" x14ac:dyDescent="0.3">
      <c r="A65" s="13"/>
      <c r="B65" s="13" t="s">
        <v>32</v>
      </c>
      <c r="C65" s="13" t="s">
        <v>33</v>
      </c>
      <c r="D65" s="13" t="s">
        <v>34</v>
      </c>
      <c r="E65" s="13" t="s">
        <v>35</v>
      </c>
      <c r="F65" s="13" t="s">
        <v>36</v>
      </c>
      <c r="I65" s="13"/>
      <c r="J65" s="13" t="s">
        <v>32</v>
      </c>
      <c r="K65" s="13" t="s">
        <v>33</v>
      </c>
      <c r="L65" s="13" t="s">
        <v>34</v>
      </c>
      <c r="M65" s="13" t="s">
        <v>35</v>
      </c>
      <c r="N65" s="13" t="s">
        <v>36</v>
      </c>
      <c r="Q65" s="13"/>
      <c r="R65" s="13" t="s">
        <v>32</v>
      </c>
      <c r="S65" s="13" t="s">
        <v>33</v>
      </c>
      <c r="T65" s="13" t="s">
        <v>34</v>
      </c>
      <c r="U65" s="13" t="s">
        <v>35</v>
      </c>
      <c r="V65" s="13" t="s">
        <v>36</v>
      </c>
    </row>
    <row r="66" spans="1:22" x14ac:dyDescent="0.3">
      <c r="A66" t="s">
        <v>28</v>
      </c>
      <c r="B66">
        <v>3</v>
      </c>
      <c r="C66">
        <v>13.5579853619889</v>
      </c>
      <c r="D66">
        <v>4.5193284539962999</v>
      </c>
      <c r="E66">
        <v>23.473184866729046</v>
      </c>
      <c r="F66">
        <v>1.3678839006776871E-4</v>
      </c>
      <c r="I66" t="s">
        <v>28</v>
      </c>
      <c r="J66">
        <v>2</v>
      </c>
      <c r="K66">
        <v>38.35308665491678</v>
      </c>
      <c r="L66">
        <v>19.17654332745839</v>
      </c>
      <c r="M66">
        <v>160.3196730057598</v>
      </c>
      <c r="N66">
        <v>2.530622317151679E-8</v>
      </c>
      <c r="Q66" t="s">
        <v>28</v>
      </c>
      <c r="R66">
        <v>4</v>
      </c>
      <c r="S66">
        <v>33.440478004809421</v>
      </c>
      <c r="T66">
        <v>8.3601195012023553</v>
      </c>
      <c r="U66">
        <v>41.062681501191385</v>
      </c>
      <c r="V66">
        <v>2.2399690826925789E-5</v>
      </c>
    </row>
    <row r="67" spans="1:22" x14ac:dyDescent="0.3">
      <c r="A67" t="s">
        <v>29</v>
      </c>
      <c r="B67">
        <v>9</v>
      </c>
      <c r="C67">
        <v>1.7327838687803319</v>
      </c>
      <c r="D67">
        <v>0.19253154097559244</v>
      </c>
      <c r="I67" t="s">
        <v>29</v>
      </c>
      <c r="J67">
        <v>10</v>
      </c>
      <c r="K67">
        <v>1.1961441143139953</v>
      </c>
      <c r="L67">
        <v>0.11961441143139953</v>
      </c>
      <c r="Q67" t="s">
        <v>29</v>
      </c>
      <c r="R67">
        <v>8</v>
      </c>
      <c r="S67">
        <v>1.6287527644213486</v>
      </c>
      <c r="T67">
        <v>0.20359409555266858</v>
      </c>
    </row>
    <row r="68" spans="1:22" ht="15" thickBot="1" x14ac:dyDescent="0.35">
      <c r="A68" s="11" t="s">
        <v>30</v>
      </c>
      <c r="B68" s="11">
        <v>12</v>
      </c>
      <c r="C68" s="11">
        <v>15.290769230769232</v>
      </c>
      <c r="D68" s="11"/>
      <c r="E68" s="11"/>
      <c r="F68" s="11"/>
      <c r="I68" s="11" t="s">
        <v>30</v>
      </c>
      <c r="J68" s="11">
        <v>12</v>
      </c>
      <c r="K68" s="11">
        <v>39.549230769230775</v>
      </c>
      <c r="L68" s="11"/>
      <c r="M68" s="11"/>
      <c r="N68" s="11"/>
      <c r="Q68" s="11" t="s">
        <v>30</v>
      </c>
      <c r="R68" s="11">
        <v>12</v>
      </c>
      <c r="S68" s="11">
        <v>35.069230769230771</v>
      </c>
      <c r="T68" s="11"/>
      <c r="U68" s="11"/>
      <c r="V68" s="11"/>
    </row>
    <row r="69" spans="1:22" ht="15" thickBot="1" x14ac:dyDescent="0.35"/>
    <row r="70" spans="1:22" x14ac:dyDescent="0.3">
      <c r="A70" s="13"/>
      <c r="B70" s="13" t="s">
        <v>37</v>
      </c>
      <c r="C70" s="13" t="s">
        <v>25</v>
      </c>
      <c r="D70" s="13" t="s">
        <v>38</v>
      </c>
      <c r="E70" s="13" t="s">
        <v>39</v>
      </c>
      <c r="F70" s="14"/>
      <c r="G70" s="14"/>
      <c r="H70" s="22"/>
      <c r="I70" s="13"/>
      <c r="J70" s="13" t="s">
        <v>37</v>
      </c>
      <c r="K70" s="13" t="s">
        <v>25</v>
      </c>
      <c r="L70" s="13" t="s">
        <v>38</v>
      </c>
      <c r="M70" s="13" t="s">
        <v>39</v>
      </c>
      <c r="N70" s="14"/>
      <c r="Q70" s="13"/>
      <c r="R70" s="13" t="s">
        <v>37</v>
      </c>
      <c r="S70" s="13" t="s">
        <v>25</v>
      </c>
      <c r="T70" s="13" t="s">
        <v>38</v>
      </c>
      <c r="U70" s="13" t="s">
        <v>39</v>
      </c>
      <c r="V70" s="14"/>
    </row>
    <row r="71" spans="1:22" x14ac:dyDescent="0.3">
      <c r="A71" t="s">
        <v>31</v>
      </c>
      <c r="B71">
        <v>-21.270892017879174</v>
      </c>
      <c r="C71">
        <v>8.7108255884817414</v>
      </c>
      <c r="D71">
        <v>-2.4418916211576445</v>
      </c>
      <c r="E71">
        <v>3.7248878984699009E-2</v>
      </c>
      <c r="I71" t="s">
        <v>31</v>
      </c>
      <c r="J71">
        <v>17.245985730129792</v>
      </c>
      <c r="K71">
        <v>1.5220975443909333</v>
      </c>
      <c r="L71">
        <v>11.33040769540875</v>
      </c>
      <c r="M71">
        <v>5.0034470772722169E-7</v>
      </c>
      <c r="Q71" t="s">
        <v>31</v>
      </c>
      <c r="R71">
        <v>43.870696998440486</v>
      </c>
      <c r="S71">
        <v>17.996016721004288</v>
      </c>
      <c r="T71">
        <v>2.4378004132012294</v>
      </c>
      <c r="U71">
        <v>4.0703923775364685E-2</v>
      </c>
    </row>
    <row r="72" spans="1:22" x14ac:dyDescent="0.3">
      <c r="A72" t="s">
        <v>2</v>
      </c>
      <c r="B72">
        <v>1.3196464615080088</v>
      </c>
      <c r="C72">
        <v>0.38037288590684459</v>
      </c>
      <c r="D72">
        <v>3.4693494473504547</v>
      </c>
      <c r="E72">
        <v>7.0559994142238951E-3</v>
      </c>
      <c r="I72" t="s">
        <v>3</v>
      </c>
      <c r="J72">
        <v>-2.6847835967983585E-6</v>
      </c>
      <c r="K72">
        <v>3.5172545322045923E-7</v>
      </c>
      <c r="L72">
        <v>-7.6331797207623575</v>
      </c>
      <c r="M72">
        <v>1.7719645988138853E-5</v>
      </c>
      <c r="Q72" t="s">
        <v>3</v>
      </c>
      <c r="R72">
        <v>-2.4245650643242755E-6</v>
      </c>
      <c r="S72">
        <v>2.9687032617297122E-7</v>
      </c>
      <c r="T72">
        <v>-8.1670845839661492</v>
      </c>
      <c r="U72">
        <v>3.7619611538780871E-5</v>
      </c>
    </row>
    <row r="73" spans="1:22" ht="15" thickBot="1" x14ac:dyDescent="0.35">
      <c r="A73" t="s">
        <v>3</v>
      </c>
      <c r="B73">
        <v>-4.9927417382986825E-6</v>
      </c>
      <c r="C73">
        <v>6.6851169569446474E-7</v>
      </c>
      <c r="D73">
        <v>-7.4684433652460065</v>
      </c>
      <c r="E73">
        <v>3.8172528277879347E-5</v>
      </c>
      <c r="I73" s="11" t="s">
        <v>6</v>
      </c>
      <c r="J73" s="11">
        <v>-8.7783397915281308E-3</v>
      </c>
      <c r="K73" s="11">
        <v>2.7588901678412734E-3</v>
      </c>
      <c r="L73" s="11">
        <v>-3.1818373539664493</v>
      </c>
      <c r="M73" s="11">
        <v>9.7888618342812095E-3</v>
      </c>
      <c r="Q73" t="s">
        <v>4</v>
      </c>
      <c r="R73">
        <v>-0.15349743208995623</v>
      </c>
      <c r="S73">
        <v>0.13337948006298017</v>
      </c>
      <c r="T73">
        <v>-1.1508324370246203</v>
      </c>
      <c r="U73" s="23">
        <v>0.28303513875565078</v>
      </c>
    </row>
    <row r="74" spans="1:22" ht="15" thickBot="1" x14ac:dyDescent="0.35">
      <c r="A74" s="11" t="s">
        <v>4</v>
      </c>
      <c r="B74" s="11">
        <v>0.38103753634491744</v>
      </c>
      <c r="C74" s="11">
        <v>0.11584799593622559</v>
      </c>
      <c r="D74" s="11">
        <v>3.2891163396100427</v>
      </c>
      <c r="E74" s="11">
        <v>9.3915829279438631E-3</v>
      </c>
      <c r="Q74" t="s">
        <v>5</v>
      </c>
      <c r="R74">
        <v>-29.332804554572764</v>
      </c>
      <c r="S74">
        <v>19.514646116859193</v>
      </c>
      <c r="T74">
        <v>-1.5031174215981</v>
      </c>
      <c r="U74" s="23">
        <v>0.17121451441206867</v>
      </c>
    </row>
    <row r="75" spans="1:22" ht="15" thickBot="1" x14ac:dyDescent="0.35">
      <c r="Q75" s="11" t="s">
        <v>6</v>
      </c>
      <c r="R75" s="11">
        <v>-1.5599527595535023E-2</v>
      </c>
      <c r="S75" s="11">
        <v>5.9412980241481369E-3</v>
      </c>
      <c r="T75" s="11">
        <v>-2.6256093419538034</v>
      </c>
      <c r="U75" s="11">
        <v>3.0384624105050519E-2</v>
      </c>
    </row>
    <row r="76" spans="1:22" x14ac:dyDescent="0.3">
      <c r="A76" t="s">
        <v>52</v>
      </c>
      <c r="B76" t="s">
        <v>51</v>
      </c>
      <c r="I76" t="s">
        <v>52</v>
      </c>
      <c r="J76" t="s">
        <v>50</v>
      </c>
    </row>
    <row r="77" spans="1:22" x14ac:dyDescent="0.3">
      <c r="A77" t="s">
        <v>43</v>
      </c>
      <c r="B77" t="s">
        <v>44</v>
      </c>
      <c r="C77" t="s">
        <v>45</v>
      </c>
      <c r="D77" t="s">
        <v>40</v>
      </c>
      <c r="I77" t="s">
        <v>41</v>
      </c>
      <c r="J77" t="s">
        <v>44</v>
      </c>
      <c r="K77" t="s">
        <v>40</v>
      </c>
      <c r="Q77" t="s">
        <v>52</v>
      </c>
      <c r="R77" t="s">
        <v>53</v>
      </c>
    </row>
    <row r="78" spans="1:22" x14ac:dyDescent="0.3">
      <c r="A78">
        <f>ROUND(A79,4)</f>
        <v>0.38100000000000001</v>
      </c>
      <c r="B78">
        <f>ROUND(B79,6)</f>
        <v>-5.0000000000000004E-6</v>
      </c>
      <c r="C78">
        <f t="shared" ref="C78:D78" si="9">ROUND(C79,4)</f>
        <v>1.3196000000000001</v>
      </c>
      <c r="D78">
        <f t="shared" si="9"/>
        <v>-21.270900000000001</v>
      </c>
      <c r="I78">
        <f>ROUND(I79,4)</f>
        <v>-8.8000000000000005E-3</v>
      </c>
      <c r="J78">
        <f>ROUND(J79,6)</f>
        <v>-3.0000000000000001E-6</v>
      </c>
      <c r="K78">
        <f t="shared" ref="K78" si="10">ROUND(K79,4)</f>
        <v>17.245999999999999</v>
      </c>
    </row>
    <row r="79" spans="1:22" x14ac:dyDescent="0.3">
      <c r="A79" cm="1">
        <f t="array" ref="A79:D79">LINEST(B3:B15,C3:E15)</f>
        <v>0.38103753634491744</v>
      </c>
      <c r="B79">
        <v>-4.9927417382986825E-6</v>
      </c>
      <c r="C79">
        <v>1.3196464615080088</v>
      </c>
      <c r="D79">
        <v>-21.270892017879174</v>
      </c>
      <c r="I79">
        <v>-8.7783397915281308E-3</v>
      </c>
      <c r="J79">
        <v>-2.6847835967983585E-6</v>
      </c>
      <c r="K79">
        <v>17.245985730129792</v>
      </c>
      <c r="Q79" t="s">
        <v>41</v>
      </c>
      <c r="R79" t="s">
        <v>42</v>
      </c>
      <c r="S79" t="s">
        <v>43</v>
      </c>
      <c r="T79" t="s">
        <v>44</v>
      </c>
      <c r="U79" t="s">
        <v>40</v>
      </c>
    </row>
    <row r="80" spans="1:22" x14ac:dyDescent="0.3">
      <c r="Q80">
        <v>-1.5599527595535023E-2</v>
      </c>
      <c r="R80">
        <v>-29.332804554572764</v>
      </c>
      <c r="S80">
        <v>-0.15349743208995623</v>
      </c>
      <c r="T80">
        <v>-2.4245650643242755E-6</v>
      </c>
      <c r="U80">
        <v>43.870696998440486</v>
      </c>
    </row>
    <row r="81" spans="1:22" x14ac:dyDescent="0.3">
      <c r="Q81">
        <f>ROUND(Q80,4)</f>
        <v>-1.5599999999999999E-2</v>
      </c>
      <c r="R81">
        <f t="shared" ref="R81:S81" si="11">ROUND(R80,4)</f>
        <v>-29.332799999999999</v>
      </c>
      <c r="S81">
        <f t="shared" si="11"/>
        <v>-0.1535</v>
      </c>
      <c r="T81">
        <f t="shared" ref="T81:U81" si="12">ROUND(T80,6)</f>
        <v>-1.9999999999999999E-6</v>
      </c>
      <c r="U81">
        <f t="shared" si="12"/>
        <v>43.870697</v>
      </c>
    </row>
    <row r="83" spans="1:22" s="20" customFormat="1" x14ac:dyDescent="0.3">
      <c r="A83"/>
      <c r="B83"/>
      <c r="C83"/>
      <c r="D83"/>
      <c r="E83"/>
      <c r="F83"/>
      <c r="G83"/>
      <c r="H83" s="21"/>
      <c r="I83"/>
      <c r="J83"/>
      <c r="K83"/>
      <c r="L83"/>
      <c r="M83"/>
      <c r="N83"/>
      <c r="O83"/>
      <c r="P83" s="21"/>
      <c r="Q83" s="20" t="s">
        <v>60</v>
      </c>
    </row>
    <row r="84" spans="1:22" ht="15" thickBot="1" x14ac:dyDescent="0.35"/>
    <row r="85" spans="1:22" x14ac:dyDescent="0.3">
      <c r="Q85" s="18" t="s">
        <v>21</v>
      </c>
      <c r="R85" s="18"/>
    </row>
    <row r="86" spans="1:22" x14ac:dyDescent="0.3">
      <c r="Q86" t="s">
        <v>22</v>
      </c>
      <c r="R86">
        <v>0.96880212328693949</v>
      </c>
    </row>
    <row r="87" spans="1:22" x14ac:dyDescent="0.3">
      <c r="Q87" t="s">
        <v>23</v>
      </c>
      <c r="R87">
        <v>0.93857755408528232</v>
      </c>
    </row>
    <row r="88" spans="1:22" x14ac:dyDescent="0.3">
      <c r="Q88" t="s">
        <v>24</v>
      </c>
      <c r="R88">
        <v>0.92629306490233887</v>
      </c>
    </row>
    <row r="89" spans="1:22" x14ac:dyDescent="0.3">
      <c r="Q89" t="s">
        <v>25</v>
      </c>
      <c r="R89">
        <v>0.46411614173543159</v>
      </c>
    </row>
    <row r="90" spans="1:22" ht="15" thickBot="1" x14ac:dyDescent="0.35">
      <c r="Q90" s="11" t="s">
        <v>26</v>
      </c>
      <c r="R90" s="11">
        <v>13</v>
      </c>
    </row>
    <row r="92" spans="1:22" ht="15" thickBot="1" x14ac:dyDescent="0.35">
      <c r="Q92" t="s">
        <v>27</v>
      </c>
    </row>
    <row r="93" spans="1:22" x14ac:dyDescent="0.3">
      <c r="Q93" s="13"/>
      <c r="R93" s="13" t="s">
        <v>32</v>
      </c>
      <c r="S93" s="13" t="s">
        <v>33</v>
      </c>
      <c r="T93" s="13" t="s">
        <v>34</v>
      </c>
      <c r="U93" s="13" t="s">
        <v>35</v>
      </c>
      <c r="V93" s="13" t="s">
        <v>36</v>
      </c>
    </row>
    <row r="94" spans="1:22" x14ac:dyDescent="0.3">
      <c r="Q94" t="s">
        <v>28</v>
      </c>
      <c r="R94">
        <v>2</v>
      </c>
      <c r="S94">
        <v>32.915192839036941</v>
      </c>
      <c r="T94">
        <v>16.45759641951847</v>
      </c>
      <c r="U94">
        <v>76.40346620097597</v>
      </c>
      <c r="V94">
        <v>8.7424978236082321E-7</v>
      </c>
    </row>
    <row r="95" spans="1:22" x14ac:dyDescent="0.3">
      <c r="Q95" t="s">
        <v>29</v>
      </c>
      <c r="R95">
        <v>10</v>
      </c>
      <c r="S95">
        <v>2.1540379301938324</v>
      </c>
      <c r="T95">
        <v>0.21540379301938323</v>
      </c>
    </row>
    <row r="96" spans="1:22" ht="15" thickBot="1" x14ac:dyDescent="0.35">
      <c r="Q96" s="11" t="s">
        <v>30</v>
      </c>
      <c r="R96" s="11">
        <v>12</v>
      </c>
      <c r="S96" s="11">
        <v>35.069230769230771</v>
      </c>
      <c r="T96" s="11"/>
      <c r="U96" s="11"/>
      <c r="V96" s="11"/>
    </row>
    <row r="97" spans="17:25" ht="15" thickBot="1" x14ac:dyDescent="0.35"/>
    <row r="98" spans="17:25" x14ac:dyDescent="0.3">
      <c r="Q98" s="13"/>
      <c r="R98" s="13" t="s">
        <v>37</v>
      </c>
      <c r="S98" s="13" t="s">
        <v>25</v>
      </c>
      <c r="T98" s="13" t="s">
        <v>38</v>
      </c>
      <c r="U98" s="13" t="s">
        <v>39</v>
      </c>
      <c r="V98" s="14"/>
      <c r="W98" s="14"/>
      <c r="X98" s="14"/>
      <c r="Y98" s="14"/>
    </row>
    <row r="99" spans="17:25" x14ac:dyDescent="0.3">
      <c r="Q99" t="s">
        <v>31</v>
      </c>
      <c r="R99">
        <v>15.366980069458863</v>
      </c>
      <c r="S99">
        <v>1.9968452965719912</v>
      </c>
      <c r="T99">
        <v>7.6956287479253129</v>
      </c>
      <c r="U99">
        <v>1.6511886216734669E-5</v>
      </c>
    </row>
    <row r="100" spans="17:25" x14ac:dyDescent="0.3">
      <c r="Q100" t="s">
        <v>56</v>
      </c>
      <c r="R100">
        <v>-2.4181442622775295E-6</v>
      </c>
      <c r="S100">
        <v>2.9851411493964095E-7</v>
      </c>
      <c r="T100">
        <v>-8.1006027563101135</v>
      </c>
      <c r="U100">
        <v>1.05523178544231E-5</v>
      </c>
    </row>
    <row r="101" spans="17:25" ht="15" thickBot="1" x14ac:dyDescent="0.35">
      <c r="Q101" s="11" t="s">
        <v>59</v>
      </c>
      <c r="R101" s="11">
        <v>-8.5070876045866047E-3</v>
      </c>
      <c r="S101" s="11">
        <v>3.1184396643518255E-3</v>
      </c>
      <c r="T101" s="11">
        <v>-2.7279949334388744</v>
      </c>
      <c r="U101" s="11">
        <v>2.1266473740986377E-2</v>
      </c>
    </row>
    <row r="104" spans="17:25" x14ac:dyDescent="0.3">
      <c r="Q104" s="25" t="s">
        <v>63</v>
      </c>
      <c r="R104" s="25" t="s">
        <v>61</v>
      </c>
    </row>
    <row r="105" spans="17:25" x14ac:dyDescent="0.3">
      <c r="Q105" t="s">
        <v>41</v>
      </c>
      <c r="R105" t="s">
        <v>44</v>
      </c>
      <c r="S105" t="s">
        <v>40</v>
      </c>
    </row>
    <row r="106" spans="17:25" x14ac:dyDescent="0.3">
      <c r="Q106">
        <v>-8.5070876045866047E-3</v>
      </c>
      <c r="R106">
        <v>-2.4181442622775295E-6</v>
      </c>
      <c r="S106">
        <v>15.366980069458863</v>
      </c>
      <c r="U106" t="s">
        <v>62</v>
      </c>
    </row>
    <row r="107" spans="17:25" x14ac:dyDescent="0.3">
      <c r="Q107">
        <f>ROUND(Q106,4)</f>
        <v>-8.5000000000000006E-3</v>
      </c>
      <c r="R107">
        <f>ROUND(R106,6)</f>
        <v>-1.9999999999999999E-6</v>
      </c>
      <c r="S107">
        <f t="shared" ref="S107" si="13">ROUND(S106,4)</f>
        <v>15.367000000000001</v>
      </c>
    </row>
  </sheetData>
  <phoneticPr fontId="6" type="noConversion"/>
  <conditionalFormatting sqref="B23:F23 G22 B22:E22 F21:G21 B21:D21 E20:G20 B20:C20 D19:G19 B19 C18:G18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23:N23 O22 J22:M22 N21:O21 J21:L21 M20:O20 J20:K20 L19:O19 J19 K18:O18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23:V23 W22 R22:U22 V21:W21 R21:T21 U20:W20 R20:S20 T19:W19 R19 S18:W18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Тимофей Головин</dc:creator>
  <cp:lastModifiedBy>Stakan</cp:lastModifiedBy>
  <dcterms:created xsi:type="dcterms:W3CDTF">2025-03-11T16:06:23Z</dcterms:created>
  <dcterms:modified xsi:type="dcterms:W3CDTF">2026-03-02T14:55:33Z</dcterms:modified>
</cp:coreProperties>
</file>