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ёба\Работы\"/>
    </mc:Choice>
  </mc:AlternateContent>
  <xr:revisionPtr revIDLastSave="0" documentId="13_ncr:1_{D2A7FED1-AD0F-4FA1-8568-2A1CA332A970}" xr6:coauthVersionLast="47" xr6:coauthVersionMax="47" xr10:uidLastSave="{00000000-0000-0000-0000-000000000000}"/>
  <bookViews>
    <workbookView xWindow="-108" yWindow="-108" windowWidth="23256" windowHeight="12456" firstSheet="2" activeTab="7" xr2:uid="{27BC0E91-3D3C-454C-91A6-46499C5C74E5}"/>
  </bookViews>
  <sheets>
    <sheet name="БД" sheetId="7" r:id="rId1"/>
    <sheet name="БД2" sheetId="2" r:id="rId2"/>
    <sheet name="Не выходит" sheetId="3" r:id="rId3"/>
    <sheet name="Столб с накоп" sheetId="10" r:id="rId4"/>
    <sheet name="Граф" sheetId="1" r:id="rId5"/>
    <sheet name="Ящик с усом" sheetId="4" r:id="rId6"/>
    <sheet name="Столб" sheetId="5" r:id="rId7"/>
    <sheet name="Круг" sheetId="6" r:id="rId8"/>
    <sheet name="Солн луч" sheetId="8" r:id="rId9"/>
    <sheet name="Дерево" sheetId="9" r:id="rId10"/>
    <sheet name="Лист11" sheetId="11" r:id="rId11"/>
  </sheets>
  <externalReferences>
    <externalReference r:id="rId12"/>
  </externalReferences>
  <definedNames>
    <definedName name="_xlchart.v1.10" hidden="1">'Солн луч'!$C$2:$C$86</definedName>
    <definedName name="_xlchart.v1.11" hidden="1">'Солн луч'!$A$2:$B$86</definedName>
    <definedName name="_xlchart.v1.12" hidden="1">'Солн луч'!$C$1</definedName>
    <definedName name="_xlchart.v1.13" hidden="1">'Солн луч'!$C$2:$C$86</definedName>
    <definedName name="_xlchart.v1.14" hidden="1">'Солн луч'!$A$2:$B$86</definedName>
    <definedName name="_xlchart.v1.15" hidden="1">'Солн луч'!$C$1</definedName>
    <definedName name="_xlchart.v1.16" hidden="1">'Солн луч'!$C$2:$C$86</definedName>
    <definedName name="_xlchart.v1.17" hidden="1">'Солн луч'!$A$2:$B$86</definedName>
    <definedName name="_xlchart.v1.18" hidden="1">'Солн луч'!$C$1</definedName>
    <definedName name="_xlchart.v1.19" hidden="1">'Солн луч'!$C$2:$C$86</definedName>
    <definedName name="_xlchart.v1.20" hidden="1">Дерево!$A$2:$B$86</definedName>
    <definedName name="_xlchart.v1.21" hidden="1">Дерево!$C$1</definedName>
    <definedName name="_xlchart.v1.22" hidden="1">Дерево!$C$2:$C$86</definedName>
    <definedName name="_xlchart.v1.23" hidden="1">Дерево!$A$2:$B$86</definedName>
    <definedName name="_xlchart.v1.24" hidden="1">Дерево!$C$1</definedName>
    <definedName name="_xlchart.v1.25" hidden="1">Дерево!$C$2:$C$86</definedName>
    <definedName name="_xlchart.v1.4" hidden="1">'Ящик с усом'!$B$1</definedName>
    <definedName name="_xlchart.v1.5" hidden="1">'Ящик с усом'!$B$2:$B$83</definedName>
    <definedName name="_xlchart.v1.6" hidden="1">'Ящик с усом'!$B$1</definedName>
    <definedName name="_xlchart.v1.7" hidden="1">'Ящик с усом'!$B$2:$B$83</definedName>
    <definedName name="_xlchart.v1.8" hidden="1">'Солн луч'!$A$2:$B$86</definedName>
    <definedName name="_xlchart.v1.9" hidden="1">'Солн луч'!$C$1</definedName>
    <definedName name="_xlchart.v5.0" hidden="1">БД2!$I$1</definedName>
    <definedName name="_xlchart.v5.1" hidden="1">БД2!$I$2:$I$4</definedName>
    <definedName name="_xlchart.v5.2" hidden="1">БД2!$J$1</definedName>
    <definedName name="_xlchart.v5.3" hidden="1">БД2!$J$2:$J$4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3" i="2" l="1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8" i="2"/>
  <c r="E78" i="2"/>
  <c r="D78" i="2"/>
  <c r="C78" i="2"/>
  <c r="F77" i="2"/>
  <c r="E77" i="2"/>
  <c r="D77" i="2"/>
  <c r="C77" i="2"/>
  <c r="F76" i="2"/>
  <c r="E76" i="2"/>
  <c r="D76" i="2"/>
  <c r="C76" i="2"/>
  <c r="F75" i="2"/>
  <c r="E75" i="2"/>
  <c r="D75" i="2"/>
  <c r="C75" i="2"/>
  <c r="F74" i="2"/>
  <c r="E74" i="2"/>
  <c r="D74" i="2"/>
  <c r="C74" i="2"/>
  <c r="F73" i="2"/>
  <c r="E73" i="2"/>
  <c r="D73" i="2"/>
  <c r="C73" i="2"/>
  <c r="F72" i="2"/>
  <c r="E72" i="2"/>
  <c r="D72" i="2"/>
  <c r="C72" i="2"/>
  <c r="F71" i="2"/>
  <c r="E71" i="2"/>
  <c r="D71" i="2"/>
  <c r="C71" i="2"/>
  <c r="F70" i="2"/>
  <c r="E70" i="2"/>
  <c r="D70" i="2"/>
  <c r="C70" i="2"/>
  <c r="F69" i="2"/>
  <c r="E69" i="2"/>
  <c r="D69" i="2"/>
  <c r="C69" i="2"/>
  <c r="F68" i="2"/>
  <c r="E68" i="2"/>
  <c r="D68" i="2"/>
  <c r="C68" i="2"/>
  <c r="F67" i="2"/>
  <c r="E67" i="2"/>
  <c r="D67" i="2"/>
  <c r="C67" i="2"/>
  <c r="F66" i="2"/>
  <c r="E66" i="2"/>
  <c r="D66" i="2"/>
  <c r="C66" i="2"/>
  <c r="F65" i="2"/>
  <c r="E65" i="2"/>
  <c r="D65" i="2"/>
  <c r="C65" i="2"/>
  <c r="F64" i="2"/>
  <c r="E64" i="2"/>
  <c r="D64" i="2"/>
  <c r="C64" i="2"/>
  <c r="F63" i="2"/>
  <c r="E63" i="2"/>
  <c r="D63" i="2"/>
  <c r="C63" i="2"/>
  <c r="F62" i="2"/>
  <c r="E62" i="2"/>
  <c r="D62" i="2"/>
  <c r="C62" i="2"/>
  <c r="F61" i="2"/>
  <c r="E61" i="2"/>
  <c r="D61" i="2"/>
  <c r="C61" i="2"/>
  <c r="F60" i="2"/>
  <c r="E60" i="2"/>
  <c r="D60" i="2"/>
  <c r="C60" i="2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54" i="2"/>
  <c r="E54" i="2"/>
  <c r="D54" i="2"/>
  <c r="C54" i="2"/>
  <c r="F53" i="2"/>
  <c r="E53" i="2"/>
  <c r="D53" i="2"/>
  <c r="C53" i="2"/>
  <c r="F52" i="2"/>
  <c r="E52" i="2"/>
  <c r="D52" i="2"/>
  <c r="C52" i="2"/>
  <c r="F51" i="2"/>
  <c r="E51" i="2"/>
  <c r="D51" i="2"/>
  <c r="C51" i="2"/>
  <c r="F50" i="2"/>
  <c r="E50" i="2"/>
  <c r="D50" i="2"/>
  <c r="C50" i="2"/>
  <c r="F49" i="2"/>
  <c r="E49" i="2"/>
  <c r="D49" i="2"/>
  <c r="C49" i="2"/>
  <c r="F48" i="2"/>
  <c r="E48" i="2"/>
  <c r="D48" i="2"/>
  <c r="C48" i="2"/>
  <c r="F47" i="2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E3" i="2"/>
  <c r="D3" i="2"/>
  <c r="C3" i="2"/>
  <c r="F2" i="2"/>
  <c r="E2" i="2"/>
  <c r="D2" i="2"/>
  <c r="C2" i="2"/>
</calcChain>
</file>

<file path=xl/sharedStrings.xml><?xml version="1.0" encoding="utf-8"?>
<sst xmlns="http://schemas.openxmlformats.org/spreadsheetml/2006/main" count="1184" uniqueCount="498">
  <si>
    <t>Численность зрителей театров, на тыс чел</t>
  </si>
  <si>
    <t>Стадионы с трибунами на 1500 мест и более</t>
  </si>
  <si>
    <t>Численность пользователей библиотек на 1000 чел</t>
  </si>
  <si>
    <t>ВЫПУСК ГАЗЕТ на 1 000 человек населения</t>
  </si>
  <si>
    <t>СРЕДНЕГОДОВАЯ ЧИСЛЕННОСТЬ ЗАНЯТЫХ на 100 чел</t>
  </si>
  <si>
    <t>Среднемесячная номинальная начисленная з/п
работников организаций (рублей)</t>
  </si>
  <si>
    <t>ВРП на душу (руб.)</t>
  </si>
  <si>
    <r>
      <t>Плотность населения чел/км</t>
    </r>
    <r>
      <rPr>
        <vertAlign val="superscript"/>
        <sz val="9"/>
        <color theme="1"/>
        <rFont val="Calibri"/>
        <family val="2"/>
        <scheme val="minor"/>
      </rPr>
      <t>2</t>
    </r>
  </si>
  <si>
    <t>-</t>
  </si>
  <si>
    <t>Регион</t>
  </si>
  <si>
    <t>Стадионы с трибунами на 1500 мест и более на 100 чел</t>
  </si>
  <si>
    <t>Численность детей, отдохнувших в них за лето на 1000  человек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</si>
  <si>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</si>
  <si>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</si>
  <si>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</si>
  <si>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</si>
  <si>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</si>
  <si>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</si>
  <si>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</si>
  <si>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</si>
  <si>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</si>
  <si>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</si>
  <si>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</si>
  <si>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</si>
  <si>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</si>
  <si>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</si>
  <si>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</si>
  <si>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</si>
  <si>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</si>
  <si>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</si>
  <si>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</si>
  <si>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</si>
  <si>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</si>
  <si>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Архангельская область без автономного округа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</si>
  <si>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</si>
  <si>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</si>
  <si>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</si>
  <si>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</si>
  <si>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</si>
  <si>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</si>
  <si>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</si>
  <si>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</si>
  <si>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</si>
  <si>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</si>
  <si>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</si>
  <si>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</si>
  <si>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</si>
  <si>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</si>
  <si>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</si>
  <si>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Кабардино-Балкарская Республика</t>
  </si>
  <si>
    <t>Карачаево-Черкесская Республика</t>
  </si>
  <si>
    <t xml:space="preserve">Республика Северная Осетия 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</si>
  <si>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</si>
  <si>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</si>
  <si>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</si>
  <si>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</si>
  <si>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</si>
  <si>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</si>
  <si>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</si>
  <si>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</si>
  <si>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</si>
  <si>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</si>
  <si>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</si>
  <si>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</si>
  <si>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</si>
  <si>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</si>
  <si>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</si>
  <si>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</si>
  <si>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Свердловская область</t>
  </si>
  <si>
    <t>Тюменская область</t>
  </si>
  <si>
    <t xml:space="preserve">Ханты-Мансийский автономный округ </t>
  </si>
  <si>
    <t>Тюменская область без автономных округов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</si>
  <si>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</si>
  <si>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</si>
  <si>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</si>
  <si>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</si>
  <si>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</si>
  <si>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</si>
  <si>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</si>
  <si>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</si>
  <si>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</si>
  <si>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</si>
  <si>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</si>
  <si>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</si>
  <si>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</si>
  <si>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</si>
  <si>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</si>
  <si>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</si>
  <si>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</si>
  <si>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</si>
  <si>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</si>
  <si>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</si>
  <si>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</si>
  <si>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</si>
  <si>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Область</t>
  </si>
  <si>
    <t>Значение</t>
  </si>
  <si>
    <t>Russia</t>
  </si>
  <si>
    <t>England</t>
  </si>
  <si>
    <t>Germany</t>
  </si>
  <si>
    <t>Библиотечный фонд на 1 000 человек населения на 2023г.
(на конец года; экземпляров)</t>
  </si>
  <si>
    <t>Приволжский ФО</t>
  </si>
  <si>
    <t>Уральский ФО</t>
  </si>
  <si>
    <t>Сибирский ФО</t>
  </si>
  <si>
    <t>Дальневосточный ФО</t>
  </si>
  <si>
    <t>Центральный ФО</t>
  </si>
  <si>
    <t>Северо-Западный ФО</t>
  </si>
  <si>
    <t>Южный ФО</t>
  </si>
  <si>
    <t>Северо-Кавказский ФО</t>
  </si>
  <si>
    <t>Плоскостные спортивные сооружения</t>
  </si>
  <si>
    <t>Спортивные залы</t>
  </si>
  <si>
    <t>Плавательные бассейны</t>
  </si>
  <si>
    <t>(площадки и поля)</t>
  </si>
  <si>
    <t>Российская Федерация</t>
  </si>
  <si>
    <t>129 637</t>
  </si>
  <si>
    <t>148 194</t>
  </si>
  <si>
    <t>154 000</t>
  </si>
  <si>
    <t>72 381</t>
  </si>
  <si>
    <t>72 016</t>
  </si>
  <si>
    <t>75 281</t>
  </si>
  <si>
    <t>4 237</t>
  </si>
  <si>
    <t>5 196</t>
  </si>
  <si>
    <t>6 229</t>
  </si>
  <si>
    <t>Центральный</t>
  </si>
  <si>
    <t>32 516</t>
  </si>
  <si>
    <t>40 280</t>
  </si>
  <si>
    <t>44 824</t>
  </si>
  <si>
    <t>47 322</t>
  </si>
  <si>
    <t>15 586</t>
  </si>
  <si>
    <t>16 859</t>
  </si>
  <si>
    <t>18 037</t>
  </si>
  <si>
    <t>1 216</t>
  </si>
  <si>
    <t>1 401</t>
  </si>
  <si>
    <t>1 741</t>
  </si>
  <si>
    <t>федеральный округ</t>
  </si>
  <si>
    <t>3 088</t>
  </si>
  <si>
    <t>3 300</t>
  </si>
  <si>
    <t>3 283</t>
  </si>
  <si>
    <r>
      <t>3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272</t>
    </r>
  </si>
  <si>
    <t>1 571</t>
  </si>
  <si>
    <t>1 517</t>
  </si>
  <si>
    <t>1 426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</si>
  <si>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374</t>
    </r>
  </si>
  <si>
    <t>1 381</t>
  </si>
  <si>
    <t>1 554</t>
  </si>
  <si>
    <t>1 716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</si>
  <si>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776</t>
    </r>
  </si>
  <si>
    <t>3 471</t>
  </si>
  <si>
    <t>4 171</t>
  </si>
  <si>
    <t>4 569</t>
  </si>
  <si>
    <r>
      <t>4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296</t>
    </r>
  </si>
  <si>
    <t>1 285</t>
  </si>
  <si>
    <t>1 428</t>
  </si>
  <si>
    <t>1 308</t>
  </si>
  <si>
    <t>1 338</t>
  </si>
  <si>
    <t>1 030</t>
  </si>
  <si>
    <t>1 064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</si>
  <si>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043</t>
    </r>
  </si>
  <si>
    <t>1 032</t>
  </si>
  <si>
    <t>1 066</t>
  </si>
  <si>
    <r>
      <t> </t>
    </r>
    <r>
      <rPr>
        <sz val="7"/>
        <color theme="1"/>
        <rFont val="Arial"/>
        <family val="2"/>
        <charset val="204"/>
      </rPr>
      <t>930</t>
    </r>
  </si>
  <si>
    <t>1 189</t>
  </si>
  <si>
    <t>1 159</t>
  </si>
  <si>
    <t>1 081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</si>
  <si>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095</t>
    </r>
  </si>
  <si>
    <t>1 734</t>
  </si>
  <si>
    <t>1 941</t>
  </si>
  <si>
    <t>2 074</t>
  </si>
  <si>
    <r>
      <t>2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175</t>
    </r>
  </si>
  <si>
    <t>3 079</t>
  </si>
  <si>
    <t>4 901</t>
  </si>
  <si>
    <t>2 427</t>
  </si>
  <si>
    <r>
      <t>3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001</t>
    </r>
  </si>
  <si>
    <t>1 886</t>
  </si>
  <si>
    <t>2 207</t>
  </si>
  <si>
    <t>2 382</t>
  </si>
  <si>
    <t>2 528</t>
  </si>
  <si>
    <t>1 026</t>
  </si>
  <si>
    <t>1 071</t>
  </si>
  <si>
    <t>1 333</t>
  </si>
  <si>
    <t>1 359</t>
  </si>
  <si>
    <t>1 310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</si>
  <si>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329</t>
    </r>
  </si>
  <si>
    <t>1 173</t>
  </si>
  <si>
    <t>1 207</t>
  </si>
  <si>
    <t>1 303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</si>
  <si>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320</t>
    </r>
  </si>
  <si>
    <t>2 223</t>
  </si>
  <si>
    <t>2 803</t>
  </si>
  <si>
    <t>2 874</t>
  </si>
  <si>
    <r>
      <t>2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878</t>
    </r>
  </si>
  <si>
    <t>1 669</t>
  </si>
  <si>
    <t>1 947</t>
  </si>
  <si>
    <t>2 308</t>
  </si>
  <si>
    <r>
      <t>2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578</t>
    </r>
  </si>
  <si>
    <t>1 275</t>
  </si>
  <si>
    <t>1 234</t>
  </si>
  <si>
    <t>1 313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</si>
  <si>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344</t>
    </r>
  </si>
  <si>
    <t>1 048</t>
  </si>
  <si>
    <t>1 128</t>
  </si>
  <si>
    <t>1 263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</si>
  <si>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299</t>
    </r>
  </si>
  <si>
    <t>5 084</t>
  </si>
  <si>
    <t>8 239</t>
  </si>
  <si>
    <t>14 631</t>
  </si>
  <si>
    <r>
      <t>16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313</t>
    </r>
  </si>
  <si>
    <t>2 923</t>
  </si>
  <si>
    <t>3 617</t>
  </si>
  <si>
    <t>4 392</t>
  </si>
  <si>
    <t>4 471</t>
  </si>
  <si>
    <t>Северо-Западный</t>
  </si>
  <si>
    <t>8 318</t>
  </si>
  <si>
    <t>9 622</t>
  </si>
  <si>
    <t>11 251</t>
  </si>
  <si>
    <t>11 470</t>
  </si>
  <si>
    <t>6 549</t>
  </si>
  <si>
    <t>6 258</t>
  </si>
  <si>
    <t>6 647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</si>
  <si>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106</t>
    </r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</si>
  <si>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154</t>
    </r>
  </si>
  <si>
    <t>в том числе:</t>
  </si>
  <si>
    <t>Ненецкий автономный округ</t>
  </si>
  <si>
    <t>–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</si>
  <si>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115</t>
    </r>
  </si>
  <si>
    <t>без автономного округа</t>
  </si>
  <si>
    <t>Калининградская область</t>
  </si>
  <si>
    <t>1 015</t>
  </si>
  <si>
    <t>1 058</t>
  </si>
  <si>
    <t>1 113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</si>
  <si>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134</t>
    </r>
  </si>
  <si>
    <t>1 279</t>
  </si>
  <si>
    <t>1 828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</si>
  <si>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947</t>
    </r>
  </si>
  <si>
    <t>2 270</t>
  </si>
  <si>
    <t>2 539</t>
  </si>
  <si>
    <t>2 937</t>
  </si>
  <si>
    <r>
      <t>2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972</t>
    </r>
  </si>
  <si>
    <t>1 573</t>
  </si>
  <si>
    <t>1 773</t>
  </si>
  <si>
    <t>1 936</t>
  </si>
  <si>
    <t>2 010</t>
  </si>
  <si>
    <t>Южный</t>
  </si>
  <si>
    <t>14 180</t>
  </si>
  <si>
    <t>17 459</t>
  </si>
  <si>
    <t>17 489</t>
  </si>
  <si>
    <t>17 937</t>
  </si>
  <si>
    <t>5 567</t>
  </si>
  <si>
    <t>6 840</t>
  </si>
  <si>
    <t>7 386</t>
  </si>
  <si>
    <t>Республика Калмыкия</t>
  </si>
  <si>
    <t>1 577</t>
  </si>
  <si>
    <t>1 434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</si>
  <si>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546</t>
    </r>
  </si>
  <si>
    <t>5 016</t>
  </si>
  <si>
    <t>5 414</t>
  </si>
  <si>
    <t>5 466</t>
  </si>
  <si>
    <r>
      <t>5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672</t>
    </r>
  </si>
  <si>
    <t>2 000</t>
  </si>
  <si>
    <t>2 150</t>
  </si>
  <si>
    <t>2 437</t>
  </si>
  <si>
    <t>2 537</t>
  </si>
  <si>
    <t>2 085</t>
  </si>
  <si>
    <t>2 503</t>
  </si>
  <si>
    <t>2 570</t>
  </si>
  <si>
    <r>
      <t>2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518</t>
    </r>
  </si>
  <si>
    <t>1 069</t>
  </si>
  <si>
    <t>1 149</t>
  </si>
  <si>
    <t>1 227</t>
  </si>
  <si>
    <t>1 242</t>
  </si>
  <si>
    <t>5 418</t>
  </si>
  <si>
    <t>5 844</t>
  </si>
  <si>
    <t>6 117</t>
  </si>
  <si>
    <r>
      <t>6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269</t>
    </r>
  </si>
  <si>
    <t>1 765</t>
  </si>
  <si>
    <t>1 896</t>
  </si>
  <si>
    <t>1 924</t>
  </si>
  <si>
    <t>Северо-Кавказский</t>
  </si>
  <si>
    <t>6 807</t>
  </si>
  <si>
    <t>7 406</t>
  </si>
  <si>
    <t>8 174</t>
  </si>
  <si>
    <t>8 559</t>
  </si>
  <si>
    <t>3 410</t>
  </si>
  <si>
    <t>3 725</t>
  </si>
  <si>
    <t>4 245</t>
  </si>
  <si>
    <t>1 844</t>
  </si>
  <si>
    <t>2 048</t>
  </si>
  <si>
    <t>2 127</t>
  </si>
  <si>
    <r>
      <t>2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191</t>
    </r>
  </si>
  <si>
    <t>1 035</t>
  </si>
  <si>
    <t>1 065</t>
  </si>
  <si>
    <t>Республика Ингушетия</t>
  </si>
  <si>
    <t>Кабардино-Балкарская</t>
  </si>
  <si>
    <t>Республика</t>
  </si>
  <si>
    <t>Карачаево-Черкесская</t>
  </si>
  <si>
    <t>Республика Северная</t>
  </si>
  <si>
    <t>Осетия – Алания</t>
  </si>
  <si>
    <t>Чеченская Республика</t>
  </si>
  <si>
    <t>1 139</t>
  </si>
  <si>
    <r>
      <t>1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167</t>
    </r>
  </si>
  <si>
    <t>2 699</t>
  </si>
  <si>
    <t>2 695</t>
  </si>
  <si>
    <t>2 890</t>
  </si>
  <si>
    <r>
      <t>2</t>
    </r>
    <r>
      <rPr>
        <b/>
        <sz val="7"/>
        <color theme="1"/>
        <rFont val="Arial"/>
        <family val="2"/>
        <charset val="204"/>
      </rPr>
      <t> </t>
    </r>
    <r>
      <rPr>
        <sz val="7"/>
        <color theme="1"/>
        <rFont val="Arial"/>
        <family val="2"/>
        <charset val="204"/>
      </rPr>
      <t>949</t>
    </r>
  </si>
  <si>
    <t>1 038</t>
  </si>
  <si>
    <t>1 099</t>
  </si>
  <si>
    <t>1 196</t>
  </si>
  <si>
    <t>Приволжский</t>
  </si>
  <si>
    <t>30 955</t>
  </si>
  <si>
    <t>33 659</t>
  </si>
  <si>
    <t>33 152</t>
  </si>
  <si>
    <t>17 884</t>
  </si>
  <si>
    <t>16 339</t>
  </si>
  <si>
    <t>16 928</t>
  </si>
  <si>
    <t>1 160</t>
  </si>
  <si>
    <t>5 579</t>
  </si>
  <si>
    <t>6 345</t>
  </si>
  <si>
    <t>6 854</t>
  </si>
  <si>
    <t>7 064</t>
  </si>
  <si>
    <t>3 367</t>
  </si>
  <si>
    <t>2 507</t>
  </si>
  <si>
    <t>2 612</t>
  </si>
  <si>
    <t>1 003</t>
  </si>
  <si>
    <t>1 000</t>
  </si>
  <si>
    <t>1 268</t>
  </si>
  <si>
    <t>1 143</t>
  </si>
  <si>
    <t>1 137</t>
  </si>
  <si>
    <t>4 661</t>
  </si>
  <si>
    <t>5 172</t>
  </si>
  <si>
    <t>3 592</t>
  </si>
  <si>
    <t>3 630</t>
  </si>
  <si>
    <t>1 935</t>
  </si>
  <si>
    <t>1 993</t>
  </si>
  <si>
    <t>2 012</t>
  </si>
  <si>
    <t>1 260</t>
  </si>
  <si>
    <t>1 369</t>
  </si>
  <si>
    <t>1 346</t>
  </si>
  <si>
    <t>1 319</t>
  </si>
  <si>
    <t>1 020</t>
  </si>
  <si>
    <t>2 210</t>
  </si>
  <si>
    <t>2 253</t>
  </si>
  <si>
    <t>2 418</t>
  </si>
  <si>
    <t>2 451</t>
  </si>
  <si>
    <t>2 204</t>
  </si>
  <si>
    <t>2 329</t>
  </si>
  <si>
    <t>2 484</t>
  </si>
  <si>
    <t>2 663</t>
  </si>
  <si>
    <t>1 528</t>
  </si>
  <si>
    <t>1 250</t>
  </si>
  <si>
    <t>1 087</t>
  </si>
  <si>
    <t>1 028</t>
  </si>
  <si>
    <t>1 287</t>
  </si>
  <si>
    <t>2 530</t>
  </si>
  <si>
    <t>2 830</t>
  </si>
  <si>
    <t>2 928</t>
  </si>
  <si>
    <t>2 924</t>
  </si>
  <si>
    <t>1 497</t>
  </si>
  <si>
    <t>1 673</t>
  </si>
  <si>
    <t>1 879</t>
  </si>
  <si>
    <t>2 490</t>
  </si>
  <si>
    <t>2 535</t>
  </si>
  <si>
    <t>2 621</t>
  </si>
  <si>
    <t>2 626</t>
  </si>
  <si>
    <t>1 183</t>
  </si>
  <si>
    <t>1 195</t>
  </si>
  <si>
    <t>2 060</t>
  </si>
  <si>
    <t>2 235</t>
  </si>
  <si>
    <t>2 364</t>
  </si>
  <si>
    <t>2 366</t>
  </si>
  <si>
    <t>1 971</t>
  </si>
  <si>
    <t>2 313</t>
  </si>
  <si>
    <t>2 625</t>
  </si>
  <si>
    <t>2 659</t>
  </si>
  <si>
    <t>1 356</t>
  </si>
  <si>
    <t>1 451</t>
  </si>
  <si>
    <t>1 502</t>
  </si>
  <si>
    <t>1 614</t>
  </si>
  <si>
    <t>1 622</t>
  </si>
  <si>
    <t>1 718</t>
  </si>
  <si>
    <t>1 457</t>
  </si>
  <si>
    <t>1 348</t>
  </si>
  <si>
    <t>1 185</t>
  </si>
  <si>
    <t>1 298</t>
  </si>
  <si>
    <t>1 036</t>
  </si>
  <si>
    <t>Уральский</t>
  </si>
  <si>
    <t>10 717</t>
  </si>
  <si>
    <t>11 845</t>
  </si>
  <si>
    <t>12 435</t>
  </si>
  <si>
    <t>7 314</t>
  </si>
  <si>
    <t>7 280</t>
  </si>
  <si>
    <t>7 534</t>
  </si>
  <si>
    <t>Курганская область</t>
  </si>
  <si>
    <t>1 042</t>
  </si>
  <si>
    <t>1 289</t>
  </si>
  <si>
    <t>1 391</t>
  </si>
  <si>
    <t>1 375</t>
  </si>
  <si>
    <t>4 062</t>
  </si>
  <si>
    <t>4 151</t>
  </si>
  <si>
    <t>4 052</t>
  </si>
  <si>
    <t>4 135</t>
  </si>
  <si>
    <t>2 355</t>
  </si>
  <si>
    <t>2 642</t>
  </si>
  <si>
    <t>3 888</t>
  </si>
  <si>
    <t>2 454</t>
  </si>
  <si>
    <t>2 417</t>
  </si>
  <si>
    <t>2 287</t>
  </si>
  <si>
    <t>Ханты-Мансийский</t>
  </si>
  <si>
    <t>1 277</t>
  </si>
  <si>
    <t>автономный округ – Югра</t>
  </si>
  <si>
    <t>Ямало-Ненецкий автономный округ</t>
  </si>
  <si>
    <t>1 507</t>
  </si>
  <si>
    <t>1 712</t>
  </si>
  <si>
    <t>2 274</t>
  </si>
  <si>
    <t>1 084</t>
  </si>
  <si>
    <t>без автономных округов</t>
  </si>
  <si>
    <t>3 575</t>
  </si>
  <si>
    <t>3 347</t>
  </si>
  <si>
    <t>3 411</t>
  </si>
  <si>
    <t>1 806</t>
  </si>
  <si>
    <t>1 764</t>
  </si>
  <si>
    <t>1 858</t>
  </si>
  <si>
    <t>Сибирский</t>
  </si>
  <si>
    <t>17 663</t>
  </si>
  <si>
    <t>18 986</t>
  </si>
  <si>
    <t>18 562</t>
  </si>
  <si>
    <t>11 070</t>
  </si>
  <si>
    <t>9 696</t>
  </si>
  <si>
    <t>9 474</t>
  </si>
  <si>
    <t>3 352</t>
  </si>
  <si>
    <t>2 919</t>
  </si>
  <si>
    <t>2 979</t>
  </si>
  <si>
    <t>3 150</t>
  </si>
  <si>
    <t>1 564</t>
  </si>
  <si>
    <t>1 584</t>
  </si>
  <si>
    <t>1 674</t>
  </si>
  <si>
    <t>2 615</t>
  </si>
  <si>
    <t>2 799</t>
  </si>
  <si>
    <t>2 739</t>
  </si>
  <si>
    <t>2 953</t>
  </si>
  <si>
    <t>2 019</t>
  </si>
  <si>
    <t>2 134</t>
  </si>
  <si>
    <t>1 578</t>
  </si>
  <si>
    <t>1 652</t>
  </si>
  <si>
    <t>1 913</t>
  </si>
  <si>
    <t>1 864</t>
  </si>
  <si>
    <t>1 906</t>
  </si>
  <si>
    <t>1 230</t>
  </si>
  <si>
    <t>1 320</t>
  </si>
  <si>
    <t>1 329</t>
  </si>
  <si>
    <t>3 829</t>
  </si>
  <si>
    <t>4 457</t>
  </si>
  <si>
    <t>4 121</t>
  </si>
  <si>
    <t>4 057</t>
  </si>
  <si>
    <t>2 740</t>
  </si>
  <si>
    <t>1 126</t>
  </si>
  <si>
    <t>2 097</t>
  </si>
  <si>
    <t>2 262</t>
  </si>
  <si>
    <t>2 089</t>
  </si>
  <si>
    <t>2 180</t>
  </si>
  <si>
    <t>1 232</t>
  </si>
  <si>
    <t>1 300</t>
  </si>
  <si>
    <t>1 357</t>
  </si>
  <si>
    <t>2 517</t>
  </si>
  <si>
    <t>2 694</t>
  </si>
  <si>
    <t>2 669</t>
  </si>
  <si>
    <t>1 203</t>
  </si>
  <si>
    <t>Дальневосточный</t>
  </si>
  <si>
    <t>8 481</t>
  </si>
  <si>
    <t>8 937</t>
  </si>
  <si>
    <t>8 113</t>
  </si>
  <si>
    <t>5 001</t>
  </si>
  <si>
    <t>5 019</t>
  </si>
  <si>
    <t>5 030</t>
  </si>
  <si>
    <t>1 057</t>
  </si>
  <si>
    <t>1 124</t>
  </si>
  <si>
    <t>1 774</t>
  </si>
  <si>
    <t>1 509</t>
  </si>
  <si>
    <t>1 849</t>
  </si>
  <si>
    <t>1 953</t>
  </si>
  <si>
    <t>1 679</t>
  </si>
  <si>
    <t>1 686</t>
  </si>
  <si>
    <t>1 121</t>
  </si>
  <si>
    <t>1 088</t>
  </si>
  <si>
    <t>1 082</t>
  </si>
  <si>
    <t>1 314</t>
  </si>
  <si>
    <t>1 589</t>
  </si>
  <si>
    <t>1 581</t>
  </si>
  <si>
    <t>1 585</t>
  </si>
  <si>
    <t>1 245</t>
  </si>
  <si>
    <t>1 212</t>
  </si>
  <si>
    <t>1 271</t>
  </si>
  <si>
    <t>1 280</t>
  </si>
  <si>
    <t>Плавательные бассейны, 2023</t>
  </si>
  <si>
    <t>Ханты-Мансийский автономный округ – Югра</t>
  </si>
  <si>
    <t>Республика Северная Осетия – Алания</t>
  </si>
  <si>
    <t>субъект РФ того же ФО</t>
  </si>
  <si>
    <t>АО в центре</t>
  </si>
  <si>
    <t>ФО</t>
  </si>
  <si>
    <t>Плоскостные спортивные сооружения (площадки и поля)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</si>
</sst>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vertAlign val="superscript"/>
      <sz val="9"/>
      <color theme="1"/>
      <name val="Calibri"/>
      <family val="2"/>
      <scheme val="minor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7"/>
      <color theme="1"/>
      <name val="Calibri"/>
      <family val="2"/>
      <charset val="204"/>
    </font>
    <font>
      <b/>
      <sz val="8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2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 indent="2"/>
    </xf>
    <xf numFmtId="0" fontId="6" fillId="0" borderId="0" xfId="0" applyFont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right" vertical="center" wrapText="1"/>
    </xf>
    <xf numFmtId="3" fontId="4" fillId="0" borderId="6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left" vertical="center" wrapText="1" indent="2"/>
    </xf>
    <xf numFmtId="0" fontId="4" fillId="0" borderId="11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0" xfId="0" applyFont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3" fontId="5" fillId="0" borderId="5" xfId="0" applyNumberFormat="1" applyFont="1" applyBorder="1" applyAlignment="1">
      <alignment horizontal="righ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'Столб с накоп'!$A$2</c:f>
              <c:strCache>
                <c:ptCount val="1"/>
                <c:pt idx="0">
                  <c:v>Центральный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'Столб с накоп'!$B$1</c:f>
              <c:strCache>
                <c:ptCount val="1"/>
                <c:pt idx="0">
                  <c:v>Плоскостные спортивные сооружения (площадки и поля)</c:v>
                </c:pt>
              </c:strCache>
            </c:strRef>
          </c:cat>
          <c:val>
            <c:numRef>
              <c:f>'Столб с накоп'!$B$2</c:f>
              <c:numCache>
                <c:formatCode>#,##0</c:formatCode>
                <c:ptCount val="1"/>
                <c:pt idx="0">
                  <c:v>48554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B-4A37-BA54-1CE4185D303C}"/>
            </c:ext>
          </c:extLst>
        </c:ser>
        <c:ser>
          <c:idx val="1"/>
          <c:order val="1"/>
          <c:tx>
            <c:strRef>
              <c:f>'Столб с накоп'!$A$3</c:f>
              <c:strCache>
                <c:ptCount val="1"/>
                <c:pt idx="0">
                  <c:v>Северо-Западный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'Столб с накоп'!$B$1</c:f>
              <c:strCache>
                <c:ptCount val="1"/>
                <c:pt idx="0">
                  <c:v>Плоскостные спортивные сооружения (площадки и поля)</c:v>
                </c:pt>
              </c:strCache>
            </c:strRef>
          </c:cat>
          <c:val>
            <c:numRef>
              <c:f>'Столб с накоп'!$B$3</c:f>
              <c:numCache>
                <c:formatCode>#,##0</c:formatCode>
                <c:ptCount val="1"/>
                <c:pt idx="0">
                  <c:v>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5B-4A37-BA54-1CE4185D303C}"/>
            </c:ext>
          </c:extLst>
        </c:ser>
        <c:ser>
          <c:idx val="2"/>
          <c:order val="2"/>
          <c:tx>
            <c:strRef>
              <c:f>'Столб с накоп'!$A$4</c:f>
              <c:strCache>
                <c:ptCount val="1"/>
                <c:pt idx="0">
                  <c:v>Южный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'Столб с накоп'!$B$1</c:f>
              <c:strCache>
                <c:ptCount val="1"/>
                <c:pt idx="0">
                  <c:v>Плоскостные спортивные сооружения (площадки и поля)</c:v>
                </c:pt>
              </c:strCache>
            </c:strRef>
          </c:cat>
          <c:val>
            <c:numRef>
              <c:f>'Столб с накоп'!$B$4</c:f>
              <c:numCache>
                <c:formatCode>#,##0</c:formatCode>
                <c:ptCount val="1"/>
                <c:pt idx="0">
                  <c:v>18019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5B-4A37-BA54-1CE4185D303C}"/>
            </c:ext>
          </c:extLst>
        </c:ser>
        <c:ser>
          <c:idx val="3"/>
          <c:order val="3"/>
          <c:tx>
            <c:strRef>
              <c:f>'Столб с накоп'!$A$5</c:f>
              <c:strCache>
                <c:ptCount val="1"/>
                <c:pt idx="0">
                  <c:v>Северо-Кавказский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'Столб с накоп'!$B$1</c:f>
              <c:strCache>
                <c:ptCount val="1"/>
                <c:pt idx="0">
                  <c:v>Плоскостные спортивные сооружения (площадки и поля)</c:v>
                </c:pt>
              </c:strCache>
            </c:strRef>
          </c:cat>
          <c:val>
            <c:numRef>
              <c:f>'Столб с накоп'!$B$5</c:f>
              <c:numCache>
                <c:formatCode>#,##0</c:formatCode>
                <c:ptCount val="1"/>
                <c:pt idx="0">
                  <c:v>9035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5B-4A37-BA54-1CE4185D303C}"/>
            </c:ext>
          </c:extLst>
        </c:ser>
        <c:ser>
          <c:idx val="4"/>
          <c:order val="4"/>
          <c:tx>
            <c:strRef>
              <c:f>'Столб с накоп'!$A$6</c:f>
              <c:strCache>
                <c:ptCount val="1"/>
                <c:pt idx="0">
                  <c:v>Приволжский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'Столб с накоп'!$B$1</c:f>
              <c:strCache>
                <c:ptCount val="1"/>
                <c:pt idx="0">
                  <c:v>Плоскостные спортивные сооружения (площадки и поля)</c:v>
                </c:pt>
              </c:strCache>
            </c:strRef>
          </c:cat>
          <c:val>
            <c:numRef>
              <c:f>'Столб с накоп'!$B$6</c:f>
              <c:numCache>
                <c:formatCode>#,##0</c:formatCode>
                <c:ptCount val="1"/>
                <c:pt idx="0">
                  <c:v>33749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5B-4A37-BA54-1CE4185D303C}"/>
            </c:ext>
          </c:extLst>
        </c:ser>
        <c:ser>
          <c:idx val="5"/>
          <c:order val="5"/>
          <c:tx>
            <c:strRef>
              <c:f>'Столб с накоп'!$A$7</c:f>
              <c:strCache>
                <c:ptCount val="1"/>
                <c:pt idx="0">
                  <c:v>Уральский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'Столб с накоп'!$B$1</c:f>
              <c:strCache>
                <c:ptCount val="1"/>
                <c:pt idx="0">
                  <c:v>Плоскостные спортивные сооружения (площадки и поля)</c:v>
                </c:pt>
              </c:strCache>
            </c:strRef>
          </c:cat>
          <c:val>
            <c:numRef>
              <c:f>'Столб с накоп'!$B$7</c:f>
              <c:numCache>
                <c:formatCode>#,##0</c:formatCode>
                <c:ptCount val="1"/>
                <c:pt idx="0">
                  <c:v>13060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5B-4A37-BA54-1CE4185D303C}"/>
            </c:ext>
          </c:extLst>
        </c:ser>
        <c:ser>
          <c:idx val="6"/>
          <c:order val="6"/>
          <c:tx>
            <c:strRef>
              <c:f>'Столб с накоп'!$A$8</c:f>
              <c:strCache>
                <c:ptCount val="1"/>
                <c:pt idx="0">
                  <c:v>Сибирский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'Столб с накоп'!$B$1</c:f>
              <c:strCache>
                <c:ptCount val="1"/>
                <c:pt idx="0">
                  <c:v>Плоскостные спортивные сооружения (площадки и поля)</c:v>
                </c:pt>
              </c:strCache>
            </c:strRef>
          </c:cat>
          <c:val>
            <c:numRef>
              <c:f>'Столб с накоп'!$B$8</c:f>
              <c:numCache>
                <c:formatCode>#,##0</c:formatCode>
                <c:ptCount val="1"/>
                <c:pt idx="0">
                  <c:v>19146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5B-4A37-BA54-1CE4185D303C}"/>
            </c:ext>
          </c:extLst>
        </c:ser>
        <c:ser>
          <c:idx val="7"/>
          <c:order val="7"/>
          <c:tx>
            <c:strRef>
              <c:f>'Столб с накоп'!$A$9</c:f>
              <c:strCache>
                <c:ptCount val="1"/>
                <c:pt idx="0">
                  <c:v>Дальневосточный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'Столб с накоп'!$B$1</c:f>
              <c:strCache>
                <c:ptCount val="1"/>
                <c:pt idx="0">
                  <c:v>Плоскостные спортивные сооружения (площадки и поля)</c:v>
                </c:pt>
              </c:strCache>
            </c:strRef>
          </c:cat>
          <c:val>
            <c:numRef>
              <c:f>'Столб с накоп'!$B$9</c:f>
              <c:numCache>
                <c:formatCode>#,##0</c:formatCode>
                <c:ptCount val="1"/>
                <c:pt idx="0">
                  <c:v>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5B-4A37-BA54-1CE4185D30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2972415"/>
        <c:axId val="502964927"/>
      </c:barChart>
      <c:catAx>
        <c:axId val="50297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2964927"/>
        <c:crosses val="autoZero"/>
        <c:auto val="1"/>
        <c:lblAlgn val="ctr"/>
        <c:lblOffset val="100"/>
        <c:noMultiLvlLbl val="0"/>
      </c:catAx>
      <c:valAx>
        <c:axId val="5029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297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Граф!$C$1</c:f>
              <c:strCache>
                <c:ptCount val="1"/>
                <c:pt idx="0">
                  <c:v>Стадионы с трибунами на 1500 мест и более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Граф!$A$2:$A$9</c:f>
              <c:numCache>
                <c:formatCode>General</c:formatCode>
                <c:ptCount val="8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</c:numCache>
            </c:numRef>
          </c:cat>
          <c:val>
            <c:numRef>
              <c:f>Граф!$C$2:$C$9</c:f>
              <c:numCache>
                <c:formatCode>0</c:formatCode>
                <c:ptCount val="8"/>
                <c:pt idx="0">
                  <c:v>11.10496829302337</c:v>
                </c:pt>
                <c:pt idx="1">
                  <c:v>11.143932906968647</c:v>
                </c:pt>
                <c:pt idx="2">
                  <c:v>11.402904202677778</c:v>
                </c:pt>
                <c:pt idx="3">
                  <c:v>12.003605150563864</c:v>
                </c:pt>
                <c:pt idx="4">
                  <c:v>11.788836721204234</c:v>
                </c:pt>
                <c:pt idx="5">
                  <c:v>12.752892161625415</c:v>
                </c:pt>
                <c:pt idx="6">
                  <c:v>13.320267385293809</c:v>
                </c:pt>
                <c:pt idx="7">
                  <c:v>14.52847049624396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F-40D3-9FB4-86D734E8C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662207"/>
        <c:axId val="666669695"/>
      </c:lineChart>
      <c:dateAx>
        <c:axId val="66666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669695"/>
        <c:crosses val="autoZero"/>
        <c:auto val="0"/>
        <c:lblOffset val="100"/>
        <c:baseTimeUnit val="days"/>
      </c:dateAx>
      <c:valAx>
        <c:axId val="6666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66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ВЫПУСК ГАЗЕТ на 1 000 человек населения (10 лучших регионов)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Столб!$B$1</c:f>
              <c:strCache>
                <c:ptCount val="1"/>
                <c:pt idx="0">
                  <c:v>ВЫПУСК ГАЗЕТ на 1 000 человек населения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Столб!$A$2:$A$11</c:f>
              <c:strCache>
                <c:ptCount val="10"/>
                <c:pt idx="0">
                  <c:v>Смоленская область</c:v>
                </c:pt>
                <c:pt idx="1">
                  <c:v>г. Москва</c:v>
                </c:pt>
                <c:pt idx="2">
                  <c:v>Республика Марий Эл</c:v>
                </c:pt>
                <c:pt idx="3">
                  <c:v>г. Санкт-Петербург</c:v>
                </c:pt>
                <c:pt idx="4">
                  <c:v>Архангельская область</c:v>
                </c:pt>
                <c:pt idx="5">
                  <c:v>Архангельская область без автономного округа</c:v>
                </c:pt>
                <c:pt idx="6">
                  <c:v>Нижегородская область</c:v>
                </c:pt>
                <c:pt idx="7">
                  <c:v>Ульяновская область</c:v>
                </c:pt>
                <c:pt idx="8">
                  <c:v>Вологодская область</c:v>
                </c:pt>
                <c:pt idx="9">
                  <c:v>Белгородская область</c:v>
                </c:pt>
              </c:strCache>
            </c:strRef>
          </c:cat>
          <c:val>
            <c:numRef>
              <c:f>Столб!$B$2:$B$11</c:f>
              <c:numCache>
                <c:formatCode>General</c:formatCode>
                <c:ptCount val="10"/>
                <c:pt idx="0">
                  <c:v>2592</c:v>
                </c:pt>
                <c:pt idx="1">
                  <c:v>2383</c:v>
                </c:pt>
                <c:pt idx="2">
                  <c:v>1618</c:v>
                </c:pt>
                <c:pt idx="3">
                  <c:v>1313</c:v>
                </c:pt>
                <c:pt idx="4">
                  <c:v>1250</c:v>
                </c:pt>
                <c:pt idx="5">
                  <c:v>1250</c:v>
                </c:pt>
                <c:pt idx="6">
                  <c:v>1201</c:v>
                </c:pt>
                <c:pt idx="7">
                  <c:v>1143</c:v>
                </c:pt>
                <c:pt idx="8">
                  <c:v>1061</c:v>
                </c:pt>
                <c:pt idx="9">
                  <c:v>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F-4286-8410-EE0A82EA3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7433743"/>
        <c:axId val="507440815"/>
      </c:barChart>
      <c:catAx>
        <c:axId val="507433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Регионы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7440815"/>
        <c:crosses val="autoZero"/>
        <c:auto val="1"/>
        <c:lblAlgn val="ctr"/>
        <c:lblOffset val="100"/>
        <c:noMultiLvlLbl val="0"/>
      </c:catAx>
      <c:valAx>
        <c:axId val="50744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743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Плоскостные спортивные сооружения (площадки и поля)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Круг!$C$1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4C-42B2-8D56-A4A2C5F32B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4C-42B2-8D56-A4A2C5F32B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4C-42B2-8D56-A4A2C5F32B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2B-4B5B-8B54-9BB15CF110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4C-42B2-8D56-A4A2C5F32B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94C-42B2-8D56-A4A2C5F32BA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94C-42B2-8D56-A4A2C5F32B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94C-42B2-8D56-A4A2C5F32BA5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62B-4B5B-8B54-9BB15CF110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Круг!$A$2:$B$9</c15:sqref>
                  </c15:fullRef>
                  <c15:levelRef>
                    <c15:sqref>Круг!$A$2:$A$9</c15:sqref>
                  </c15:levelRef>
                </c:ext>
              </c:extLst>
              <c:f>Круг!$A$2:$A$9</c:f>
              <c:strCache>
                <c:ptCount val="8"/>
                <c:pt idx="0">
                  <c:v>Центральный ФО</c:v>
                </c:pt>
                <c:pt idx="1">
                  <c:v>Северо-Западный ФО</c:v>
                </c:pt>
                <c:pt idx="2">
                  <c:v>Южный ФО</c:v>
                </c:pt>
                <c:pt idx="3">
                  <c:v>Северо-Кавказский ФО</c:v>
                </c:pt>
                <c:pt idx="4">
                  <c:v>Приволжский ФО</c:v>
                </c:pt>
                <c:pt idx="5">
                  <c:v>Уральский ФО</c:v>
                </c:pt>
                <c:pt idx="6">
                  <c:v>Сибирский ФО</c:v>
                </c:pt>
                <c:pt idx="7">
                  <c:v>Дальневосточный ФО</c:v>
                </c:pt>
              </c:strCache>
            </c:strRef>
          </c:cat>
          <c:val>
            <c:numRef>
              <c:f>Круг!$C$2:$C$9</c:f>
              <c:numCache>
                <c:formatCode>General</c:formatCode>
                <c:ptCount val="8"/>
                <c:pt idx="0">
                  <c:v>48554</c:v>
                </c:pt>
                <c:pt idx="1">
                  <c:v>11688</c:v>
                </c:pt>
                <c:pt idx="2">
                  <c:v>18019</c:v>
                </c:pt>
                <c:pt idx="3">
                  <c:v>9035</c:v>
                </c:pt>
                <c:pt idx="4">
                  <c:v>33749</c:v>
                </c:pt>
                <c:pt idx="5">
                  <c:v>13060</c:v>
                </c:pt>
                <c:pt idx="6">
                  <c:v>19146</c:v>
                </c:pt>
                <c:pt idx="7">
                  <c:v>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B-4B5B-8B54-9BB15CF110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4C8319A0-2D54-4822-965B-0B95F37BD109}">
          <cx:tx>
            <cx:txData>
              <cx:f>_xlchart.v5.2</cx:f>
              <cx:v>Значение</cx:v>
            </cx:txData>
          </cx:tx>
          <cx:dataId val="0"/>
          <cx:layoutPr>
            <cx:geography cultureLanguage="ru-RU" cultureRegion="RU" attribution="На платформе Bing">
              <cx:geoCache provider="{E9337A44-BEBE-4D9F-B70C-5C5E7DAFC167}">
                <cx:binary>7HrJjt3Klt2vXGhs3hsNo3t4rwZB8pyTJ/tUZiqlCZFKScFgEySDTZAc2f4Be+yZf6HsAgoo1PsG
vT/yznuruUqpJD+UDU8sQFAqeQ43Yzdrr702//i0/OGp/vjof1qa2g1/eFr+9KoYx+4Pv/wyPBUf
m8fh58Y++XZoP40/P7XNL+2nT/bp4y8f/GOwzvxCEI5/eSoe/fhxefU3f4S7mY/tWfv0ONrWXU8f
/XrzcZjqcfjOtW9e+unxQ2NdaofR26cR/+nVzTQM9vHVTx/daMf1du0+/unVF5959dMvf/PHX/7N
J/imld8e7puXvnqA/UffPLr1/+ETZM7Uj+7Dj57gSxd85fmfagjOOH0A/zHyM+WSKCr4q5/q1pl/
+n2EfyaMURkz+P1vDr94bOALn//r53/8/D8+/8Pnv//Lf/nnK98Kxa8effzwwX8cBnDkr/++/PYX
wXt58amd3PicPAbyCC7+989//vx3n//n578H+38Hf//x+f8/ff5vn//8l/8IP/4D/PJv//Kf/vKf
P//t5z+/+skObfLbDZL2+Zx7/a3k+CpbwFX/B/Pn33eEL7wD6f+/6/nnIvj/CfB/JwH+7eT4lyJL
H8fH7FeE+hb4ffPqP8frxcXvAd1vJXny4U+vMCIC/ZrcvwX9+SY/rNjfffHj4zDCXX4WXCqsVBwL
TrGkUPbh4/OViP8cY6lihLggChOm5KufXOvHAtCD/Swx5lxSxZTiSMWvfhra6flSrH6WPOZUEUkI
4YyTf2kOV229mtb9i8f+6f8/uam5aq0bhz+9Eq9+6n771POTijiWSFHKYyGZEDFTFK4/Pd5A/4EP
4/9AQnDSxIjplZdJb0Nic5Xk44XBOOHDb7X/m3u+YYz9wBgc6vfGhkoF1nXPxsYqG+Tyxlp7Unbm
6ndR+IYZjL9pRykcM4aJ4s/Xf3co3jG/FtPGdKnO1+Zo7NlafKpynOThfqY3tjt06FQVJz8wS74w
KwlmMZIQa064kESQF2ZFXjUrmzjXDat2c0lTN8vEVZvVbMVZI5lWodsN1UOHne7XOfX1ev79Z4Bk
+l044RE4o1iJGFGGhMLP+fv7kw+Ymj4asdSylEdU27dzG3azbU+3KKTfN6W+YQraG8dICEZj8SKY
fqZdxEeBtVTtKQ1FYrC6Ld0jbj4s4p7SVnOjfpBA+CsXc0Hlc10Qhp7b6HM6/z6yczMOvCWx3sYI
n+WKq9SW43hwLXFHaqMPxq9EI6PaNETo3AfBNYP0T3KkisvvO+BrX4tYYASuFghhgl88i+ricfAj
p7qo5kSu72iULL3JaPGDmL5I5+egCinUc3IxRcDbL4LaNqOMurWINY0eN3s79fdiNJrWhR6G87g+
d9X5Ko+FL34Q4ecI/is2/GZXAkRQgCBECX3OgN85e1Z+qtRSx1q2w4XK6a1RzQ8C+iUi/GpCxRgB
NiooHR6/LBnCfYUbQXWIhyQ3n2o41NL/AA++ESgVE8GJEEKiWL4w4iaKiWsc1TPG6YRPLB208nXS
RR+/nxHfOo1ADE7EmZREvnAYaTCd5VrGelVTuvF3W4ySWp1938jXUYEzIPgjKdQCHOrLqOCy98Q4
iMrU7aLprp3uv3//rw8h0a9ARinCWOAXdU3WaKY4rFSv2F+UvNf1SBIZbT/I6q/hQyJoYJxSzJiQ
6kVSF9NYoajqY40mk43sPB6CXkM2VUMSutdLpaPp8NceTCEmoG9yheLnZPjScYtSEYtKFvREr+f6
fEXdvl3qHxj5OjoKcTiY5DwmSrEX/VR5vhBWCzBSZ0Zd4ubmrz8ExwwzwAIEOPgixXhn5jXO4f7V
fDfMt6FIu273V5oAUKNxzAgCcGdACr70UxlVa8RavOi4ozraNOtTEtXJv8/Ic83+DluaIEWHPBip
0HMma1fvFO1+YOTXRv8FggmJKWVYMAmHUS/ZTeQty5XNg7b9MO3WHh2Jr9nlGm0y2rXz4s/ibmCJ
26L4RPEQ7+UgK6LDrO6HTYr7ZuYX3ToXj6aW9+sgC53PxabnadjSWW1V2m++ep8vbtmRKG6TUJu3
gilzyudmuOwnITT8VKW1GIvzuRUfxjyudRCo3Am1nOU4mlyyxOPrzsj40RoST3pRXXRZh4LosZvi
tB0V33QeJNpFTU2hOsToDqEf6ygt4lC8nW3ZH9BEV90ZrjRj26pzP633qB9bHTeM74sC2uC0rmpN
typnN/3Ml1ybfGNUD6SgVxI1RZc2irdBiwrz7PvBBh77ZSMRMiaMUIiDwhh+/DLYbisJWgwSeqXs
0ldtShd/s5YcDhPhqwgctGzVxfdt4q9Q/9moUABmwBiAdr+oFDmrqZIVFlqV6sL3b7oAoDLE4Zp2
7qzraTYFfuFqPGjZNXGK4vFqkTQZaHU2EHQouvxsUNMPyvdrAvP8VJKSGFPGgMy8ACHlGlE28ya0
23jSkelmGJsjVy7SVVMlBSRMFK93zeYuq9Zps6L3cKuH77vmm+FQAO6A8BSY2wuMGrE1S0AQjr4J
yczydJobHXqTzhIfqrxOiKuevm/y+VgvChHg8F9NvmgqMS+HnPVg0ue7jtk0R4Xu/BNrHvvJ/QC/
voLgZxf/ztaLbMuLYhz65+MNRDbaLVwXOMx/LXEBIxBBqrhEnMT8hZGu9rXrOyr0PEdpPS5p39IE
S7b/vt++OoskMUxfwLElUCT5MlSVn03XdhHW8RzdSRarYx28/UHP+ioffjUC36ZAyOBn8mV5Dqby
E2XAmwsSJaWdqoQu/CYU/LQt64uBlwAqUfpXH4zBuKkYltDLZPyiOhkxjRU9gByOVOLGqNbU0Pff
t4G/OhhUv8SIgxAHwyB5Hr1/32SUH208sYVplu8WeaimdJkyGLx03lsd410fHwvsdUFPeuR1U9R6
7Y5hLLJxuuTsWk0/mBi+qgIFT4N4DKQaAkp+BYffNT2Xj8ZM1RrrqqsTtr1v6NEue7tg6IA/8C+B
Cf5lzb2w9rLMAzKj6j3V7ba5fSEZT1Q14TRe++5hiUWlO9eeESG7XdsNwxUS2LylZZnvVeXPpRya
xG7sMmLLla/4lva4xOeCRNt+zqEP9RbJBPD1U50jm3ALXSOIsj3yuGY3yBZdhvu+fsJ48quWvlK7
Skyz3ib1rluiW9vgaN9RPqVtS64Lzi5ZvW53NVtQOrE4vG6Wbc4GH+LE+MVc5LnCQEVyfsth7kol
7aoDaU2Z5J5fk7qaAM2q6dpMobpsnfWXMP+TbHb1lHg/14kZZ7erVo/fxWRd0lDxkM2S1mlMvASy
OXONhoomBTJMd6QCztubR4l7dIqZr9NqDP3Omwa8FrA/76d81gov6F0/yKDbppcnPFI46XBe6Kgw
4wGG0BLaiYySgVexbjY16Xng3SdoWYUOprW7yeJ+vzJbP7Al6u5QiGw2hP6edaLNFrv0u20TdkyA
8I25Vs5UeyLckweynPiaLOcLrZQei7h9tDkfzvtmDBqN+CyyLOxt25VJ5PPmcSx7mWAH3V1uzZIu
dblmyqxkhzecxwlq1ugsKFWehGizh8qXUUZRL7JmzJe3xYAv2wlXKdra/IZCrzrjAZODafMOutWI
rtZxZr2mSBalthNakimX4gJUkEbjvOtfN70tNEByfTK3S66AqLTitV0qGGJwWxcjNFvP0oLbMiE9
f1QdfleIDeuHmziTg6nfLL50V8h6t+iiceSkqnCUyVpUZ4Vs78dyvmq954DF1bgfvKjOpxWLk5jg
S7XNx3Lu16zpON3Thii9FtWYITK/AwGwzahrxwvmfXEm2u5OoByd9yLqNESVPTrX3UeWLEfhsDi0
YzzvCoI/tT7USRNm+8Q3O38ot249pVX+1NlQeR1PoGopSlzaCbMeqm2Zgo6WsUkq6+L3SHh0kJuk
aW4behKcKs+nuAkaqtQf8SoBD6UrTJrj0XgtrX1drlOtJ2mjpKsFuWgUajWzqk/6AU97NCzvfTu/
becaOKOF0bPuGw8JRq8XRx4hs5pElZvZTXRaE7Bsz1htzTHUk581cp5exLApEFpOJm+05Xy+WBeY
kY1ahU8Uz5s16aZcADdduzETa+303KltF8nKJWvRbgmIYXGGYjGcizC3p1hheo8YJEU3bdDqQxny
xK7ATOlSmB3dLPBMUndQbbh64DJvylQJMw+QmsrL1DdmSKdJzR+ATKleh6ZeE+xVITXyFN/QUk7n
Ne0fcN9Mu8pF5GSpgN71dkRnCysv2jC87XGtW2MvTMGvXV3cdcX6ejI47aqqT8yyXoVCYj1H1UFE
URrNIvWL3fVQ4oln42nVI9DrmM5X9RBJsh8sv+HDCLDQp6B77euJZKLt0xGrk6JyezuKFKjoyVib
AwwVO+P9hyiGFO/zbW8rnI6rSExltYjoQTSTxl30rmjzFOriVG3XHS53vBvSPJTHPGe7xi+nIac7
3m5LgsV8WC2MZIHPO1WM15UB6PLOAWHtg0ldg2elN9t3l/kmOtC8ovFhKKeQ5U3jsmXgF9LLXQwo
Mk8wMVpcZQLhp40jnoa412Nfpq1HSeHcheXrkflq344SdMoWpYpCh3Ig/lD4RIDc1BU2WW1cvpuj
wUORk49qwVOybGZ5T/IhqVq/3uG6hBKwu8GNT2jLuc7jaEixrWmpiarugMmkgZIb6Ia3QNYr7dk7
Y9BZ5BhN5sJIor0vl5OlbHAy+rlIS4jhwfHxNSU9SNWtrdJm6YcsUHssAG3ytfTaTOW+QvfeqxTZ
cd8Tv1t8rYu65sloioQIirMtp8s+xGyMdGSInu18IRC9DCC4JCVg3H6+JjRpB0jvEPYcG0jgZQVN
8n7a1KqSvozr9+U8j9XZFpA4VY65m22YkEiKEXqOaDp5ngME6sZP4460q9IAWPambtB2rILt7h12
JxCQA+quQFCCOm6ZyogE0ZSTZslqD81AzUtz2MoxQPY2eToj7/eoLixKpoK1u8h8aAAjwnW0e1CM
oT3OKxKycYjr1+1G7c6NzQNuebiJHCa7WNJ8X4X5khc4PyrAup3w25WYenAbB8U8sbzckom2i9Ex
0Ogio6v4uCxtsY/KYk7zssA6DNuStdKEU8L64lQOvTnZVimOjkXofoIVxU61GJBh2JS4t560S2rF
jEgaN21p9ISoLIHu5UC9FiY8Ty00tcucuhGQQYBu0hmyL8KyQb80a95nm4parPO6Ww+zMvCUK6nf
rqLjN4jj6KG3vv00RGhMzNqk3Nu7CYtbLvuwc7kHQbGgOImbQaUieJfGdgWwXdD9SLZhv8xNfuJn
Ue1pVVxTF7PXyogG6rlh5b7ZxrSqmpNpw/iqxS0+z0tTPJgFlNelJONF1wRxGKXiPoWbLFd5y1xC
OF73rl58OCxlBE4elQWHBtTik3ZdyaSnnAMWbn3xxjby/ZTn74isjiP0/h2t+y5/yqFc7R6hZWpT
5/OqOFGB17dlpbopy+t6gRQDDSqNu6COLUy6aeiqodTcLtSmmDoXAa2OF40UidPS0UGmWFTTaRsD
I1yIhWwKfujez9jYnVShWDLhJKk0nYA69EvTndBpZHXmp5BPma1l/waUCOYzkEBilVm3zKC7287n
iVcmjrK83OokLituTyZXdenqiuK+q2R+NQW63AUWths7TGHNuqKduoRXXVEdtimu0jIK00mXs9PW
VfEpksp3Scx6Gum+c+tONpvcLSMnOkcAoBNfPixqa3Xd9AXw+C16KOfollOgB11A3ftpqej7rvPu
pt8QOQiS43eeeUqzChfDRTfVzX0VNnYoOQu3hkyvDUhi4KtohHSpo21JZei6DHLS5BduxPEJxkN5
x01vz/q6Xk8Lu4q30djHqx4N98NFsTbg/ApBixta+5ptzeslGBJ0TIb8CnVCghTT2gQtY37aFvwN
K9rh/YCXCFQjvpQ+HWqz3Q2KNE/Acs0IJw9h17ZiS8q4wFO6Bt6/maxDV2zk0JAdKrI46k/d3Oen
06BMAh+jb/w0d5ojNmRuyD/V7Wh1q4CrGhHf0oBnPRnbJEA/xK42C8gNfLmqEDu2zj9SMlndB7ml
K+sbwO3G6ancZOpcvkGjqc8MFGE69M7txNBGKcoLnK2AWbpW0uu2KAW0NhUnFLkSthPd+4WZJWEd
RScxA5mP2/WKAVTqdXBkB0kqDxsCFF9HaISyARaEF9ICoxXtkQKvTYLK31dNGPQ0TPy4marfD6Z9
dBFkLW4gv5uB+Kyp/JBM9UIPZlFNVlNzMQ3VVVzP3aEelvlDmOMl47i00Hgg/9eN3XerIVmkCtgF
MPkUgPRlPeFviYuOltsH+Eh94AWlx5aX80GVJP9oGOaXVT3eIq6shnXGbRvj5mGKo25HqmY6dcM4
nwwCvLxuW37k/Tok1M7NaU2rHpq8D1kEmZW0Tn0cNrwl+eo2HVHRJbT3T3Odr2ec1P48nnGodQ+A
ANQh/hh7Np8ZmL+AXRJ8bcplPcTl0B3zYh13ed68Z0z2uzCg7jAMoFdaHAfQHquoOc40oCOFbR10
bdrHu4GS8rxjYktNCXaF6ehFv9g5cbF/7vB9scs32I4UpAyaLLxLx5F9QlTASoPyZuedebfmgWSl
maYd7ssiBYrxVE9dn7AWlp39ZqsTqNYGGl6eH/toWEK2DaUXSSc2y3XpyJOViNRpbfJoP7QA6dCt
W64tjSF78aaGC1vMTZlY4tyVlFF0UDkaRYLWBSpp6OmmOW7VhxVUs9O5rDbd9yMZNKZtNeyHmKMt
W6ghKOn7UKyZHyjsQVdCStgJK1BJ23U76eKK7FjRE2h7UfzW5HN+ynj8pnNOJvUMC4K0HezTomp8
18duu7SDam4slv62sf4o6lqlxdJtCZPRAGEsV3QDuyXAUNSq8gAFy8/x0MR1AlC4wbRIooyFJuDL
jZCxPBTAP98tPQUhcKuHJttArH63FYPrdSPaotO5GYLMoM+ARr7W/nWTN+QeIoSSGBr1UU7z9FiS
cA3KJih5Mdleb2wi8NBVeVJ3233XYroPXVu+niZsVoh6gKEeVapZjp11sht1zcfK7KwQNUh/vvAS
pqYtxveV9G5PCqOS0fbrPpbliXB0Bsgdzhp4ieyDAN75wOsII52r6Z5tbXWdD1U06JXM5Kq2IYhk
DStAYBhilVKc30e5e1pNf+e8mliCiBNAr7tQL5q3kRQJjtY7ElzlAIPrJvGIvp9Cv96gVuRlGgYg
tnSJeGo6FJJtnbdkfOZVpJsHXQc5X9jBbQ8za/JsWWaRUSqLh43BNp40o8lweCaNXZknmwkCErUa
otvSW3doJRYpBrL1fuhHs49t0aQy59eeLfasJivTiwyxHqGnH5ltFyC6rjvncQ6v+YWhhaF0HPZi
Lj+aumoiXdL5DrQ6dxbweFeaXiVLx9qDkXNxMDDt7/K6Im+HzlLNamwSsjF1hLcBr2oGPHASY7nD
9YKSJYp91kkf71rWNCBXyCmJVK32MDbMJ6Hbqoecj/N+pdAfTL7iJ16o0yVeeZ7NMKGVMGNM23kx
ULMb24YegME67WVYdz0SN/FURSCPy2oJMOvhYm+iDVeJMrK5UpaYPS9bs/eqnk+7BUR8PW4tRs8A
EEu4vxjewW5EZbiq6aSh1Emjx9YTmcwiujQl86kbuu0kZ7x4X67rRWT6tUj47OghBhoy6aFW9W4p
mIQeFXWF03g1gEFyquZJ89LCGAAEWZiE4rkLKa3qh5yV0mRdrh19XUZRkapuLYUGFiwiPVQGu7Sg
IwtZvdRNo1vs7OtocWtioAklsC0aPywdEs1p3PfPh3Pwzk5K7fbBz+Nr4Vf4Zhhbdy5ja4sTvwXq
dLMWW4YXKDu/YPwwr4vPAGIsP0W+EE851JMuJXZ1NnXzEh+hsJYzmK0tbJcQuSN5DSujkXJ2Qjjn
LGtzGEfgDYd7uq34YOsKphsY8DRW8X6ZlrcSm9vWl5f9tm3HwdnoZu7kE1CqQJMNoWetvqoKgGUS
+U8NEQOBl2laP5+FOcgizSdUugtCJHpUU0/e1HEl37WVuJGh7x4U0No3rZzJB6ga+1gGP+8qyJDu
4IIt60Qwf43z1T8joX0DJWP1DDLrh9L3S4bLash87m1W2qU7McgpkbR5ZXfG1leWV/S45sN5iIvT
1szv/Rg99gO/bLBt0xGERlAfctjBhf5WWUl2ILpdTjxyRpe1MJoVwKGmMFhYTU3dFZurJqUjB2lg
mpp926FP6yDaZGTTkFkaIdhMu8dqHO2hKEHhy0tQd0GN6Jme+dFhvK/EHB1MkGU6qvG86fH7gvLT
GQQfxKtDEXFxg2XNUrWt70gnYHRebw2NgVMOKJyW3k0Xjqz2dc4NPu8DcNwYlAy9zcu5HFnpd3Z1
VRaM6rSKsEprYmaIbqDnxpRrsuERXbINyJrxxOl84/TOmuJaIRMnhBRXnRpwaqaY3ioWbSMsR4Du
6iYW7aXvMLlwuJiPU9jcmIIcBprJalCVbG3Hk4bXNp1tL2jClqJsdVmsD4Sz/BEVIb6pSz+VekMw
HPpmqYCJSLGf5iouU7LWcoTBKJiPbJrL22ZCMuvq9tNWRcVudV0Hi9+lBUxcoM+17KqLQLjMm6De
Q1zF3hSQ/iuIwdoN5rwZCpTMBDSTnEOV5Q00mAIV9WEz46NT1azjvISS7uI1A3rITigMDNdkzs9U
aDnsU4vhGt5DoFpGsKwR6dQUlY5XZPWCqjfrMOMEaOp0wB21h3lzsIvG5AhTxykfuunAaThTOWe7
EEW3BoEEZOu81jU4IaWiPaw4H8DNkUyjBde7ciqmhHm5HSZVXC2GodOObvzKAL6lRdFfFSAe6c6S
6ASIZHRHa94eJl6G3cCaKSvM8oCgjeuCoybzYQId2ucPxTzZ/dq37h4U39sqjt4uHmg9aAPxkjjS
kgLervPzRRTsBelps1dDf1wqNYAcvBlNGnFi4nAzdfXdUi/vysad0nH1IKgCDil2F23RIcbRAY+w
y7J2vFWNa/pEFba7g4j703HYxsTNsz8pmvC49ltWi34+bg4W1iyGfK6KKNZh6YmG3g4jnqon7bx3
ehuwg3eXxI2tty4pyQIiWGUulto+EIkvkYuPqJWA7mqV0HUmtG/L+aKEVyBOJADsJQJyrOHdMJdU
RXllaT9n41z3SZxPWLvelHtcWJI2bc+TbR65Bt2AP+9Wc3ilpGb7HpWwdOHVNa7ZQ8za67h2oKX4
DwGIU1by5lotRgGhy2lSQdzSsndXsMqYkriGCdw1Z1bEgPNjlcOTD+UIuyvM8gi23c5+EgBPJ9HM
uPZRZW9VC5JQM8Z9itaZZaTbjksMPIMKf0MGYrNi3rbyOPTxe3hRcr0gsMue9NZFJWg3xTPvJPO1
bGBQLF18MmJ2u7bjprvOlYmBrYrmsjjvxnq9grc2h2QbB5qFCKSUrVoJ6MUrbHRjMRcX+dKr1+1U
kNOCD1EC29FJE2/7ROCNHUuQPAHH6hy6KelAIkHudVUSkA5mG+3GjSiWNHKBIQ5oI/DZvven+eKL
I1uVSHmp+G0D9CfloD+83oQf9JAXeRJLJw5qzHlW4+k9R37TuO66PasZ6EzLMGaLH9/Ieka7tvxf
nH3XcuQ4s+ar7AswAiRoIzbOBU35KpW8uWGo1RJAA4IWBPn0+5X+szPqaoVqz/aFZtSmAIJAIvMz
qUElRTFAManSkSwhbzWSwcbjIOlKF7hskHCNEhBPVpUUOFyJPabqjN15pXBX2i06iK3U4D7wiT0i
OlmhRXr7vjL9Z2vgwT5PW2cL1LAMmZJOpPE4yeh3Riil+9pNot0FLuOJnOWcY2eRYD1b2V3b4Jaq
ZWXv7BwoXJi7lvZD5QDUw1kRJRLGGfOY5/HIlbH1JDOwc4dePk4MuJMXzObGpk3dhZrxE4nQByub
mVk0at991fBLvHDqbQrAUQqJma1fOnBFVZxbQ3pfNapG0mP2ccpxYVsSL30cfMg3DEQdTeaTMoPt
dN4N9z6o4QUQUBGpQh0qu38e0tENi4zVwOaJBF5sKkCnLmrwurFjd7aH3Ug7lD7pCGyFlXxemiw3
lsznwwpwH0lG4fdhnpE0dl39Yo66XXHfP+SZ3YZW9pxXxFvpOX1PkXdzVH7BQrVenTRsFCsqSiFD
I9UTQAKrwZavkHbr0Mxmb5VxU6/VPDxVNhU7Q6SID2Oa7kulADoBP9Dh1KZDWBM5L4fC7o7caM3b
PnByAHcmkvzS23uqeJAVnd7HKYVcpRnETerl7ja1mPObjC2tQzkGRpwXeoodix9ADLuJaal9EPh6
j9fR7GRbCbkynCE96HxEGl2IgB1sTflOF5WWYacDQAMmMsQmqCDnKSyRFHQSKzsDzjg3z5Vhq+uZ
5LdzZpJbDxuqCklWoxxHrHzs2sbtk87jnY/ajOt3qwlQV9lYtchCuo290hf5lT2T2Qp16g8vOZUk
W3CzdNc67QVCI86+2xQqlkXxDEFNjRJdtAuDpDcFQJuYMuOmndK7Yihl2LqDHXpkPFBdGmFtG+9M
ze1/oBrtNavcDtIwV2A63BpAxokoj8pZOjeG1HRd9rzgm6at7OdAD0YO4oMA5FNpFgIoS1+Qi7fr
vvKstZW5484ndfqsRuyjVmTBoWqd4WC1U7BhY1/fDFkQWLEJscvGSTWSjzzfGTQbt4P2PswxZ786
W90WYP8iaTA7tIFUbnFdqKVbTBUEeVP5a2zm8pGZcq/TFje6qYxyGUhrCivMFPdur4WIGmQHSZ0H
eTwFqZGULmVZhBtRgv5E7RkOtGk2IpDymZu+QUNywhzcopJQgxTVNWApAC+pFxmkMSI3sK0PJQSJ
aePz5TiQ36Me70dfDKuqkg1DnU3Tw+QZ/nZqWuPQOHWw472ucAn0SKQsnMw8DXhsNqaMrCEAQOhn
wD4inyIs82x0GY5Fs+vHtDEX48yLuCUdcgRslTEUSgwbSjkQ8YyY66lDtLUJlGp8GKbDSHE5lEK3
OOAOlp0Uy9aundjnBthGLeZNLn0slMjs7MqyeadifQJ5G5RegPzK3o38yk1vXSLLPskKXUYKF1hU
jl33kvdDU6OstOzn0rHl/dB3VQS+MpcxH1KjD4uZeUgFHSjPxlbmwaJuiQG8prP70Cpwx5fAeDcu
Chof6r3JlluNWsYJK4JovPF6UWwgiLcO+ZQBU2rG51wO8qkAP1tHjebdImD8vRCCPZVk6LagLx8h
5bSAYkAfemdlHosb6qkFsSWym+6EHmfZUfHq2Hjikc4sC3lvAuFEeR27nihDO+fPvdfYiVfab6yl
DITvXAL0CxBhA1kjuT1pximvoJv3XofR6xAsc1BSdpuFVa1TwJC6W9WBPS5E0c3Lio9PVkbzxO1m
ctXm975Fho01IDf0q+BKF9yNW1e4r+qEluR+W8eOWY4RLocXA4nHdVcZ1RWfc/KadrFRV+LIAKqF
TtGMexNSrA5vqixeZ81xMAlwncbDP4f+VnY4uLMN5LBo7qDmt5fWBAKnBk7QUz1FXstQzPrzEJm6
lgs10PG2otK7Qvb3CCLX2qdj7wLgaxVKFgL1NlQnxpF2gEghyjKhT7OdmOlsXlSk7TZpb9DXdvKV
E5qtUy/qnorI4NjDUtXTIe0tbKkpyKNe8CZqfdBOVik3qvCR4TATqHiGUGjSbGeaIO3A2wR7o22e
8qaAfF1AAmnYM0SYer51wO5GYJlf0xE1VTUrCh0/NDrMdd+YNVdbJ2ieWqG6de5CM8jGAXExUxIK
Tob5IOUvo9xMaVy66RI176PHUDZp5YCEGE+0enGcM86jTFU3RaeBW6iRRKn2EOBpbR649IaFDMAP
CO1MVyUTXgQlVoHaE2Jhq2s/JtGRLa+yIqpMmSd6ztt9X2Urt/QhVa9q9UidsV1UHCo22RR4d06+
HkwHqTbopWY7O/XLmM3rIHf9UHemyaOuG/x7z/dZ7Pl5Q0PIhzV42sJbImbKWLsGvyWp1B8lL9Wd
MTt6yXuBnBtRGtqdfnwUROOe9FkOkJWwe4dD/9tNGlXfmH1ADTGFrqAC8K9XVtkiSOdx6dtEGeBn
Ajvu5hm5TzYMUeVye4W7JN3VE0hDQJ3NJiU10GZgwXEZ6OyIaafPs2Q6VFY6IgGhFk/qgNXQ6dsQ
puISaLZF4dZ3EIxUyI0tUq9rMpGNyJGSaLeCxKAxxm4BDel9YVc2oNLU3VuVZSBrpdajV6S/ZR38
qvpRIr9qy9tUBiQsmCHXgNtViARcvmeemeTI2eZsQFgALRyjhm660BrnBFjt2pe4OVBBbFs+863j
cbb0IIlcc5blXURm8gitpYot7ZQdSj5IKuiUApWtTbFkZc2XvsqgjXTH8UMaY530PdKgBlNKDFOo
U/3RrTyi0qNBYPOIgA+YL10qe6Q4OaJTYBQHVBTgJk3Q2JaNdyFNZ1y5BpKDZK7cX75mIHqcwQuz
OS+gK/LldprSayKJuRmCulpWCIefjF3E28CocLJmuZl5ZkImATnPmvjdizsp77YZ+xmEVs6iYeZI
+AkKLL81UCQ6HBBex8EZcNomfQEvis5Ij9pdiUQEuOuyqlo79TTESOW8SHTzvW325gaGBvFgtKO3
b/zKWFc2g9YA+oWIyxawkJmqhBXS2E6ilIlZz2IHGXL2WOgO+qPJIZuiGIt7g1dQWXR9HwU+R+Uh
VHAosh4HMSPOjJzYhyCTOQ3QEH9cd8Ki8dQ2OdxKZR+DLKvDzK+sO6grWhQUWfqgSrkeshFYvDXg
BpaBkLupwTXcjVAWkLjAgYJGyofEFZTIUQOTQh1jrBHiY3IqlwyksxaE5bbxwghR9wp5yHKq8xvE
qC6huINZBMZ2abT1XTFL5Ah8CA7KNJ4J4buKaQim2N5gU3bCWQ81tAdOOlBkrTqdoaxzDkWa6YR2
vbmkanxxTWptXYCUKzIiL7FshySmCUwbAVn8Nkd7jLqiWxDR6yXJW+aFDqnLxLJmFtVyTIFn9wkn
6pGgNo2UQFLtuNVSz9w4gQdGhkCFWkTp7pYqrVeS3gOR7OHWcbKlYw+vqWcuTY8iB+zbqlu1WRZm
0kLe1ZYcQhv/VI93cWuyfWDB5DOLelhCMQ1NN9BZ1zEep3w+8t661a6Glnty917XVfsAt7kYjbhr
qdqymQDYZzhOrO1xPn2HLecWFSmidluXBMjna+kD0VRG7sV5i9rS1/cWSFRoVnSYZrifJzBhFswr
ef7C8/rZrhA78mKAsI4KBf/0cDSt4sOs2UqUetUU/Wvd+Y950a5SUeSJwdtVTnVcu50fcomUDojr
fWVPIG1yXIR50e+V3bRgwHAUBaUgAsGEuf5vs26j2QCH5pbsbuZQS0FOh2tJ3ECkeD1mQwxHRwTD
2T0fnQUYt5gGfQT3RdQEwTIDmQr6Yp/aBNG8C0JtQuEpuG1HotBuxPw+g+5jbKoQ1oZ6y/PPm9CN
0/qpk0W2RAVRrSwDkESPO0hQvB9bFIu89yNpG+uB+RqEeXBMLXXfpiPuN2EXL1xrvuwDKhae8Mg7
LbrsdIsVSyCx4GKEs84yHbW4fdcchS7Y+h4Ai1P5G9OdJygpbHB+5bzpC9RGdmMFiZ33Tkgr97fs
kQHYlb8e/HmMSh4EiXAzPA5N87Uz/mocIFv4HQKpmf/et84bhB1dlGu2GwiUYroaVwjfqDkGFk9l
JkI9Vl7smdUKbtPHDmBopBXfy85PygqENxnuwUg9iBq3mWWLWDI7yVOuIzgq8OzFL6Onixx3PLEy
K5yyPARxF1V5z+KCeLFW2HFG3ofUr1ZwdUDnNrkJwvhJREKaSPtTNBbg6Ly6vc0g3pxd77kvpgVS
8YWHwzO5sDT4rjoKhz2TWkOdIXYdKUKPORs2F2Ex4dpuRdSx8aFvgl/CggxKIKtfjbSN0X4hi3WQ
8aWN+2CVS53dqg64hzsBCC9KJEeAyQCCQiT84mWlOChqeKvKw5pBbjJhI5kd4MnUXfTgXnD+5Z4J
vBanaXa+QR4zWp5CWhfOzESsQrkWNyOQ13pCBJwhlMbbtQE4VlMWsapfF5Tm96lrOyAE6CnqDw6S
xYap5pqjALoTUI3cBZ320pCAkmkiAzgritr+mM9DvjAmqJTAm3vIkMFpUmt4BT2681Nw/IHiDSyP
pjwaQYssz3BclCOCLczJMFFeB0+VR8Rajd0DDvYVsZH1iMBDgieNdNMDHEJB0gxJ3pZIWEwkYE+W
xfSxhJrGw3lCJQfdQnlV2frNobkL3jWzEi2leGEqdWO3cEFn5uV76Zf5zoVdGzCwQlLMh+vJBldn
ckIBZjlyOaFG27lQ4razh2OqUyuk/eD/zkyQiAjUBJhE7tvVusINGFuj38fOZDzUfjXsgX/mp4DL
wsCD5Lb08mvRNXxVzsxe+w2A525Qzpb7Ex7ToWvtDb8GivivjB784CT20G+Yy3RQ3nFEN4S3XNNr
u7OzAwpSyLH6ot0qlElrt2ndJdQS8AY7Y7miODvY3bBiXhl+y99E26gtDehxbmcsGlD4jd3CE1do
DZUrPlOnrIqEx3CNi7JLAPbqhLT+u0xpE1Y+zB4hcXFFVnb2S+eNca+AEv1qAOknRcWd34GkEpdS
aasmKirLu5tLo8D/GeOG+PYQG3QanJCZAnLqsjevVV0OG8PpzbAdDIgi84zWiN2NhKC8IdmOKPiX
BIHrF6M9CRi3DlAL9zSE1Pqh9FT2hDs9Tzq3NCMq8ocuc1FeC2i2eFu2kNoBEeRTpROR0241kvZt
6oIphFEuX+Qsa2AznR8H2U9hAXQ2FMYI7NTjJURiYwbFV6dWQyivnV1rWHD0FdoWuzTP0VMiHdNt
Tmx2pUtPPLRADRCk3Y95DvStKtEtJR/SdwPexl1asCZUZOi3ndU4SwIN2MvoMxBtnQuBlQublqPm
D/ibIChq8n4lehQ8bT1cgWaojhMz/FOo8vpI1KOBVydw41ZOmtS9mR7nMf9MN8V24u1bPSoNdUDD
omI22QdHHhpWo51dcKL97UY6E+OfjB5fpf8UIoqeUzs0FLSU3s7rNxNqr1ZHDHrxptqbEHznS4Xa
ETWE5d4TSHFot0sR/X52RfxlvMRMzJM73IcgO0ACcDYTjkjQCQnXHUoje1i3WD87DTsF0dcbna7n
9OPnAU9WmD+8PxgJLnyAxBbFgPTMhzD3wA0gOAQBYexkHWmQ1uL65yG+eSZqUjj9HLA/PtzYfz6T
XSvb0wWG6IyD1x9aChkvPAkodsa1Y+1a3P0/D/iNk+OPAc8sM/5gatSXOJltHcQICyFxFqD1oLDc
qHq4MNinL+SvFfzyeGcrOHYcej0P2YHvxTAilrjwnWhM88hLoRrJgsiwnmvDAa2xKMe7n5/027f3
ZeyzjWt2jdF6FAIUJVDIkDK0YHvEVXDpGU9+35+e8cxQBbFpK1KJFbXsNKIFwIgM/RvA6qpro0is
tgGvvRmm4qJP5ttxXTRLMKGX/MsmaE1FAJkjxh1cFEV021W/FY21WS2AbCXavmpRLEEcF7opi8S0
Vv6rTVYuDqlOh1hBLpydXKzBtYI6RrCjAVZNBpusd19/fhGnc/n3Av0z0fMuACcO3G87IEDFXMWD
JkBMyxD8HG8WPw/07d62iWV5pgvJvn3mzCaN086MYEX6Go4eZHhPZTGvUBMvGHK7n8ei3772L4Od
ndxZQl49zBiM9Ehcu8gvTWQbMXG2I7NjyEU0X4xsXw2vpL433WcCrboy30Sw56JeTn4DF3+PRHcx
zcvC5QmvIRAAvOSZH+2sIhuoxMTNWzXesN65/Xny3x6NL3M/CwIekL4yRUkCpBOBAEYccIMRqsoL
78M8He+/3jxM5TZFswk7OPfKZdQaoRrDm0fRAHAjApV9wijBr2qIL4+eihu4ilPjt/W77V6a0rgw
Aev0ID9MwDnbET4ZKk+AMkV4ZZEJDR0fbiZDYBJw0d9rO4tz+JForLy1AwcJI1cu5EnE3TTpr4pN
4AYgz76WSA0ciFe8Ivn5PZjfbiL47dFGwPMoAjPm/+VybVM4bBoClRaBEsODMJfysO3sJZxp0YQF
67FCkBJz50LQsr49k66HJgngq0zXP/35l4HnRtZyUhpvHzQ4JzuuwRA0xtbx1yfpJ1KTAIx40d+U
EGKYxiHnRSKytdVBawwli+xXExfRJBcEVrGhc0PThKB4vBtBRjG7jyeVXZjypRmfDv+XGQttdWyq
0RrHPQl00YdmsrGvLDOa+YXTcWmkkz3xy0gqLRreQWQN/FHAuEFC1T7afb+eICS78P6/35//voYz
M6lbgegyUhzEAEL3Y5cCZcrcAK/B1XOYw3ASjiCzI+po2AWDlicOSt4QztApgeRJXUhGzG/jAjqN
QGLlWejdcjadsQcKWTIT11cBwScaxBQdeEa2kz1sG/aamxvugB/7NRTXPD0Uwwdy/ym/MIsLkzjv
rzEWhsmkwPIbDZTyiok6roh+zoe2j35e/m9GgrXEBiGC+wJJ3lkIb1ITXRjQ+SicrWptmNaWgZLu
u+nCTf3ZeOQsCmEcD3idSRF1g9Mu+LKhCrgOWm9E9yipnSvZObEnyQ2fSti1VHCNGgCLCKVvOT/n
5A40EkzTWZWUpVi1urwwmW8STrSWQvcsBwZjj5x3NFAewHKQ30DgZA6LVOJYK5MnAmLXmTzT5nWA
QOLnVba+CXJ/DHkWa7wOPJ9p4fE5LdZ29RaQJxOZR21EpH4jEJFiJrNcZ1YGS8KiqTX8AEevM6Bn
WRb0wbQ3QQlG7+nnaX13Of0xrbOAAl9hkGUBQmAP2f/AVjJfzy5WYTvadVh2hwp2RDNYQYZFQBAE
dxeGt/66HF2Hntz+HjqZoS8KOVuWtvftQnYuCeN4v9/Ge3yNF/iPCPfbp8Vit3zcLUSIb0W4fY+X
4TIKy3AdhmESheEixJf16ctuuUzwW6sI38RxEkfxahWffv083+B0GP7YxOj15py6YLgnBzi2z5+b
GKYCTUsPhn5EBcxw+7R9etpP0dNChvv9Ar+uFuu7u3C9X+swfBdR+Baq8KDCt90xTMrTtJPHCl+S
6JBEmxUmvFp9XK+uY5Td16vtw/bChD/LwT8njD4zlmNDmHrqcfVXCxXoxQrGUzS0iUT4cFrGJ4Ck
4cvTy35/9XJ1dXd1d3PHwhsWvt+8H9+Px7fj8fFx97h73h3CA35tNreb69vbj+vfH79/P/x+ePh5
Rb9xuaPqQ3OEU3KE6u8s2FbUb1wcxVOwBYeroY6QSMftW6ddOOKtzY8/D/dtsPt3uM989ksQqqFt
ylIf273MdhmScJYl43yhw9P3Z+rLIGcRtXAyKPgrPJOoH3RtrJvCWVTwcwDxgum0sDa92oMIC/l0
J+dVpS60Kfj2GSm6rCGrIejKdfrzL88IIxIkRLD+hyqX0I2D3IBuRGqd/LyU38bQL8OcndwAa1l1
J229QGU1p0sfRjIKcdDVCFy0hinhUjON7/JEtOz498HOYpVvNk6QdRixzF96+aTo2jbXlXwI+pdK
RQWFHK39n1/Dfwx5lgU5nuM40sGQQYntmdZrT8MFTIMLd/CltTw7BbU75yVUQ7iD2ylqyo0JWaFZ
xg17sSj6kpA7EviLn1/f6fX8ERgC/+uTndejY5mB6DbxZNRfBXw3WwBbjNDML5xv86+IeTbO2WEA
ZRYYOcM4QISb6R5q37i1rtx5B6mmmb+rPLHnpIJc7OfHs795PMRoC/mZ5/zdQxKaTs/8TJTz4B4A
e8iDCw/2TZl9arrpf8JiaOh2uti+nLJgEkGtGO7zOoXyu2qTkzzXrllU5r+H9tJh+w5D+mO40/N+
GS5ndj1BJgP4oD6o7Nm0PlhA4j6/S7sNjKMRMa5nvrfgwPPphVZv34Gff4x9FlCKqR587qPId5EC
hxCtz7uGdc9mINGDIxutcBh81Abe8NhUuQ/yIidgEN0Xd/AfOuiqD07Xj0vPNLLQJVxtf37TF6d3
2ulflsbyBnRVM7E0JdiWSqIHip0oxwo7z4gHth1ArMAXE2oIPkrI1Spkk64Vt5SvpurBrO9/ns5n
A7+zgwXrLvrBnsBMi/51sMaaBkOF8BuMj0G+SKm3tcoVQCo4HH43zjarYKHrA8jXZDh76xn2au5B
6/MYpCDR3nhx8CFip9VtBzGjdyO0vavlwYK3wu91OPbWhZPy/db6MuGzE1rqOvMEmomBKS+XNeFA
7B/QIzHxIcIPV24WbFuGXhWjAg3XX7orvwkPWC3b/cTviHfepLKCXC6tTgWtgub/ivUuFODSfJvQ
AAFAkV1LtHqcHqYxlztizE2Y0f5oQDl6aRG+Sc+/zuMcNQPdY+cmtObAokQWUQbYIx2AZIF8g7aZ
mc+isIOtLB2Iggmo1MJKvfXPO+d0jP7eOP8sxXkzzTb3ZTZP2MfppCOhnk0Q365z4TB/G7Zc3wQ6
iPZNf+XbED9naPCA9TZ89EviDEd1rtW4NsuWQf0G/59Px0vdjL7LiLC6/456dnN7QzbbukS9xSDV
STwh23j2/XzfBTk0Z4OACp82MwSU7p3ptUVkZHB7TRptUOoJ/LdtVzc/r/X3M/IdSlD9BejPfBbT
rLQ1lFvjWvJJ8dr6NcCv7MkE+TjyCs0qxF0xQsbhjUcJRaayWpCfmi6gk77Q5+7bl/5lHmfBaxDE
9JFKgT6GngiNaw7zbKGZSXbpnH373r+Mc/YGoDwt6KyQk6q+WVMnUWRjTDsnT2poaGdVoK3KUhdQ
f6m1hANnNqCvbWB3v3LNwywvrP4npvDXVv8ym7O0yiDeAAfDaTbovQvpVO+h8xBo+az0IshjI+rX
IWuWzIVPId16yopI2YSkXPh0PYkFupeMVpzbQOvYtpaX1urbmOSjyxdqErRI/tw7Xy4U4AZpPyK1
gCFewzS5LdA3yGNo0gsb0c5DW4fgXkLo8N9tFv+7NfrxP8//n+beb7Ke2oyBFflscf7Pt/+1/78/
UeKz3f6/v/+/0aT73++u6vfqfx3L17f37vzvnUb75y/i0/979FPz8z++Sc47sf/8p//0JD990Gcz
8jv510f8P/2lrz3d//6g///W7p+f9dlZ/qfP+B/+gId/f2zGT8/9x9L9/Uz//JiPz3dz+oki//V/
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0A06D190-E72E-462D-9F81-88CA2800C69B}">
          <cx:tx>
            <cx:txData>
              <cx:f>_xlchart.v1.4</cx:f>
              <cx:v>Стадионы с трибунами на 1500 мест и более на 100 чел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0.469999999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size">
        <cx:f>_xlchart.v1.19</cx:f>
      </cx:numDim>
    </cx:data>
  </cx:chartData>
  <cx:chart>
    <cx:plotArea>
      <cx:plotAreaRegion>
        <cx:series layoutId="sunburst" uniqueId="{234961B4-4568-4949-9FC6-2B14821727DD}">
          <cx:tx>
            <cx:txData>
              <cx:f>_xlchart.v1.18</cx:f>
              <cx:v>Плавательные бассейны, 2023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/>
                </a:pPr>
                <a:endParaRPr lang="ru-RU" sz="8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  <cx:separator>, </cx:separator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</cx:f>
      </cx:strDim>
      <cx:numDim type="size">
        <cx:f>_xlchart.v1.25</cx:f>
      </cx:numDim>
    </cx:data>
  </cx:chartData>
  <cx:chart>
    <cx:title pos="t" align="ctr" overlay="0">
      <cx:tx>
        <cx:txData>
          <cx:v>Спортивные залы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Спортивные залы</a:t>
          </a:r>
        </a:p>
      </cx:txPr>
    </cx:title>
    <cx:plotArea>
      <cx:plotAreaRegion>
        <cx:series layoutId="treemap" uniqueId="{60724AB0-B130-4C31-8AB8-F4BBA1207585}">
          <cx:tx>
            <cx:txData>
              <cx:f>_xlchart.v1.24</cx:f>
              <cx:v>Плавательные бассейны, 2023</cx:v>
            </cx:txData>
          </cx:tx>
          <cx:dataLabels pos="inEnd">
            <cx:visibility seriesName="0" categoryName="1" value="0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100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</a:defRPr>
                  </a:pPr>
                  <a:r>
                    <a:rPr lang="ru-RU" sz="1100" b="0" i="0" u="none" strike="noStrike" baseline="0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  <a:latin typeface="Calibri" panose="020F0502020204030204"/>
                    </a:rPr>
                    <a:t>Сибирский ФО</a:t>
                  </a:r>
                </a:p>
              </cx:txPr>
              <cx:visibility seriesName="0" categoryName="1" value="0"/>
            </cx:dataLabel>
            <cx:dataLabel idx="1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100">
                      <a:solidFill>
                        <a:schemeClr val="accent2">
                          <a:lumMod val="20000"/>
                          <a:lumOff val="80000"/>
                        </a:schemeClr>
                      </a:solidFill>
                    </a:defRPr>
                  </a:pPr>
                  <a:r>
                    <a:rPr lang="ru-RU" sz="1100" b="0" i="0" u="none" strike="noStrike" baseline="0">
                      <a:solidFill>
                        <a:schemeClr val="accent2">
                          <a:lumMod val="20000"/>
                          <a:lumOff val="80000"/>
                        </a:schemeClr>
                      </a:solidFill>
                      <a:latin typeface="Calibri" panose="020F0502020204030204"/>
                    </a:rPr>
                    <a:t>Дальневосточный ФО</a:t>
                  </a:r>
                </a:p>
              </cx:txPr>
              <cx:visibility seriesName="0" categoryName="1" value="0"/>
            </cx:dataLabel>
            <cx:dataLabel idx="2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100">
                      <a:solidFill>
                        <a:schemeClr val="bg2">
                          <a:lumMod val="90000"/>
                        </a:schemeClr>
                      </a:solidFill>
                    </a:defRPr>
                  </a:pPr>
                  <a:r>
                    <a:rPr lang="ru-RU" sz="1100" b="0" i="0" u="none" strike="noStrike" baseline="0">
                      <a:solidFill>
                        <a:schemeClr val="bg2">
                          <a:lumMod val="90000"/>
                        </a:schemeClr>
                      </a:solidFill>
                      <a:latin typeface="Calibri" panose="020F0502020204030204"/>
                    </a:rPr>
                    <a:t>Северо-Западный ФО</a:t>
                  </a:r>
                </a:p>
              </cx:txPr>
              <cx:visibility seriesName="0" categoryName="1" value="0"/>
            </cx:dataLabel>
            <cx:dataLabel idx="3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100">
                      <a:solidFill>
                        <a:schemeClr val="accent4">
                          <a:lumMod val="20000"/>
                          <a:lumOff val="80000"/>
                        </a:schemeClr>
                      </a:solidFill>
                    </a:defRPr>
                  </a:pPr>
                  <a:r>
                    <a:rPr lang="ru-RU" sz="1100" b="0" i="0" u="none" strike="noStrike" baseline="0">
                      <a:solidFill>
                        <a:schemeClr val="accent4">
                          <a:lumMod val="20000"/>
                          <a:lumOff val="80000"/>
                        </a:schemeClr>
                      </a:solidFill>
                      <a:latin typeface="Calibri" panose="020F0502020204030204"/>
                    </a:rPr>
                    <a:t>Южный ФО</a:t>
                  </a:r>
                </a:p>
              </cx:txPr>
              <cx:visibility seriesName="0" categoryName="1" value="0"/>
            </cx:dataLabel>
            <cx:dataLabel idx="4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100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</a:defRPr>
                  </a:pPr>
                  <a:r>
                    <a:rPr lang="ru-RU" sz="1100" b="0" i="0" u="none" strike="noStrike" baseline="0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  <a:latin typeface="Calibri" panose="020F0502020204030204"/>
                    </a:rPr>
                    <a:t>Северо-Кавказский ФО</a:t>
                  </a:r>
                </a:p>
              </cx:txPr>
              <cx:visibility seriesName="0" categoryName="1" value="0"/>
            </cx:dataLabel>
            <cx:dataLabel idx="5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10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</a:defRPr>
                  </a:pPr>
                  <a:r>
                    <a:rPr lang="ru-RU" sz="1100" b="0" i="0" u="none" strike="noStrike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Calibri" panose="020F0502020204030204"/>
                    </a:rPr>
                    <a:t>Приволжский ФО</a:t>
                  </a:r>
                </a:p>
              </cx:txPr>
              <cx:visibility seriesName="0" categoryName="1" value="0"/>
            </cx:dataLabel>
            <cx:dataLabel idx="67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050">
                      <a:solidFill>
                        <a:schemeClr val="tx2">
                          <a:lumMod val="20000"/>
                          <a:lumOff val="80000"/>
                        </a:schemeClr>
                      </a:solidFill>
                    </a:defRPr>
                  </a:pPr>
                  <a:r>
                    <a:rPr lang="ru-RU" sz="1050" b="0" i="0" u="none" strike="noStrike" baseline="0">
                      <a:solidFill>
                        <a:schemeClr val="tx2">
                          <a:lumMod val="20000"/>
                          <a:lumOff val="80000"/>
                        </a:schemeClr>
                      </a:solidFill>
                      <a:latin typeface="Calibri" panose="020F0502020204030204"/>
                    </a:rPr>
                    <a:t>Уральский ФО</a:t>
                  </a:r>
                </a:p>
              </cx:txPr>
              <cx:visibility seriesName="0" categoryName="1" value="0"/>
            </cx:dataLabel>
            <cx:dataLabel idx="7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100" b="0">
                      <a:solidFill>
                        <a:schemeClr val="accent2">
                          <a:lumMod val="20000"/>
                          <a:lumOff val="80000"/>
                        </a:schemeClr>
                      </a:solidFill>
                    </a:defRPr>
                  </a:pPr>
                  <a:r>
                    <a:rPr lang="ru-RU" sz="1100" b="0" i="0" u="none" strike="noStrike" baseline="0">
                      <a:solidFill>
                        <a:schemeClr val="accent2">
                          <a:lumMod val="20000"/>
                          <a:lumOff val="80000"/>
                        </a:schemeClr>
                      </a:solidFill>
                      <a:latin typeface="Calibri" panose="020F0502020204030204"/>
                    </a:rPr>
                    <a:t>Центральный ФО</a:t>
                  </a:r>
                </a:p>
              </cx:txPr>
              <cx:visibility seriesName="0" categoryName="1" value="0"/>
            </cx:dataLabel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129540</xdr:colOff>
      <xdr:row>0</xdr:row>
      <xdr:rowOff>495300</xdr:rowOff>
    </xdr:from>
    <xdr:to>
      <xdr:col>19</xdr:col>
      <xdr:colOff>434340</xdr:colOff>
      <xdr:row>6</xdr:row>
      <xdr:rowOff>198120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Диаграмма 5">
              <a:extLst>
                <a:ext uri="{FF2B5EF4-FFF2-40B4-BE49-F238E27FC236}">
                  <a16:creationId xmlns:a16="http://schemas.microsoft.com/office/drawing/2014/main" id="{B24501A2-E1B1-4CB5-BECE-CB41C5DD64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44740" y="495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464820</xdr:colOff>
      <xdr:row>0</xdr:row>
      <xdr:rowOff>0</xdr:rowOff>
    </xdr:from>
    <xdr:to>
      <xdr:col>10</xdr:col>
      <xdr:colOff>272832</xdr:colOff>
      <xdr:row>11</xdr:row>
      <xdr:rowOff>46204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D1C3024-F557-4461-BB71-249ACAA98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0" y="0"/>
          <a:ext cx="3465612" cy="20578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1</xdr:row>
      <xdr:rowOff>15240</xdr:rowOff>
    </xdr:from>
    <xdr:to>
      <xdr:col>10</xdr:col>
      <xdr:colOff>60960</xdr:colOff>
      <xdr:row>16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B1ACB7-9EC4-4DC5-B688-2C20710F5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213360</xdr:rowOff>
    </xdr:from>
    <xdr:to>
      <xdr:col>16</xdr:col>
      <xdr:colOff>381000</xdr:colOff>
      <xdr:row>8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F813EF-F6BA-4238-A565-905C9672C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0</xdr:rowOff>
    </xdr:from>
    <xdr:to>
      <xdr:col>10</xdr:col>
      <xdr:colOff>556260</xdr:colOff>
      <xdr:row>5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5F10C2FD-539C-4898-A9E2-6867C46BE9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026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0</xdr:rowOff>
    </xdr:from>
    <xdr:to>
      <xdr:col>9</xdr:col>
      <xdr:colOff>381000</xdr:colOff>
      <xdr:row>6</xdr:row>
      <xdr:rowOff>304800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D8E751D-5486-45E6-BAE3-21CF4F970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0</xdr:row>
      <xdr:rowOff>0</xdr:rowOff>
    </xdr:from>
    <xdr:to>
      <xdr:col>13</xdr:col>
      <xdr:colOff>53340</xdr:colOff>
      <xdr:row>17</xdr:row>
      <xdr:rowOff>91440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8E645D1-45F2-4EAE-8A6A-7A17DB5A8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1</xdr:row>
      <xdr:rowOff>53339</xdr:rowOff>
    </xdr:from>
    <xdr:to>
      <xdr:col>18</xdr:col>
      <xdr:colOff>489857</xdr:colOff>
      <xdr:row>44</xdr:row>
      <xdr:rowOff>10886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A96B61DE-C743-4B00-8423-54DF458E25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10149" y="238396"/>
              <a:ext cx="9435737" cy="79150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380552</xdr:colOff>
      <xdr:row>1</xdr:row>
      <xdr:rowOff>45719</xdr:rowOff>
    </xdr:from>
    <xdr:to>
      <xdr:col>15</xdr:col>
      <xdr:colOff>479612</xdr:colOff>
      <xdr:row>33</xdr:row>
      <xdr:rowOff>53339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E191960F-8D41-4DAD-885A-9993B7263A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92576" y="225013"/>
              <a:ext cx="7414260" cy="57450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9;&#1095;&#1105;&#1073;&#1072;/&#1052;&#1072;&#1090;&#1077;&#1088;&#1080;&#1072;&#1083;&#1099;/&#1052;&#1057;&#1052;_&#1082;&#1091;&#1088;&#1089;&#1072;&#10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атры, музеи"/>
      <sheetName val="спортивные сооружния"/>
      <sheetName val="библиотеки"/>
      <sheetName val="Газеты"/>
      <sheetName val="Лагеря"/>
      <sheetName val="Культурные факторы (копия)"/>
      <sheetName val="Лист2"/>
      <sheetName val="занятые"/>
      <sheetName val="Доход"/>
      <sheetName val="Темп роста"/>
      <sheetName val="Основные"/>
      <sheetName val="Культурные факторы"/>
      <sheetName val="Экономические факторы"/>
      <sheetName val="Данные"/>
      <sheetName val="X"/>
      <sheetName val="Динамика"/>
      <sheetName val="расчёт 1 глава"/>
      <sheetName val="Корр анализ"/>
    </sheetNames>
    <sheetDataSet>
      <sheetData sheetId="0"/>
      <sheetData sheetId="1">
        <row r="4">
          <cell r="A4"/>
          <cell r="B4">
            <v>2010</v>
          </cell>
          <cell r="C4">
            <v>2015</v>
          </cell>
          <cell r="D4">
            <v>2020</v>
          </cell>
          <cell r="E4">
            <v>2021</v>
          </cell>
          <cell r="F4">
            <v>2022</v>
          </cell>
          <cell r="G4">
            <v>2023</v>
          </cell>
        </row>
        <row r="5">
          <cell r="A5" t="str">
            <v>Российская Федерация</v>
          </cell>
          <cell r="B5" t="str">
            <v>1 903</v>
          </cell>
          <cell r="C5" t="str">
            <v>1 877</v>
          </cell>
          <cell r="D5" t="str">
            <v>1 770</v>
          </cell>
          <cell r="E5">
            <v>1676</v>
          </cell>
          <cell r="F5">
            <v>1632</v>
          </cell>
          <cell r="G5">
            <v>1623</v>
          </cell>
        </row>
        <row r="6">
          <cell r="A6" t="str">
            <v>Центральный</v>
          </cell>
          <cell r="B6">
            <v>531</v>
          </cell>
          <cell r="C6">
            <v>465</v>
          </cell>
          <cell r="D6">
            <v>414</v>
          </cell>
          <cell r="E6">
            <v>410</v>
          </cell>
          <cell r="F6">
            <v>397</v>
          </cell>
          <cell r="G6">
            <v>395</v>
          </cell>
        </row>
        <row r="7">
          <cell r="A7" t="str">
            <v>федеральный округ</v>
          </cell>
          <cell r="B7"/>
          <cell r="C7"/>
          <cell r="D7"/>
          <cell r="E7"/>
          <cell r="F7"/>
          <cell r="G7"/>
        </row>
        <row r="8">
          <cell r="A8" t="str">
            <v>Белгородская область</v>
          </cell>
          <cell r="B8">
            <v>19</v>
          </cell>
          <cell r="C8">
            <v>25</v>
          </cell>
          <cell r="D8">
            <v>24</v>
          </cell>
          <cell r="E8">
            <v>24</v>
          </cell>
          <cell r="F8">
            <v>22</v>
          </cell>
          <cell r="G8">
            <v>23</v>
          </cell>
        </row>
        <row r="9">
          <cell r="A9" t="str">
            <v>Брянская область</v>
          </cell>
          <cell r="B9">
            <v>19</v>
          </cell>
          <cell r="C9">
            <v>30</v>
          </cell>
          <cell r="D9">
            <v>21</v>
          </cell>
          <cell r="E9">
            <v>17</v>
          </cell>
          <cell r="F9">
            <v>16</v>
          </cell>
          <cell r="G9">
            <v>18</v>
          </cell>
        </row>
        <row r="10">
          <cell r="A10" t="str">
            <v>Владимирская область</v>
          </cell>
          <cell r="B10">
            <v>33</v>
          </cell>
          <cell r="C10">
            <v>33</v>
          </cell>
          <cell r="D10">
            <v>33</v>
          </cell>
          <cell r="E10">
            <v>33</v>
          </cell>
          <cell r="F10">
            <v>30</v>
          </cell>
          <cell r="G10">
            <v>28</v>
          </cell>
        </row>
        <row r="11">
          <cell r="A11" t="str">
            <v>Воронежская область</v>
          </cell>
          <cell r="B11">
            <v>29</v>
          </cell>
          <cell r="C11">
            <v>25</v>
          </cell>
          <cell r="D11">
            <v>10</v>
          </cell>
          <cell r="E11">
            <v>10</v>
          </cell>
          <cell r="F11">
            <v>10</v>
          </cell>
          <cell r="G11">
            <v>10</v>
          </cell>
        </row>
        <row r="12">
          <cell r="A12" t="str">
            <v>Ивановская область</v>
          </cell>
          <cell r="B12">
            <v>25</v>
          </cell>
          <cell r="C12">
            <v>21</v>
          </cell>
          <cell r="D12">
            <v>16</v>
          </cell>
          <cell r="E12">
            <v>16</v>
          </cell>
          <cell r="F12">
            <v>14</v>
          </cell>
          <cell r="G12">
            <v>14</v>
          </cell>
        </row>
        <row r="13">
          <cell r="A13" t="str">
            <v>Калужская область</v>
          </cell>
          <cell r="B13">
            <v>25</v>
          </cell>
          <cell r="C13">
            <v>18</v>
          </cell>
          <cell r="D13">
            <v>15</v>
          </cell>
          <cell r="E13">
            <v>15</v>
          </cell>
          <cell r="F13">
            <v>15</v>
          </cell>
          <cell r="G13">
            <v>15</v>
          </cell>
        </row>
        <row r="14">
          <cell r="A14" t="str">
            <v>Костромская область</v>
          </cell>
          <cell r="B14">
            <v>17</v>
          </cell>
          <cell r="C14">
            <v>6</v>
          </cell>
          <cell r="D14">
            <v>6</v>
          </cell>
          <cell r="E14">
            <v>7</v>
          </cell>
          <cell r="F14">
            <v>6</v>
          </cell>
          <cell r="G14">
            <v>6</v>
          </cell>
        </row>
        <row r="15">
          <cell r="A15" t="str">
            <v>Курская область</v>
          </cell>
          <cell r="B15">
            <v>15</v>
          </cell>
          <cell r="C15">
            <v>13</v>
          </cell>
          <cell r="D15">
            <v>11</v>
          </cell>
          <cell r="E15">
            <v>9</v>
          </cell>
          <cell r="F15">
            <v>9</v>
          </cell>
          <cell r="G15">
            <v>9</v>
          </cell>
        </row>
        <row r="16">
          <cell r="A16" t="str">
            <v>Липецкая область</v>
          </cell>
          <cell r="B16">
            <v>21</v>
          </cell>
          <cell r="C16">
            <v>21</v>
          </cell>
          <cell r="D16">
            <v>22</v>
          </cell>
          <cell r="E16">
            <v>22</v>
          </cell>
          <cell r="F16">
            <v>22</v>
          </cell>
          <cell r="G16">
            <v>22</v>
          </cell>
        </row>
        <row r="17">
          <cell r="A17" t="str">
            <v>Московская область</v>
          </cell>
          <cell r="B17">
            <v>129</v>
          </cell>
          <cell r="C17">
            <v>126</v>
          </cell>
          <cell r="D17">
            <v>123</v>
          </cell>
          <cell r="E17">
            <v>122</v>
          </cell>
          <cell r="F17">
            <v>119</v>
          </cell>
          <cell r="G17">
            <v>118</v>
          </cell>
        </row>
        <row r="18">
          <cell r="A18" t="str">
            <v>Орловская область</v>
          </cell>
          <cell r="B18">
            <v>14</v>
          </cell>
          <cell r="C18">
            <v>14</v>
          </cell>
          <cell r="D18">
            <v>3</v>
          </cell>
          <cell r="E18">
            <v>3</v>
          </cell>
          <cell r="F18">
            <v>3</v>
          </cell>
          <cell r="G18">
            <v>3</v>
          </cell>
        </row>
        <row r="19">
          <cell r="A19" t="str">
            <v>Рязанская область</v>
          </cell>
          <cell r="B19">
            <v>13</v>
          </cell>
          <cell r="C19">
            <v>15</v>
          </cell>
          <cell r="D19">
            <v>13</v>
          </cell>
          <cell r="E19">
            <v>13</v>
          </cell>
          <cell r="F19">
            <v>13</v>
          </cell>
          <cell r="G19">
            <v>13</v>
          </cell>
        </row>
        <row r="20">
          <cell r="A20" t="str">
            <v>Смоленская область</v>
          </cell>
          <cell r="B20">
            <v>24</v>
          </cell>
          <cell r="C20">
            <v>24</v>
          </cell>
          <cell r="D20">
            <v>24</v>
          </cell>
          <cell r="E20">
            <v>24</v>
          </cell>
          <cell r="F20">
            <v>24</v>
          </cell>
          <cell r="G20">
            <v>24</v>
          </cell>
        </row>
        <row r="21">
          <cell r="A21" t="str">
            <v>Тамбовская область</v>
          </cell>
          <cell r="B21">
            <v>19</v>
          </cell>
          <cell r="C21">
            <v>21</v>
          </cell>
          <cell r="D21">
            <v>21</v>
          </cell>
          <cell r="E21">
            <v>21</v>
          </cell>
          <cell r="F21">
            <v>21</v>
          </cell>
          <cell r="G21">
            <v>21</v>
          </cell>
        </row>
        <row r="22">
          <cell r="A22" t="str">
            <v>Тверская область</v>
          </cell>
          <cell r="B22">
            <v>19</v>
          </cell>
          <cell r="C22">
            <v>18</v>
          </cell>
          <cell r="D22">
            <v>17</v>
          </cell>
          <cell r="E22">
            <v>17</v>
          </cell>
          <cell r="F22">
            <v>17</v>
          </cell>
          <cell r="G22">
            <v>17</v>
          </cell>
        </row>
        <row r="23">
          <cell r="A23" t="str">
            <v>Тульская область</v>
          </cell>
          <cell r="B23">
            <v>29</v>
          </cell>
          <cell r="C23">
            <v>20</v>
          </cell>
          <cell r="D23">
            <v>17</v>
          </cell>
          <cell r="E23">
            <v>17</v>
          </cell>
          <cell r="F23">
            <v>17</v>
          </cell>
          <cell r="G23">
            <v>17</v>
          </cell>
        </row>
        <row r="24">
          <cell r="A24" t="str">
            <v>Ярославская область</v>
          </cell>
          <cell r="B24">
            <v>18</v>
          </cell>
          <cell r="C24">
            <v>13</v>
          </cell>
          <cell r="D24">
            <v>13</v>
          </cell>
          <cell r="E24">
            <v>13</v>
          </cell>
          <cell r="F24">
            <v>12</v>
          </cell>
          <cell r="G24">
            <v>8</v>
          </cell>
        </row>
        <row r="25">
          <cell r="A25" t="str">
            <v>г. Москва</v>
          </cell>
          <cell r="B25">
            <v>63</v>
          </cell>
          <cell r="C25">
            <v>22</v>
          </cell>
          <cell r="D25">
            <v>25</v>
          </cell>
          <cell r="E25">
            <v>27</v>
          </cell>
          <cell r="F25">
            <v>27</v>
          </cell>
          <cell r="G25">
            <v>29</v>
          </cell>
        </row>
        <row r="26">
          <cell r="A26" t="str">
            <v>Северо-Западный</v>
          </cell>
          <cell r="B26">
            <v>104</v>
          </cell>
          <cell r="C26">
            <v>91</v>
          </cell>
          <cell r="D26">
            <v>83</v>
          </cell>
          <cell r="E26">
            <v>82</v>
          </cell>
          <cell r="F26">
            <v>80</v>
          </cell>
          <cell r="G26">
            <v>78</v>
          </cell>
        </row>
        <row r="27">
          <cell r="A27" t="str">
            <v>федеральный округ</v>
          </cell>
          <cell r="B27"/>
          <cell r="C27"/>
          <cell r="D27"/>
          <cell r="E27"/>
          <cell r="F27"/>
          <cell r="G27"/>
        </row>
        <row r="28">
          <cell r="A28" t="str">
            <v>Республика Карелия</v>
          </cell>
          <cell r="B28">
            <v>4</v>
          </cell>
          <cell r="C28">
            <v>4</v>
          </cell>
          <cell r="D28">
            <v>4</v>
          </cell>
          <cell r="E28">
            <v>4</v>
          </cell>
          <cell r="F28">
            <v>4</v>
          </cell>
          <cell r="G28">
            <v>3</v>
          </cell>
        </row>
        <row r="29">
          <cell r="A29" t="str">
            <v>Республика Коми</v>
          </cell>
          <cell r="B29">
            <v>8</v>
          </cell>
          <cell r="C29">
            <v>7</v>
          </cell>
          <cell r="D29">
            <v>7</v>
          </cell>
          <cell r="E29">
            <v>7</v>
          </cell>
          <cell r="F29">
            <v>7</v>
          </cell>
          <cell r="G29">
            <v>7</v>
          </cell>
        </row>
        <row r="30">
          <cell r="A30" t="str">
            <v>Архангельская область</v>
          </cell>
          <cell r="B30">
            <v>13</v>
          </cell>
          <cell r="C30">
            <v>9</v>
          </cell>
          <cell r="D30">
            <v>8</v>
          </cell>
          <cell r="E30">
            <v>8</v>
          </cell>
          <cell r="F30">
            <v>8</v>
          </cell>
          <cell r="G30">
            <v>7</v>
          </cell>
        </row>
        <row r="31">
          <cell r="A31" t="str">
            <v>в том числе:</v>
          </cell>
          <cell r="B31"/>
          <cell r="C31"/>
          <cell r="D31"/>
          <cell r="E31"/>
          <cell r="F31"/>
          <cell r="G31"/>
        </row>
        <row r="32">
          <cell r="A32" t="str">
            <v>Ненецкий автономный округ</v>
          </cell>
          <cell r="B32" t="str">
            <v>–</v>
          </cell>
          <cell r="C32" t="str">
            <v>–</v>
          </cell>
          <cell r="D32" t="str">
            <v>–</v>
          </cell>
          <cell r="E32" t="str">
            <v>–</v>
          </cell>
          <cell r="F32" t="str">
            <v>–</v>
          </cell>
          <cell r="G32" t="str">
            <v>–</v>
          </cell>
        </row>
        <row r="33">
          <cell r="A33" t="str">
            <v>Архангельская область без автономного округа</v>
          </cell>
          <cell r="B33">
            <v>13</v>
          </cell>
          <cell r="C33">
            <v>9</v>
          </cell>
          <cell r="D33">
            <v>8</v>
          </cell>
          <cell r="E33">
            <v>8</v>
          </cell>
          <cell r="F33">
            <v>8</v>
          </cell>
          <cell r="G33">
            <v>7</v>
          </cell>
        </row>
        <row r="34">
          <cell r="A34" t="str">
            <v>Вологодская область</v>
          </cell>
          <cell r="B34">
            <v>15</v>
          </cell>
          <cell r="C34">
            <v>13</v>
          </cell>
          <cell r="D34">
            <v>10</v>
          </cell>
          <cell r="E34">
            <v>9</v>
          </cell>
          <cell r="F34">
            <v>9</v>
          </cell>
          <cell r="G34">
            <v>11</v>
          </cell>
        </row>
        <row r="35">
          <cell r="A35" t="str">
            <v>Калинингpадская область</v>
          </cell>
          <cell r="B35">
            <v>5</v>
          </cell>
          <cell r="C35">
            <v>6</v>
          </cell>
          <cell r="D35">
            <v>7</v>
          </cell>
          <cell r="E35">
            <v>7</v>
          </cell>
          <cell r="F35">
            <v>7</v>
          </cell>
          <cell r="G35">
            <v>6</v>
          </cell>
        </row>
        <row r="36">
          <cell r="A36" t="str">
            <v>Ленинградская область</v>
          </cell>
          <cell r="B36">
            <v>25</v>
          </cell>
          <cell r="C36">
            <v>26</v>
          </cell>
          <cell r="D36">
            <v>22</v>
          </cell>
          <cell r="E36">
            <v>23</v>
          </cell>
          <cell r="F36">
            <v>21</v>
          </cell>
          <cell r="G36">
            <v>20</v>
          </cell>
        </row>
        <row r="37">
          <cell r="A37" t="str">
            <v>Мурманская область</v>
          </cell>
          <cell r="B37">
            <v>7</v>
          </cell>
          <cell r="C37">
            <v>7</v>
          </cell>
          <cell r="D37">
            <v>7</v>
          </cell>
          <cell r="E37">
            <v>7</v>
          </cell>
          <cell r="F37">
            <v>7</v>
          </cell>
          <cell r="G37">
            <v>6</v>
          </cell>
        </row>
        <row r="38">
          <cell r="A38" t="str">
            <v>Новгородская область</v>
          </cell>
          <cell r="B38">
            <v>4</v>
          </cell>
          <cell r="C38">
            <v>3</v>
          </cell>
          <cell r="D38">
            <v>2</v>
          </cell>
          <cell r="E38">
            <v>2</v>
          </cell>
          <cell r="F38">
            <v>2</v>
          </cell>
          <cell r="G38">
            <v>2</v>
          </cell>
        </row>
        <row r="39">
          <cell r="A39" t="str">
            <v>Псковская область</v>
          </cell>
          <cell r="B39">
            <v>10</v>
          </cell>
          <cell r="C39">
            <v>9</v>
          </cell>
          <cell r="D39">
            <v>8</v>
          </cell>
          <cell r="E39">
            <v>7</v>
          </cell>
          <cell r="F39">
            <v>7</v>
          </cell>
          <cell r="G39">
            <v>7</v>
          </cell>
        </row>
        <row r="40">
          <cell r="A40" t="str">
            <v>г. Санкт-Петербург</v>
          </cell>
          <cell r="B40">
            <v>13</v>
          </cell>
          <cell r="C40">
            <v>7</v>
          </cell>
          <cell r="D40">
            <v>8</v>
          </cell>
          <cell r="E40">
            <v>8</v>
          </cell>
          <cell r="F40">
            <v>8</v>
          </cell>
          <cell r="G40">
            <v>9</v>
          </cell>
        </row>
        <row r="41">
          <cell r="A41" t="str">
            <v>Южный</v>
          </cell>
          <cell r="B41">
            <v>174</v>
          </cell>
          <cell r="C41">
            <v>231</v>
          </cell>
          <cell r="D41">
            <v>238</v>
          </cell>
          <cell r="E41">
            <v>233</v>
          </cell>
          <cell r="F41">
            <v>224</v>
          </cell>
          <cell r="G41">
            <v>217</v>
          </cell>
        </row>
        <row r="42">
          <cell r="A42" t="str">
            <v>федеральный округ</v>
          </cell>
          <cell r="B42"/>
          <cell r="C42"/>
          <cell r="D42"/>
          <cell r="E42"/>
          <cell r="F42"/>
          <cell r="G42"/>
        </row>
        <row r="43">
          <cell r="A43" t="str">
            <v>Республика Адыгея</v>
          </cell>
          <cell r="B43">
            <v>3</v>
          </cell>
          <cell r="C43">
            <v>3</v>
          </cell>
          <cell r="D43">
            <v>3</v>
          </cell>
          <cell r="E43">
            <v>3</v>
          </cell>
          <cell r="F43">
            <v>3</v>
          </cell>
          <cell r="G43">
            <v>3</v>
          </cell>
        </row>
        <row r="44">
          <cell r="A44" t="str">
            <v>Республика Калмыкия</v>
          </cell>
          <cell r="B44">
            <v>2</v>
          </cell>
          <cell r="C44">
            <v>2</v>
          </cell>
          <cell r="D44">
            <v>2</v>
          </cell>
          <cell r="E44">
            <v>2</v>
          </cell>
          <cell r="F44">
            <v>2</v>
          </cell>
          <cell r="G44" t="str">
            <v>–</v>
          </cell>
        </row>
        <row r="45">
          <cell r="A45" t="str">
            <v>Республика Крым</v>
          </cell>
          <cell r="B45"/>
          <cell r="C45">
            <v>37</v>
          </cell>
          <cell r="D45">
            <v>34</v>
          </cell>
          <cell r="E45">
            <v>31</v>
          </cell>
          <cell r="F45">
            <v>30</v>
          </cell>
          <cell r="G45">
            <v>30</v>
          </cell>
        </row>
        <row r="46">
          <cell r="A46" t="str">
            <v>Краснодарский край</v>
          </cell>
          <cell r="B46">
            <v>74</v>
          </cell>
          <cell r="C46">
            <v>80</v>
          </cell>
          <cell r="D46">
            <v>84</v>
          </cell>
          <cell r="E46">
            <v>85</v>
          </cell>
          <cell r="F46">
            <v>87</v>
          </cell>
          <cell r="G46">
            <v>82</v>
          </cell>
        </row>
        <row r="47">
          <cell r="A47" t="str">
            <v>Астраханская область</v>
          </cell>
          <cell r="B47">
            <v>6</v>
          </cell>
          <cell r="C47">
            <v>8</v>
          </cell>
          <cell r="D47">
            <v>17</v>
          </cell>
          <cell r="E47">
            <v>17</v>
          </cell>
          <cell r="F47">
            <v>8</v>
          </cell>
          <cell r="G47">
            <v>8</v>
          </cell>
        </row>
        <row r="48">
          <cell r="A48" t="str">
            <v>Волгоградская область</v>
          </cell>
          <cell r="B48">
            <v>35</v>
          </cell>
          <cell r="C48">
            <v>41</v>
          </cell>
          <cell r="D48">
            <v>38</v>
          </cell>
          <cell r="E48">
            <v>35</v>
          </cell>
          <cell r="F48">
            <v>35</v>
          </cell>
          <cell r="G48">
            <v>35</v>
          </cell>
        </row>
        <row r="49">
          <cell r="A49" t="str">
            <v>Ростовская область</v>
          </cell>
          <cell r="B49">
            <v>54</v>
          </cell>
          <cell r="C49">
            <v>54</v>
          </cell>
          <cell r="D49">
            <v>56</v>
          </cell>
          <cell r="E49">
            <v>56</v>
          </cell>
          <cell r="F49">
            <v>56</v>
          </cell>
          <cell r="G49">
            <v>56</v>
          </cell>
        </row>
        <row r="50">
          <cell r="A50" t="str">
            <v>г. Севастополь</v>
          </cell>
          <cell r="B50"/>
          <cell r="C50">
            <v>6</v>
          </cell>
          <cell r="D50">
            <v>4</v>
          </cell>
          <cell r="E50">
            <v>4</v>
          </cell>
          <cell r="F50">
            <v>3</v>
          </cell>
          <cell r="G50">
            <v>3</v>
          </cell>
        </row>
        <row r="51">
          <cell r="A51" t="str">
            <v>Северо-Кавказский</v>
          </cell>
          <cell r="B51">
            <v>89</v>
          </cell>
          <cell r="C51">
            <v>100</v>
          </cell>
          <cell r="D51">
            <v>107</v>
          </cell>
          <cell r="E51">
            <v>102</v>
          </cell>
          <cell r="F51">
            <v>92</v>
          </cell>
          <cell r="G51">
            <v>97</v>
          </cell>
        </row>
        <row r="52">
          <cell r="A52" t="str">
            <v>федеральный округ</v>
          </cell>
          <cell r="B52"/>
          <cell r="C52"/>
          <cell r="D52"/>
          <cell r="E52"/>
          <cell r="F52"/>
          <cell r="G52"/>
        </row>
        <row r="53">
          <cell r="A53" t="str">
            <v>Республика Дагестан</v>
          </cell>
          <cell r="B53">
            <v>12</v>
          </cell>
          <cell r="C53">
            <v>12</v>
          </cell>
          <cell r="D53">
            <v>13</v>
          </cell>
          <cell r="E53">
            <v>13</v>
          </cell>
          <cell r="F53">
            <v>12</v>
          </cell>
          <cell r="G53">
            <v>13</v>
          </cell>
        </row>
        <row r="54">
          <cell r="A54" t="str">
            <v>Республика Ингушетия</v>
          </cell>
          <cell r="B54">
            <v>4</v>
          </cell>
          <cell r="C54">
            <v>4</v>
          </cell>
          <cell r="D54">
            <v>4</v>
          </cell>
          <cell r="E54">
            <v>4</v>
          </cell>
          <cell r="F54">
            <v>4</v>
          </cell>
          <cell r="G54">
            <v>4</v>
          </cell>
        </row>
        <row r="55">
          <cell r="A55" t="str">
            <v>Кабардино-Балкарская Республика</v>
          </cell>
          <cell r="B55">
            <v>12</v>
          </cell>
          <cell r="C55">
            <v>12</v>
          </cell>
          <cell r="D55">
            <v>12</v>
          </cell>
          <cell r="E55">
            <v>11</v>
          </cell>
          <cell r="F55">
            <v>11</v>
          </cell>
          <cell r="G55">
            <v>11</v>
          </cell>
        </row>
        <row r="56">
          <cell r="A56" t="str">
            <v>Карачаево-Черкесская Республика</v>
          </cell>
          <cell r="B56">
            <v>4</v>
          </cell>
          <cell r="C56">
            <v>4</v>
          </cell>
          <cell r="D56">
            <v>4</v>
          </cell>
          <cell r="E56">
            <v>4</v>
          </cell>
          <cell r="F56">
            <v>4</v>
          </cell>
          <cell r="G56">
            <v>4</v>
          </cell>
        </row>
        <row r="57">
          <cell r="A57" t="str">
            <v xml:space="preserve">Республика Северная Осетия </v>
          </cell>
          <cell r="B57">
            <v>13</v>
          </cell>
          <cell r="C57">
            <v>15</v>
          </cell>
          <cell r="D57">
            <v>15</v>
          </cell>
          <cell r="E57">
            <v>12</v>
          </cell>
          <cell r="F57">
            <v>12</v>
          </cell>
          <cell r="G57">
            <v>12</v>
          </cell>
        </row>
        <row r="58">
          <cell r="A58" t="str">
            <v xml:space="preserve">Чеченская Республика </v>
          </cell>
          <cell r="B58">
            <v>3</v>
          </cell>
          <cell r="C58">
            <v>13</v>
          </cell>
          <cell r="D58">
            <v>17</v>
          </cell>
          <cell r="E58">
            <v>17</v>
          </cell>
          <cell r="F58">
            <v>9</v>
          </cell>
          <cell r="G58">
            <v>13</v>
          </cell>
        </row>
        <row r="59">
          <cell r="A59" t="str">
            <v>Ставропольский край</v>
          </cell>
          <cell r="B59">
            <v>41</v>
          </cell>
          <cell r="C59">
            <v>40</v>
          </cell>
          <cell r="D59">
            <v>42</v>
          </cell>
          <cell r="E59">
            <v>41</v>
          </cell>
          <cell r="F59">
            <v>40</v>
          </cell>
          <cell r="G59">
            <v>40</v>
          </cell>
        </row>
        <row r="60">
          <cell r="A60" t="str">
            <v>Приволжский</v>
          </cell>
          <cell r="B60">
            <v>414</v>
          </cell>
          <cell r="C60">
            <v>380</v>
          </cell>
          <cell r="D60">
            <v>364</v>
          </cell>
          <cell r="E60">
            <v>360</v>
          </cell>
          <cell r="F60">
            <v>360</v>
          </cell>
          <cell r="G60">
            <v>353</v>
          </cell>
        </row>
        <row r="61">
          <cell r="A61" t="str">
            <v>федеральный округ</v>
          </cell>
          <cell r="B61"/>
          <cell r="C61"/>
          <cell r="D61"/>
          <cell r="E61"/>
          <cell r="F61"/>
          <cell r="G61"/>
        </row>
        <row r="62">
          <cell r="A62" t="str">
            <v>Республика Башкортостан</v>
          </cell>
          <cell r="B62">
            <v>36</v>
          </cell>
          <cell r="C62">
            <v>30</v>
          </cell>
          <cell r="D62">
            <v>27</v>
          </cell>
          <cell r="E62">
            <v>27</v>
          </cell>
          <cell r="F62">
            <v>27</v>
          </cell>
          <cell r="G62">
            <v>25</v>
          </cell>
        </row>
        <row r="63">
          <cell r="A63" t="str">
            <v>Республика Марий Эл</v>
          </cell>
          <cell r="B63">
            <v>10</v>
          </cell>
          <cell r="C63">
            <v>6</v>
          </cell>
          <cell r="D63">
            <v>7</v>
          </cell>
          <cell r="E63">
            <v>7</v>
          </cell>
          <cell r="F63">
            <v>7</v>
          </cell>
          <cell r="G63">
            <v>8</v>
          </cell>
        </row>
        <row r="64">
          <cell r="A64" t="str">
            <v>Республика Мордовия</v>
          </cell>
          <cell r="B64">
            <v>22</v>
          </cell>
          <cell r="C64">
            <v>7</v>
          </cell>
          <cell r="D64">
            <v>6</v>
          </cell>
          <cell r="E64">
            <v>6</v>
          </cell>
          <cell r="F64">
            <v>6</v>
          </cell>
          <cell r="G64">
            <v>6</v>
          </cell>
        </row>
        <row r="65">
          <cell r="A65" t="str">
            <v>Республика Татарстан</v>
          </cell>
          <cell r="B65">
            <v>40</v>
          </cell>
          <cell r="C65">
            <v>44</v>
          </cell>
          <cell r="D65">
            <v>45</v>
          </cell>
          <cell r="E65">
            <v>45</v>
          </cell>
          <cell r="F65">
            <v>46</v>
          </cell>
          <cell r="G65">
            <v>46</v>
          </cell>
        </row>
        <row r="66">
          <cell r="A66" t="str">
            <v>Удмуртская Республика</v>
          </cell>
          <cell r="B66">
            <v>35</v>
          </cell>
          <cell r="C66">
            <v>31</v>
          </cell>
          <cell r="D66">
            <v>27</v>
          </cell>
          <cell r="E66">
            <v>27</v>
          </cell>
          <cell r="F66">
            <v>26</v>
          </cell>
          <cell r="G66">
            <v>25</v>
          </cell>
        </row>
        <row r="67">
          <cell r="A67" t="str">
            <v>Чувашская Республика</v>
          </cell>
          <cell r="B67">
            <v>11</v>
          </cell>
          <cell r="C67">
            <v>11</v>
          </cell>
          <cell r="D67">
            <v>11</v>
          </cell>
          <cell r="E67">
            <v>11</v>
          </cell>
          <cell r="F67">
            <v>12</v>
          </cell>
          <cell r="G67">
            <v>12</v>
          </cell>
        </row>
        <row r="68">
          <cell r="A68" t="str">
            <v>Пермский край</v>
          </cell>
          <cell r="B68">
            <v>34</v>
          </cell>
          <cell r="C68">
            <v>29</v>
          </cell>
          <cell r="D68">
            <v>25</v>
          </cell>
          <cell r="E68">
            <v>27</v>
          </cell>
          <cell r="F68">
            <v>26</v>
          </cell>
          <cell r="G68">
            <v>25</v>
          </cell>
        </row>
        <row r="69">
          <cell r="A69" t="str">
            <v>Кировская область</v>
          </cell>
          <cell r="B69">
            <v>28</v>
          </cell>
          <cell r="C69">
            <v>28</v>
          </cell>
          <cell r="D69">
            <v>26</v>
          </cell>
          <cell r="E69">
            <v>27</v>
          </cell>
          <cell r="F69">
            <v>25</v>
          </cell>
          <cell r="G69">
            <v>24</v>
          </cell>
        </row>
        <row r="70">
          <cell r="A70" t="str">
            <v>Нижегородская область</v>
          </cell>
          <cell r="B70">
            <v>60</v>
          </cell>
          <cell r="C70">
            <v>53</v>
          </cell>
          <cell r="D70">
            <v>47</v>
          </cell>
          <cell r="E70">
            <v>43</v>
          </cell>
          <cell r="F70">
            <v>43</v>
          </cell>
          <cell r="G70">
            <v>42</v>
          </cell>
        </row>
        <row r="71">
          <cell r="A71" t="str">
            <v>Оренбургская область</v>
          </cell>
          <cell r="B71">
            <v>28</v>
          </cell>
          <cell r="C71">
            <v>34</v>
          </cell>
          <cell r="D71">
            <v>34</v>
          </cell>
          <cell r="E71">
            <v>34</v>
          </cell>
          <cell r="F71">
            <v>36</v>
          </cell>
          <cell r="G71">
            <v>35</v>
          </cell>
        </row>
        <row r="72">
          <cell r="A72" t="str">
            <v>Пензенская область</v>
          </cell>
          <cell r="B72">
            <v>25</v>
          </cell>
          <cell r="C72">
            <v>26</v>
          </cell>
          <cell r="D72">
            <v>26</v>
          </cell>
          <cell r="E72">
            <v>26</v>
          </cell>
          <cell r="F72">
            <v>26</v>
          </cell>
          <cell r="G72">
            <v>25</v>
          </cell>
        </row>
        <row r="73">
          <cell r="A73" t="str">
            <v>Самарская область</v>
          </cell>
          <cell r="B73">
            <v>40</v>
          </cell>
          <cell r="C73">
            <v>41</v>
          </cell>
          <cell r="D73">
            <v>40</v>
          </cell>
          <cell r="E73">
            <v>39</v>
          </cell>
          <cell r="F73">
            <v>39</v>
          </cell>
          <cell r="G73">
            <v>39</v>
          </cell>
        </row>
        <row r="74">
          <cell r="A74" t="str">
            <v>Саратовская область</v>
          </cell>
          <cell r="B74">
            <v>27</v>
          </cell>
          <cell r="C74">
            <v>26</v>
          </cell>
          <cell r="D74">
            <v>26</v>
          </cell>
          <cell r="E74">
            <v>24</v>
          </cell>
          <cell r="F74">
            <v>24</v>
          </cell>
          <cell r="G74">
            <v>24</v>
          </cell>
        </row>
        <row r="75">
          <cell r="A75" t="str">
            <v>Ульяновская область</v>
          </cell>
          <cell r="B75">
            <v>18</v>
          </cell>
          <cell r="C75">
            <v>14</v>
          </cell>
          <cell r="D75">
            <v>17</v>
          </cell>
          <cell r="E75">
            <v>17</v>
          </cell>
          <cell r="F75">
            <v>17</v>
          </cell>
          <cell r="G75">
            <v>17</v>
          </cell>
        </row>
        <row r="76">
          <cell r="A76" t="str">
            <v>Уральский</v>
          </cell>
          <cell r="B76">
            <v>159</v>
          </cell>
          <cell r="C76">
            <v>204</v>
          </cell>
          <cell r="D76">
            <v>126</v>
          </cell>
          <cell r="E76">
            <v>130</v>
          </cell>
          <cell r="F76">
            <v>125</v>
          </cell>
          <cell r="G76">
            <v>124</v>
          </cell>
        </row>
        <row r="77">
          <cell r="A77" t="str">
            <v>федеральный округ</v>
          </cell>
          <cell r="B77"/>
          <cell r="C77"/>
          <cell r="D77"/>
          <cell r="E77"/>
          <cell r="F77"/>
          <cell r="G77"/>
        </row>
        <row r="78">
          <cell r="A78" t="str">
            <v>Курганская область</v>
          </cell>
          <cell r="B78">
            <v>21</v>
          </cell>
          <cell r="C78">
            <v>19</v>
          </cell>
          <cell r="D78">
            <v>19</v>
          </cell>
          <cell r="E78">
            <v>21</v>
          </cell>
          <cell r="F78">
            <v>21</v>
          </cell>
          <cell r="G78">
            <v>20</v>
          </cell>
        </row>
        <row r="79">
          <cell r="A79" t="str">
            <v>Свердловская область</v>
          </cell>
          <cell r="B79">
            <v>58</v>
          </cell>
          <cell r="C79">
            <v>111</v>
          </cell>
          <cell r="D79">
            <v>46</v>
          </cell>
          <cell r="E79">
            <v>48</v>
          </cell>
          <cell r="F79">
            <v>44</v>
          </cell>
          <cell r="G79">
            <v>45</v>
          </cell>
        </row>
        <row r="80">
          <cell r="A80" t="str">
            <v>Тюменская область</v>
          </cell>
          <cell r="B80">
            <v>24</v>
          </cell>
          <cell r="C80">
            <v>24</v>
          </cell>
          <cell r="D80">
            <v>24</v>
          </cell>
          <cell r="E80">
            <v>24</v>
          </cell>
          <cell r="F80">
            <v>23</v>
          </cell>
          <cell r="G80">
            <v>22</v>
          </cell>
        </row>
        <row r="81">
          <cell r="A81" t="str">
            <v>в том числе:</v>
          </cell>
          <cell r="B81"/>
          <cell r="C81"/>
          <cell r="D81"/>
          <cell r="E81"/>
          <cell r="F81"/>
          <cell r="G81"/>
        </row>
        <row r="82">
          <cell r="A82" t="str">
            <v xml:space="preserve">Ханты-Мансийский автономный округ </v>
          </cell>
          <cell r="B82">
            <v>7</v>
          </cell>
          <cell r="C82">
            <v>6</v>
          </cell>
          <cell r="D82">
            <v>4</v>
          </cell>
          <cell r="E82">
            <v>4</v>
          </cell>
          <cell r="F82">
            <v>4</v>
          </cell>
          <cell r="G82">
            <v>4</v>
          </cell>
        </row>
        <row r="83">
          <cell r="A83" t="str">
            <v>Ямало-Ненецкий автономный округ</v>
          </cell>
          <cell r="B83" t="str">
            <v>–</v>
          </cell>
          <cell r="C83" t="str">
            <v>–</v>
          </cell>
          <cell r="D83" t="str">
            <v>–</v>
          </cell>
          <cell r="E83" t="str">
            <v>–</v>
          </cell>
          <cell r="F83" t="str">
            <v>–</v>
          </cell>
          <cell r="G83" t="str">
            <v>–</v>
          </cell>
        </row>
        <row r="84">
          <cell r="A84" t="str">
            <v>Тюменская область без автономных округов</v>
          </cell>
          <cell r="B84">
            <v>17</v>
          </cell>
          <cell r="C84">
            <v>18</v>
          </cell>
          <cell r="D84">
            <v>20</v>
          </cell>
          <cell r="E84">
            <v>20</v>
          </cell>
          <cell r="F84">
            <v>19</v>
          </cell>
          <cell r="G84">
            <v>18</v>
          </cell>
        </row>
        <row r="85">
          <cell r="A85" t="str">
            <v>Челябинская область</v>
          </cell>
          <cell r="B85">
            <v>56</v>
          </cell>
          <cell r="C85">
            <v>50</v>
          </cell>
          <cell r="D85">
            <v>37</v>
          </cell>
          <cell r="E85">
            <v>37</v>
          </cell>
          <cell r="F85">
            <v>37</v>
          </cell>
          <cell r="G85">
            <v>37</v>
          </cell>
        </row>
        <row r="86">
          <cell r="A86" t="str">
            <v>Сибирский</v>
          </cell>
          <cell r="B86">
            <v>283</v>
          </cell>
          <cell r="C86">
            <v>276</v>
          </cell>
          <cell r="D86">
            <v>315</v>
          </cell>
          <cell r="E86">
            <v>231</v>
          </cell>
          <cell r="F86">
            <v>228</v>
          </cell>
          <cell r="G86">
            <v>231</v>
          </cell>
        </row>
        <row r="87">
          <cell r="A87" t="str">
            <v>федеральный округ</v>
          </cell>
          <cell r="B87"/>
          <cell r="C87"/>
          <cell r="D87"/>
          <cell r="E87"/>
          <cell r="F87"/>
          <cell r="G87"/>
        </row>
        <row r="88">
          <cell r="A88" t="str">
            <v>Республика Алтай</v>
          </cell>
          <cell r="B88">
            <v>5</v>
          </cell>
          <cell r="C88">
            <v>7</v>
          </cell>
          <cell r="D88">
            <v>6</v>
          </cell>
          <cell r="E88">
            <v>7</v>
          </cell>
          <cell r="F88">
            <v>8</v>
          </cell>
          <cell r="G88">
            <v>8</v>
          </cell>
        </row>
        <row r="89">
          <cell r="A89" t="str">
            <v>Республика Тыва</v>
          </cell>
          <cell r="B89">
            <v>13</v>
          </cell>
          <cell r="C89">
            <v>10</v>
          </cell>
          <cell r="D89">
            <v>11</v>
          </cell>
          <cell r="E89">
            <v>10</v>
          </cell>
          <cell r="F89">
            <v>10</v>
          </cell>
          <cell r="G89">
            <v>10</v>
          </cell>
        </row>
        <row r="90">
          <cell r="A90" t="str">
            <v>Республика Хакасия</v>
          </cell>
          <cell r="B90">
            <v>18</v>
          </cell>
          <cell r="C90">
            <v>22</v>
          </cell>
          <cell r="D90">
            <v>21</v>
          </cell>
          <cell r="E90">
            <v>21</v>
          </cell>
          <cell r="F90">
            <v>21</v>
          </cell>
          <cell r="G90">
            <v>21</v>
          </cell>
        </row>
        <row r="91">
          <cell r="A91" t="str">
            <v>Алтайский край</v>
          </cell>
          <cell r="B91">
            <v>81</v>
          </cell>
          <cell r="C91">
            <v>77</v>
          </cell>
          <cell r="D91">
            <v>133</v>
          </cell>
          <cell r="E91">
            <v>48</v>
          </cell>
          <cell r="F91">
            <v>47</v>
          </cell>
          <cell r="G91">
            <v>49</v>
          </cell>
        </row>
        <row r="92">
          <cell r="A92" t="str">
            <v>Красноярский край</v>
          </cell>
          <cell r="B92">
            <v>30</v>
          </cell>
          <cell r="C92">
            <v>25</v>
          </cell>
          <cell r="D92">
            <v>16</v>
          </cell>
          <cell r="E92">
            <v>16</v>
          </cell>
          <cell r="F92">
            <v>16</v>
          </cell>
          <cell r="G92">
            <v>16</v>
          </cell>
        </row>
        <row r="93">
          <cell r="A93" t="str">
            <v>Иркутская область</v>
          </cell>
          <cell r="B93">
            <v>25</v>
          </cell>
          <cell r="C93">
            <v>25</v>
          </cell>
          <cell r="D93">
            <v>24</v>
          </cell>
          <cell r="E93">
            <v>24</v>
          </cell>
          <cell r="F93">
            <v>23</v>
          </cell>
          <cell r="G93">
            <v>24</v>
          </cell>
        </row>
        <row r="94">
          <cell r="A94" t="str">
            <v>Кемеровская область</v>
          </cell>
          <cell r="B94">
            <v>29</v>
          </cell>
          <cell r="C94">
            <v>28</v>
          </cell>
          <cell r="D94">
            <v>27</v>
          </cell>
          <cell r="E94">
            <v>27</v>
          </cell>
          <cell r="F94">
            <v>27</v>
          </cell>
          <cell r="G94">
            <v>26</v>
          </cell>
        </row>
        <row r="95">
          <cell r="A95" t="str">
            <v>Новосибирская область</v>
          </cell>
          <cell r="B95">
            <v>24</v>
          </cell>
          <cell r="C95">
            <v>25</v>
          </cell>
          <cell r="D95">
            <v>23</v>
          </cell>
          <cell r="E95">
            <v>24</v>
          </cell>
          <cell r="F95">
            <v>23</v>
          </cell>
          <cell r="G95">
            <v>24</v>
          </cell>
        </row>
        <row r="96">
          <cell r="A96" t="str">
            <v>Омская область</v>
          </cell>
          <cell r="B96">
            <v>41</v>
          </cell>
          <cell r="C96">
            <v>40</v>
          </cell>
          <cell r="D96">
            <v>39</v>
          </cell>
          <cell r="E96">
            <v>39</v>
          </cell>
          <cell r="F96">
            <v>39</v>
          </cell>
          <cell r="G96">
            <v>39</v>
          </cell>
        </row>
        <row r="97">
          <cell r="A97" t="str">
            <v>Томская область</v>
          </cell>
          <cell r="B97">
            <v>17</v>
          </cell>
          <cell r="C97">
            <v>17</v>
          </cell>
          <cell r="D97">
            <v>15</v>
          </cell>
          <cell r="E97">
            <v>15</v>
          </cell>
          <cell r="F97">
            <v>14</v>
          </cell>
          <cell r="G97">
            <v>14</v>
          </cell>
        </row>
        <row r="98">
          <cell r="A98" t="str">
            <v>Дальневосточный</v>
          </cell>
          <cell r="B98">
            <v>149</v>
          </cell>
          <cell r="C98">
            <v>130</v>
          </cell>
          <cell r="D98">
            <v>123</v>
          </cell>
          <cell r="E98">
            <v>128</v>
          </cell>
          <cell r="F98">
            <v>126</v>
          </cell>
          <cell r="G98">
            <v>128</v>
          </cell>
        </row>
        <row r="99">
          <cell r="A99" t="str">
            <v>федеральный округ</v>
          </cell>
          <cell r="B99"/>
          <cell r="C99"/>
          <cell r="D99"/>
          <cell r="E99"/>
          <cell r="F99"/>
          <cell r="G99"/>
        </row>
        <row r="100">
          <cell r="A100" t="str">
            <v>Республика Бурятия</v>
          </cell>
          <cell r="B100">
            <v>17</v>
          </cell>
          <cell r="C100">
            <v>17</v>
          </cell>
          <cell r="D100">
            <v>17</v>
          </cell>
          <cell r="E100">
            <v>17</v>
          </cell>
          <cell r="F100">
            <v>17</v>
          </cell>
          <cell r="G100">
            <v>19</v>
          </cell>
        </row>
        <row r="101">
          <cell r="A101" t="str">
            <v>Республика Саха (Якутия)</v>
          </cell>
          <cell r="B101">
            <v>19</v>
          </cell>
          <cell r="C101">
            <v>21</v>
          </cell>
          <cell r="D101">
            <v>23</v>
          </cell>
          <cell r="E101">
            <v>23</v>
          </cell>
          <cell r="F101">
            <v>24</v>
          </cell>
          <cell r="G101">
            <v>24</v>
          </cell>
        </row>
        <row r="102">
          <cell r="A102" t="str">
            <v>Забайкальский край</v>
          </cell>
          <cell r="B102">
            <v>25</v>
          </cell>
          <cell r="C102">
            <v>15</v>
          </cell>
          <cell r="D102">
            <v>12</v>
          </cell>
          <cell r="E102">
            <v>16</v>
          </cell>
          <cell r="F102">
            <v>12</v>
          </cell>
          <cell r="G102">
            <v>12</v>
          </cell>
        </row>
        <row r="103">
          <cell r="A103" t="str">
            <v>Камчатский край</v>
          </cell>
          <cell r="B103">
            <v>2</v>
          </cell>
          <cell r="C103">
            <v>1</v>
          </cell>
          <cell r="D103">
            <v>1</v>
          </cell>
          <cell r="E103">
            <v>1</v>
          </cell>
          <cell r="F103">
            <v>1</v>
          </cell>
          <cell r="G103">
            <v>1</v>
          </cell>
        </row>
        <row r="104">
          <cell r="A104" t="str">
            <v>Приморский край</v>
          </cell>
          <cell r="B104">
            <v>31</v>
          </cell>
          <cell r="C104">
            <v>29</v>
          </cell>
          <cell r="D104">
            <v>23</v>
          </cell>
          <cell r="E104">
            <v>24</v>
          </cell>
          <cell r="F104">
            <v>24</v>
          </cell>
          <cell r="G104">
            <v>24</v>
          </cell>
        </row>
        <row r="105">
          <cell r="A105" t="str">
            <v>Хабаровский край</v>
          </cell>
          <cell r="B105">
            <v>15</v>
          </cell>
          <cell r="C105">
            <v>13</v>
          </cell>
          <cell r="D105">
            <v>15</v>
          </cell>
          <cell r="E105">
            <v>15</v>
          </cell>
          <cell r="F105">
            <v>16</v>
          </cell>
          <cell r="G105">
            <v>16</v>
          </cell>
        </row>
        <row r="106">
          <cell r="A106" t="str">
            <v>Амурская область</v>
          </cell>
          <cell r="B106">
            <v>26</v>
          </cell>
          <cell r="C106">
            <v>26</v>
          </cell>
          <cell r="D106">
            <v>26</v>
          </cell>
          <cell r="E106">
            <v>26</v>
          </cell>
          <cell r="F106">
            <v>26</v>
          </cell>
          <cell r="G106">
            <v>26</v>
          </cell>
        </row>
        <row r="107">
          <cell r="A107" t="str">
            <v>Магаданская область</v>
          </cell>
          <cell r="B107">
            <v>1</v>
          </cell>
          <cell r="C107">
            <v>1</v>
          </cell>
          <cell r="D107">
            <v>1</v>
          </cell>
          <cell r="E107">
            <v>1</v>
          </cell>
          <cell r="F107">
            <v>1</v>
          </cell>
          <cell r="G107">
            <v>1</v>
          </cell>
        </row>
        <row r="108">
          <cell r="A108" t="str">
            <v>Сахалинская область</v>
          </cell>
          <cell r="B108">
            <v>9</v>
          </cell>
          <cell r="C108">
            <v>3</v>
          </cell>
          <cell r="D108">
            <v>3</v>
          </cell>
          <cell r="E108">
            <v>3</v>
          </cell>
          <cell r="F108">
            <v>3</v>
          </cell>
          <cell r="G108">
            <v>3</v>
          </cell>
        </row>
        <row r="109">
          <cell r="A109" t="str">
            <v>Еврейская автономная область</v>
          </cell>
          <cell r="B109">
            <v>4</v>
          </cell>
          <cell r="C109">
            <v>4</v>
          </cell>
          <cell r="D109">
            <v>2</v>
          </cell>
          <cell r="E109">
            <v>2</v>
          </cell>
          <cell r="F109">
            <v>2</v>
          </cell>
          <cell r="G109">
            <v>2</v>
          </cell>
        </row>
        <row r="110">
          <cell r="A110" t="str">
            <v>Чукотский автономный округ</v>
          </cell>
          <cell r="B110" t="str">
            <v>–</v>
          </cell>
          <cell r="C110" t="str">
            <v>–</v>
          </cell>
          <cell r="D110" t="str">
            <v>–</v>
          </cell>
          <cell r="E110" t="str">
            <v>–</v>
          </cell>
          <cell r="F110" t="str">
            <v>–</v>
          </cell>
          <cell r="G110" t="str">
            <v>–</v>
          </cell>
        </row>
        <row r="111">
          <cell r="A111" t="str">
            <v>_________</v>
          </cell>
          <cell r="B111"/>
          <cell r="C111"/>
          <cell r="D111"/>
          <cell r="E111"/>
          <cell r="F111"/>
          <cell r="G111"/>
        </row>
        <row r="112">
          <cell r="A112" t="str">
            <v xml:space="preserve">1) По данным Министерства спорта Российской Федерации. </v>
          </cell>
          <cell r="B112"/>
          <cell r="C112"/>
          <cell r="D112"/>
          <cell r="E112"/>
          <cell r="F112"/>
          <cell r="G112"/>
        </row>
      </sheetData>
      <sheetData sheetId="2">
        <row r="4">
          <cell r="A4"/>
          <cell r="B4">
            <v>2010</v>
          </cell>
          <cell r="C4">
            <v>2015</v>
          </cell>
          <cell r="D4">
            <v>2020</v>
          </cell>
          <cell r="E4">
            <v>2021</v>
          </cell>
          <cell r="F4">
            <v>2022</v>
          </cell>
          <cell r="G4">
            <v>2023</v>
          </cell>
          <cell r="H4" t="str">
            <v>Место,</v>
          </cell>
          <cell r="I4">
            <v>2010</v>
          </cell>
          <cell r="J4">
            <v>2015</v>
          </cell>
          <cell r="K4">
            <v>2020</v>
          </cell>
          <cell r="L4">
            <v>2021</v>
          </cell>
          <cell r="M4">
            <v>2022</v>
          </cell>
          <cell r="N4">
            <v>2023</v>
          </cell>
        </row>
        <row r="5">
          <cell r="A5"/>
          <cell r="B5"/>
          <cell r="C5"/>
          <cell r="D5"/>
          <cell r="E5"/>
          <cell r="F5"/>
          <cell r="G5"/>
          <cell r="H5" t="str">
            <v xml:space="preserve">занимаемое </v>
          </cell>
          <cell r="I5"/>
          <cell r="J5"/>
          <cell r="K5"/>
          <cell r="L5"/>
          <cell r="M5"/>
          <cell r="N5"/>
        </row>
        <row r="6">
          <cell r="A6"/>
          <cell r="B6"/>
          <cell r="C6"/>
          <cell r="D6"/>
          <cell r="E6"/>
          <cell r="F6"/>
          <cell r="G6"/>
          <cell r="H6" t="str">
            <v xml:space="preserve">в Российской </v>
          </cell>
          <cell r="I6"/>
          <cell r="J6"/>
          <cell r="K6"/>
          <cell r="L6"/>
          <cell r="M6"/>
          <cell r="N6"/>
        </row>
        <row r="7">
          <cell r="A7"/>
          <cell r="B7"/>
          <cell r="C7"/>
          <cell r="D7"/>
          <cell r="E7"/>
          <cell r="F7"/>
          <cell r="G7"/>
          <cell r="H7" t="str">
            <v>Федерации</v>
          </cell>
          <cell r="I7"/>
          <cell r="J7"/>
          <cell r="K7"/>
          <cell r="L7"/>
          <cell r="M7"/>
          <cell r="N7"/>
        </row>
        <row r="8">
          <cell r="A8"/>
          <cell r="B8"/>
          <cell r="C8"/>
          <cell r="D8"/>
          <cell r="E8"/>
          <cell r="F8"/>
          <cell r="G8"/>
          <cell r="H8">
            <v>2023</v>
          </cell>
          <cell r="I8"/>
          <cell r="J8"/>
          <cell r="K8"/>
          <cell r="L8"/>
          <cell r="M8"/>
          <cell r="N8"/>
        </row>
        <row r="9">
          <cell r="A9" t="str">
            <v>Российская Федерация</v>
          </cell>
          <cell r="B9" t="str">
            <v>6 459</v>
          </cell>
          <cell r="C9">
            <v>5702</v>
          </cell>
          <cell r="D9">
            <v>5697</v>
          </cell>
          <cell r="E9">
            <v>5643</v>
          </cell>
          <cell r="F9" t="str">
            <v>5 591</v>
          </cell>
          <cell r="G9">
            <v>6066</v>
          </cell>
          <cell r="H9"/>
          <cell r="I9" t="str">
            <v>55 971</v>
          </cell>
          <cell r="J9" t="str">
            <v>51 992</v>
          </cell>
          <cell r="K9" t="str">
            <v>44 028</v>
          </cell>
          <cell r="L9">
            <v>49672</v>
          </cell>
          <cell r="M9" t="str">
            <v>51 691</v>
          </cell>
          <cell r="N9">
            <v>50831</v>
          </cell>
        </row>
        <row r="10">
          <cell r="A10" t="str">
            <v>Центральный</v>
          </cell>
          <cell r="B10" t="str">
            <v>6 934</v>
          </cell>
          <cell r="C10">
            <v>5941</v>
          </cell>
          <cell r="D10">
            <v>5819</v>
          </cell>
          <cell r="E10">
            <v>5762</v>
          </cell>
          <cell r="F10" t="str">
            <v>5 661</v>
          </cell>
          <cell r="G10">
            <v>7500</v>
          </cell>
          <cell r="H10">
            <v>2</v>
          </cell>
          <cell r="I10" t="str">
            <v>14 225</v>
          </cell>
          <cell r="J10" t="str">
            <v>12 448</v>
          </cell>
          <cell r="K10" t="str">
            <v>9 876</v>
          </cell>
          <cell r="L10">
            <v>11064</v>
          </cell>
          <cell r="M10" t="str">
            <v>11 025</v>
          </cell>
          <cell r="N10">
            <v>11088</v>
          </cell>
        </row>
        <row r="11">
          <cell r="A11" t="str">
            <v>федеральный округ</v>
          </cell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</row>
        <row r="12">
          <cell r="A12" t="str">
            <v>Белгородская область</v>
          </cell>
          <cell r="B12" t="str">
            <v>6 973</v>
          </cell>
          <cell r="C12">
            <v>6597</v>
          </cell>
          <cell r="D12">
            <v>6047</v>
          </cell>
          <cell r="E12">
            <v>5994</v>
          </cell>
          <cell r="F12" t="str">
            <v>6 044</v>
          </cell>
          <cell r="G12">
            <v>6001</v>
          </cell>
          <cell r="H12">
            <v>47</v>
          </cell>
          <cell r="I12">
            <v>736</v>
          </cell>
          <cell r="J12">
            <v>750</v>
          </cell>
          <cell r="K12">
            <v>706</v>
          </cell>
          <cell r="L12">
            <v>789</v>
          </cell>
          <cell r="M12">
            <v>826</v>
          </cell>
          <cell r="N12">
            <v>746</v>
          </cell>
        </row>
        <row r="13">
          <cell r="A13" t="str">
            <v>Брянская область</v>
          </cell>
          <cell r="B13" t="str">
            <v>7 473</v>
          </cell>
          <cell r="C13">
            <v>7181</v>
          </cell>
          <cell r="D13">
            <v>7012</v>
          </cell>
          <cell r="E13">
            <v>7002</v>
          </cell>
          <cell r="F13" t="str">
            <v>6 870</v>
          </cell>
          <cell r="G13">
            <v>6792</v>
          </cell>
          <cell r="H13">
            <v>33</v>
          </cell>
          <cell r="I13">
            <v>617</v>
          </cell>
          <cell r="J13">
            <v>543</v>
          </cell>
          <cell r="K13">
            <v>464</v>
          </cell>
          <cell r="L13">
            <v>485</v>
          </cell>
          <cell r="M13">
            <v>484</v>
          </cell>
          <cell r="N13">
            <v>487</v>
          </cell>
        </row>
        <row r="14">
          <cell r="A14" t="str">
            <v>Владимирская область</v>
          </cell>
          <cell r="B14" t="str">
            <v>6 989</v>
          </cell>
          <cell r="C14">
            <v>6863</v>
          </cell>
          <cell r="D14">
            <v>6666</v>
          </cell>
          <cell r="E14">
            <v>6681</v>
          </cell>
          <cell r="F14" t="str">
            <v>6 621</v>
          </cell>
          <cell r="G14">
            <v>6592</v>
          </cell>
          <cell r="H14">
            <v>37</v>
          </cell>
          <cell r="I14">
            <v>580</v>
          </cell>
          <cell r="J14">
            <v>546</v>
          </cell>
          <cell r="K14">
            <v>439</v>
          </cell>
          <cell r="L14">
            <v>490</v>
          </cell>
          <cell r="M14">
            <v>495</v>
          </cell>
          <cell r="N14">
            <v>503</v>
          </cell>
        </row>
        <row r="15">
          <cell r="A15" t="str">
            <v>Воронежская область</v>
          </cell>
          <cell r="B15" t="str">
            <v>6 833</v>
          </cell>
          <cell r="C15">
            <v>4173</v>
          </cell>
          <cell r="D15">
            <v>6031</v>
          </cell>
          <cell r="E15">
            <v>6004</v>
          </cell>
          <cell r="F15" t="str">
            <v>5 967</v>
          </cell>
          <cell r="G15">
            <v>5899</v>
          </cell>
          <cell r="H15">
            <v>48</v>
          </cell>
          <cell r="I15">
            <v>884</v>
          </cell>
          <cell r="J15">
            <v>565</v>
          </cell>
          <cell r="K15">
            <v>694</v>
          </cell>
          <cell r="L15">
            <v>774</v>
          </cell>
          <cell r="M15">
            <v>865</v>
          </cell>
          <cell r="N15">
            <v>778</v>
          </cell>
        </row>
        <row r="16">
          <cell r="A16" t="str">
            <v>Ивановская область</v>
          </cell>
          <cell r="B16" t="str">
            <v>8 340</v>
          </cell>
          <cell r="C16">
            <v>6524</v>
          </cell>
          <cell r="D16">
            <v>8458</v>
          </cell>
          <cell r="E16">
            <v>8566</v>
          </cell>
          <cell r="F16" t="str">
            <v>8 560</v>
          </cell>
          <cell r="G16">
            <v>8511</v>
          </cell>
          <cell r="H16">
            <v>16</v>
          </cell>
          <cell r="I16">
            <v>475</v>
          </cell>
          <cell r="J16">
            <v>351</v>
          </cell>
          <cell r="K16">
            <v>289</v>
          </cell>
          <cell r="L16">
            <v>361</v>
          </cell>
          <cell r="M16">
            <v>383</v>
          </cell>
          <cell r="N16">
            <v>388</v>
          </cell>
        </row>
        <row r="17">
          <cell r="A17" t="str">
            <v>Калужская область</v>
          </cell>
          <cell r="B17" t="str">
            <v>7 775</v>
          </cell>
          <cell r="C17">
            <v>7027</v>
          </cell>
          <cell r="D17">
            <v>6808</v>
          </cell>
          <cell r="E17">
            <v>6702</v>
          </cell>
          <cell r="F17" t="str">
            <v>6 675</v>
          </cell>
          <cell r="G17">
            <v>6642</v>
          </cell>
          <cell r="H17">
            <v>34</v>
          </cell>
          <cell r="I17">
            <v>439</v>
          </cell>
          <cell r="J17">
            <v>418</v>
          </cell>
          <cell r="K17">
            <v>375</v>
          </cell>
          <cell r="L17">
            <v>400</v>
          </cell>
          <cell r="M17">
            <v>409</v>
          </cell>
          <cell r="N17">
            <v>572</v>
          </cell>
        </row>
        <row r="18">
          <cell r="A18" t="str">
            <v>Костромская область</v>
          </cell>
          <cell r="B18" t="str">
            <v>11 982</v>
          </cell>
          <cell r="C18">
            <v>10951</v>
          </cell>
          <cell r="D18">
            <v>10553</v>
          </cell>
          <cell r="E18">
            <v>10513</v>
          </cell>
          <cell r="F18" t="str">
            <v>10 356</v>
          </cell>
          <cell r="G18">
            <v>10260</v>
          </cell>
          <cell r="H18">
            <v>6</v>
          </cell>
          <cell r="I18">
            <v>286</v>
          </cell>
          <cell r="J18">
            <v>264</v>
          </cell>
          <cell r="K18">
            <v>252</v>
          </cell>
          <cell r="L18">
            <v>267</v>
          </cell>
          <cell r="M18">
            <v>284</v>
          </cell>
          <cell r="N18">
            <v>432</v>
          </cell>
        </row>
        <row r="19">
          <cell r="A19" t="str">
            <v>Курская область</v>
          </cell>
          <cell r="B19" t="str">
            <v>10 485</v>
          </cell>
          <cell r="C19">
            <v>8911</v>
          </cell>
          <cell r="D19">
            <v>8284</v>
          </cell>
          <cell r="E19">
            <v>8243</v>
          </cell>
          <cell r="F19" t="str">
            <v>8 195</v>
          </cell>
          <cell r="G19">
            <v>8072</v>
          </cell>
          <cell r="H19">
            <v>17</v>
          </cell>
          <cell r="I19">
            <v>593</v>
          </cell>
          <cell r="J19">
            <v>511</v>
          </cell>
          <cell r="K19">
            <v>443</v>
          </cell>
          <cell r="L19">
            <v>476</v>
          </cell>
          <cell r="M19">
            <v>492</v>
          </cell>
          <cell r="N19">
            <v>534</v>
          </cell>
        </row>
        <row r="20">
          <cell r="A20" t="str">
            <v>Липецкая область</v>
          </cell>
          <cell r="B20" t="str">
            <v>7 505</v>
          </cell>
          <cell r="C20">
            <v>6237</v>
          </cell>
          <cell r="D20">
            <v>6956</v>
          </cell>
          <cell r="E20">
            <v>6965</v>
          </cell>
          <cell r="F20" t="str">
            <v>6 908</v>
          </cell>
          <cell r="G20">
            <v>6891</v>
          </cell>
          <cell r="H20">
            <v>30</v>
          </cell>
          <cell r="I20">
            <v>562</v>
          </cell>
          <cell r="J20">
            <v>440</v>
          </cell>
          <cell r="K20">
            <v>414</v>
          </cell>
          <cell r="L20">
            <v>451</v>
          </cell>
          <cell r="M20">
            <v>456</v>
          </cell>
          <cell r="N20">
            <v>495</v>
          </cell>
        </row>
        <row r="21">
          <cell r="A21" t="str">
            <v>Московская область</v>
          </cell>
          <cell r="B21" t="str">
            <v>3 658</v>
          </cell>
          <cell r="C21">
            <v>2791</v>
          </cell>
          <cell r="D21">
            <v>2181</v>
          </cell>
          <cell r="E21">
            <v>2061</v>
          </cell>
          <cell r="F21" t="str">
            <v>1 928</v>
          </cell>
          <cell r="G21">
            <v>1831</v>
          </cell>
          <cell r="H21">
            <v>83</v>
          </cell>
          <cell r="I21" t="str">
            <v>1 791</v>
          </cell>
          <cell r="J21" t="str">
            <v>1 607</v>
          </cell>
          <cell r="K21">
            <v>1484</v>
          </cell>
          <cell r="L21">
            <v>1712</v>
          </cell>
          <cell r="M21" t="str">
            <v>1 756</v>
          </cell>
          <cell r="N21">
            <v>1485</v>
          </cell>
        </row>
        <row r="22">
          <cell r="A22" t="str">
            <v>Орловская область</v>
          </cell>
          <cell r="B22" t="str">
            <v>6 839</v>
          </cell>
          <cell r="C22">
            <v>6626</v>
          </cell>
          <cell r="D22">
            <v>6877</v>
          </cell>
          <cell r="E22">
            <v>6892</v>
          </cell>
          <cell r="F22" t="str">
            <v>6 841</v>
          </cell>
          <cell r="G22">
            <v>6796</v>
          </cell>
          <cell r="H22">
            <v>32</v>
          </cell>
          <cell r="I22">
            <v>328</v>
          </cell>
          <cell r="J22">
            <v>288</v>
          </cell>
          <cell r="K22">
            <v>244</v>
          </cell>
          <cell r="L22">
            <v>257</v>
          </cell>
          <cell r="M22">
            <v>259</v>
          </cell>
          <cell r="N22">
            <v>281</v>
          </cell>
        </row>
        <row r="23">
          <cell r="A23" t="str">
            <v>Рязанская область</v>
          </cell>
          <cell r="B23" t="str">
            <v>6 049</v>
          </cell>
          <cell r="C23">
            <v>5678</v>
          </cell>
          <cell r="D23">
            <v>5770</v>
          </cell>
          <cell r="E23">
            <v>5771</v>
          </cell>
          <cell r="F23" t="str">
            <v>5 806</v>
          </cell>
          <cell r="G23">
            <v>5850</v>
          </cell>
          <cell r="H23">
            <v>50</v>
          </cell>
          <cell r="I23">
            <v>507</v>
          </cell>
          <cell r="J23">
            <v>478</v>
          </cell>
          <cell r="K23">
            <v>434</v>
          </cell>
          <cell r="L23">
            <v>491</v>
          </cell>
          <cell r="M23">
            <v>492</v>
          </cell>
          <cell r="N23">
            <v>544</v>
          </cell>
        </row>
        <row r="24">
          <cell r="A24" t="str">
            <v>Смоленская область</v>
          </cell>
          <cell r="B24" t="str">
            <v>9 660</v>
          </cell>
          <cell r="C24">
            <v>9270</v>
          </cell>
          <cell r="D24">
            <v>9165</v>
          </cell>
          <cell r="E24">
            <v>9150</v>
          </cell>
          <cell r="F24" t="str">
            <v>9 132</v>
          </cell>
          <cell r="G24">
            <v>9143</v>
          </cell>
          <cell r="H24">
            <v>11</v>
          </cell>
          <cell r="I24">
            <v>595</v>
          </cell>
          <cell r="J24">
            <v>548</v>
          </cell>
          <cell r="K24">
            <v>431</v>
          </cell>
          <cell r="L24">
            <v>439</v>
          </cell>
          <cell r="M24">
            <v>442</v>
          </cell>
          <cell r="N24">
            <v>443</v>
          </cell>
        </row>
        <row r="25">
          <cell r="A25" t="str">
            <v>Тамбовская область</v>
          </cell>
          <cell r="B25" t="str">
            <v>9 119</v>
          </cell>
          <cell r="C25">
            <v>8838</v>
          </cell>
          <cell r="D25">
            <v>9180</v>
          </cell>
          <cell r="E25">
            <v>9284</v>
          </cell>
          <cell r="F25" t="str">
            <v>9 351</v>
          </cell>
          <cell r="G25">
            <v>9364</v>
          </cell>
          <cell r="H25">
            <v>8</v>
          </cell>
          <cell r="I25">
            <v>579</v>
          </cell>
          <cell r="J25">
            <v>506</v>
          </cell>
          <cell r="K25">
            <v>496</v>
          </cell>
          <cell r="L25">
            <v>515</v>
          </cell>
          <cell r="M25">
            <v>517</v>
          </cell>
          <cell r="N25">
            <v>506</v>
          </cell>
        </row>
        <row r="26">
          <cell r="A26" t="str">
            <v>Тверская область</v>
          </cell>
          <cell r="B26" t="str">
            <v>9 026</v>
          </cell>
          <cell r="C26">
            <v>7898</v>
          </cell>
          <cell r="D26">
            <v>7877</v>
          </cell>
          <cell r="E26">
            <v>7890</v>
          </cell>
          <cell r="F26" t="str">
            <v>7 894</v>
          </cell>
          <cell r="G26">
            <v>7809</v>
          </cell>
          <cell r="H26">
            <v>20</v>
          </cell>
          <cell r="I26">
            <v>595</v>
          </cell>
          <cell r="J26">
            <v>538</v>
          </cell>
          <cell r="K26">
            <v>432</v>
          </cell>
          <cell r="L26">
            <v>498</v>
          </cell>
          <cell r="M26">
            <v>511</v>
          </cell>
          <cell r="N26">
            <v>559</v>
          </cell>
        </row>
        <row r="27">
          <cell r="A27" t="str">
            <v>Тульская область</v>
          </cell>
          <cell r="B27" t="str">
            <v>6 143</v>
          </cell>
          <cell r="C27">
            <v>4556</v>
          </cell>
          <cell r="D27">
            <v>4601</v>
          </cell>
          <cell r="E27">
            <v>4492</v>
          </cell>
          <cell r="F27" t="str">
            <v>4 444</v>
          </cell>
          <cell r="G27">
            <v>4400</v>
          </cell>
          <cell r="H27">
            <v>70</v>
          </cell>
          <cell r="I27">
            <v>595</v>
          </cell>
          <cell r="J27">
            <v>534</v>
          </cell>
          <cell r="K27">
            <v>457</v>
          </cell>
          <cell r="L27">
            <v>521</v>
          </cell>
          <cell r="M27">
            <v>533</v>
          </cell>
          <cell r="N27">
            <v>452</v>
          </cell>
        </row>
        <row r="28">
          <cell r="A28" t="str">
            <v>Ярославская область</v>
          </cell>
          <cell r="B28" t="str">
            <v>7 502</v>
          </cell>
          <cell r="C28">
            <v>6732</v>
          </cell>
          <cell r="D28">
            <v>6786</v>
          </cell>
          <cell r="E28">
            <v>6735</v>
          </cell>
          <cell r="F28" t="str">
            <v>6 663</v>
          </cell>
          <cell r="G28">
            <v>6512</v>
          </cell>
          <cell r="H28">
            <v>39</v>
          </cell>
          <cell r="I28">
            <v>480</v>
          </cell>
          <cell r="J28">
            <v>555</v>
          </cell>
          <cell r="K28">
            <v>431</v>
          </cell>
          <cell r="L28">
            <v>519</v>
          </cell>
          <cell r="M28">
            <v>451</v>
          </cell>
          <cell r="N28">
            <v>451</v>
          </cell>
        </row>
        <row r="29">
          <cell r="A29" t="str">
            <v>г. Москва</v>
          </cell>
          <cell r="B29" t="str">
            <v>7 458</v>
          </cell>
          <cell r="C29">
            <v>6630</v>
          </cell>
          <cell r="D29">
            <v>6438</v>
          </cell>
          <cell r="E29">
            <v>6413</v>
          </cell>
          <cell r="F29" t="str">
            <v>6 266</v>
          </cell>
          <cell r="G29">
            <v>12054</v>
          </cell>
          <cell r="H29">
            <v>2</v>
          </cell>
          <cell r="I29" t="str">
            <v>3 583</v>
          </cell>
          <cell r="J29" t="str">
            <v>3 006</v>
          </cell>
          <cell r="K29">
            <v>1391</v>
          </cell>
          <cell r="L29">
            <v>1617</v>
          </cell>
          <cell r="M29" t="str">
            <v>1 371</v>
          </cell>
          <cell r="N29">
            <v>1431</v>
          </cell>
        </row>
        <row r="30">
          <cell r="A30" t="str">
            <v>Северо-Западный</v>
          </cell>
          <cell r="B30" t="str">
            <v>8 486</v>
          </cell>
          <cell r="C30">
            <v>7972</v>
          </cell>
          <cell r="D30">
            <v>7685</v>
          </cell>
          <cell r="E30">
            <v>7621</v>
          </cell>
          <cell r="F30" t="str">
            <v>7 435</v>
          </cell>
          <cell r="G30">
            <v>7555</v>
          </cell>
          <cell r="H30">
            <v>1</v>
          </cell>
          <cell r="I30" t="str">
            <v>5 029</v>
          </cell>
          <cell r="J30" t="str">
            <v>4 859</v>
          </cell>
          <cell r="K30" t="str">
            <v>4 180</v>
          </cell>
          <cell r="L30">
            <v>4619</v>
          </cell>
          <cell r="M30" t="str">
            <v>4 831</v>
          </cell>
          <cell r="N30">
            <v>4050</v>
          </cell>
        </row>
        <row r="31">
          <cell r="A31" t="str">
            <v>федеральный округ</v>
          </cell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</row>
        <row r="32">
          <cell r="A32" t="str">
            <v>Республика Карелия</v>
          </cell>
          <cell r="B32" t="str">
            <v>8 320</v>
          </cell>
          <cell r="C32">
            <v>6749</v>
          </cell>
          <cell r="D32">
            <v>7510</v>
          </cell>
          <cell r="E32">
            <v>7550</v>
          </cell>
          <cell r="F32" t="str">
            <v>7 563</v>
          </cell>
          <cell r="G32">
            <v>7537</v>
          </cell>
          <cell r="H32">
            <v>22</v>
          </cell>
          <cell r="I32">
            <v>497</v>
          </cell>
          <cell r="J32">
            <v>218</v>
          </cell>
          <cell r="K32">
            <v>143</v>
          </cell>
          <cell r="L32">
            <v>147</v>
          </cell>
          <cell r="M32">
            <v>152</v>
          </cell>
          <cell r="N32">
            <v>167</v>
          </cell>
        </row>
        <row r="33">
          <cell r="A33" t="str">
            <v>Республика Коми</v>
          </cell>
          <cell r="B33" t="str">
            <v>8 141</v>
          </cell>
          <cell r="C33">
            <v>8219</v>
          </cell>
          <cell r="D33">
            <v>6411</v>
          </cell>
          <cell r="E33">
            <v>6405</v>
          </cell>
          <cell r="F33" t="str">
            <v>6 388</v>
          </cell>
          <cell r="G33">
            <v>6349</v>
          </cell>
          <cell r="H33">
            <v>41</v>
          </cell>
          <cell r="I33">
            <v>421</v>
          </cell>
          <cell r="J33">
            <v>391</v>
          </cell>
          <cell r="K33">
            <v>297</v>
          </cell>
          <cell r="L33">
            <v>334</v>
          </cell>
          <cell r="M33">
            <v>347</v>
          </cell>
          <cell r="N33">
            <v>346</v>
          </cell>
        </row>
        <row r="34">
          <cell r="A34" t="str">
            <v>Архангельская область</v>
          </cell>
          <cell r="B34" t="str">
            <v>7 527</v>
          </cell>
          <cell r="C34">
            <v>6876</v>
          </cell>
          <cell r="D34">
            <v>7577</v>
          </cell>
          <cell r="E34">
            <v>7609</v>
          </cell>
          <cell r="F34" t="str">
            <v>7 435</v>
          </cell>
          <cell r="G34">
            <v>7313</v>
          </cell>
          <cell r="H34"/>
          <cell r="I34">
            <v>446</v>
          </cell>
          <cell r="J34">
            <v>402</v>
          </cell>
          <cell r="K34">
            <v>356</v>
          </cell>
          <cell r="L34">
            <v>372</v>
          </cell>
          <cell r="M34">
            <v>392</v>
          </cell>
          <cell r="N34">
            <v>424</v>
          </cell>
        </row>
        <row r="35">
          <cell r="A35" t="str">
            <v>в том числе:</v>
          </cell>
          <cell r="B35"/>
          <cell r="C35" t="str">
            <v xml:space="preserve"> </v>
          </cell>
          <cell r="D35"/>
          <cell r="E35"/>
          <cell r="F35"/>
          <cell r="G35" t="str">
            <v xml:space="preserve"> </v>
          </cell>
          <cell r="H35"/>
          <cell r="I35"/>
          <cell r="J35"/>
          <cell r="K35"/>
          <cell r="L35"/>
          <cell r="M35"/>
          <cell r="N35"/>
        </row>
        <row r="36">
          <cell r="A36" t="str">
            <v>Ненецкий автономный округ</v>
          </cell>
          <cell r="B36" t="str">
            <v>4 689</v>
          </cell>
          <cell r="C36">
            <v>7423</v>
          </cell>
          <cell r="D36">
            <v>9741</v>
          </cell>
          <cell r="E36">
            <v>9594</v>
          </cell>
          <cell r="F36" t="str">
            <v>9 421</v>
          </cell>
          <cell r="G36">
            <v>8902</v>
          </cell>
          <cell r="H36">
            <v>12</v>
          </cell>
          <cell r="I36">
            <v>14</v>
          </cell>
          <cell r="J36">
            <v>18</v>
          </cell>
          <cell r="K36">
            <v>23</v>
          </cell>
          <cell r="L36">
            <v>24</v>
          </cell>
          <cell r="M36">
            <v>24</v>
          </cell>
          <cell r="N36">
            <v>14</v>
          </cell>
        </row>
        <row r="37">
          <cell r="A37" t="str">
            <v>Архангельская область без автономного округа</v>
          </cell>
          <cell r="B37" t="str">
            <v>7 628</v>
          </cell>
          <cell r="C37">
            <v>6855</v>
          </cell>
          <cell r="D37">
            <v>7486</v>
          </cell>
          <cell r="E37">
            <v>7525</v>
          </cell>
          <cell r="F37" t="str">
            <v>7 349</v>
          </cell>
          <cell r="G37">
            <v>7243</v>
          </cell>
          <cell r="H37">
            <v>25</v>
          </cell>
          <cell r="I37">
            <v>432</v>
          </cell>
          <cell r="J37">
            <v>384</v>
          </cell>
          <cell r="K37">
            <v>332</v>
          </cell>
          <cell r="L37">
            <v>348</v>
          </cell>
          <cell r="M37">
            <v>368</v>
          </cell>
          <cell r="N37">
            <v>410</v>
          </cell>
        </row>
        <row r="38">
          <cell r="A38" t="str">
            <v>Вологодская область</v>
          </cell>
          <cell r="B38" t="str">
            <v>7 298</v>
          </cell>
          <cell r="C38">
            <v>6448</v>
          </cell>
          <cell r="D38">
            <v>6109</v>
          </cell>
          <cell r="E38">
            <v>6107</v>
          </cell>
          <cell r="F38" t="str">
            <v>6 115</v>
          </cell>
          <cell r="G38">
            <v>6058</v>
          </cell>
          <cell r="H38">
            <v>44</v>
          </cell>
          <cell r="I38">
            <v>543</v>
          </cell>
          <cell r="J38">
            <v>643</v>
          </cell>
          <cell r="K38">
            <v>639</v>
          </cell>
          <cell r="L38">
            <v>682</v>
          </cell>
          <cell r="M38">
            <v>738</v>
          </cell>
          <cell r="N38">
            <v>558</v>
          </cell>
        </row>
        <row r="39">
          <cell r="A39" t="str">
            <v>Калинингpадская область</v>
          </cell>
          <cell r="B39" t="str">
            <v>5 158</v>
          </cell>
          <cell r="C39">
            <v>4856</v>
          </cell>
          <cell r="D39">
            <v>4458</v>
          </cell>
          <cell r="E39">
            <v>4326</v>
          </cell>
          <cell r="F39" t="str">
            <v>4 284</v>
          </cell>
          <cell r="G39">
            <v>4206</v>
          </cell>
          <cell r="H39">
            <v>72</v>
          </cell>
          <cell r="I39">
            <v>371</v>
          </cell>
          <cell r="J39">
            <v>306</v>
          </cell>
          <cell r="K39">
            <v>257</v>
          </cell>
          <cell r="L39">
            <v>268</v>
          </cell>
          <cell r="M39">
            <v>283</v>
          </cell>
          <cell r="N39">
            <v>269</v>
          </cell>
        </row>
        <row r="40">
          <cell r="A40" t="str">
            <v>Ленинградская область</v>
          </cell>
          <cell r="B40" t="str">
            <v>3 212</v>
          </cell>
          <cell r="C40">
            <v>3944</v>
          </cell>
          <cell r="D40">
            <v>3412</v>
          </cell>
          <cell r="E40">
            <v>3329</v>
          </cell>
          <cell r="F40" t="str">
            <v>3 296</v>
          </cell>
          <cell r="G40">
            <v>3229</v>
          </cell>
          <cell r="H40">
            <v>78</v>
          </cell>
          <cell r="I40">
            <v>360</v>
          </cell>
          <cell r="J40">
            <v>454</v>
          </cell>
          <cell r="K40">
            <v>454</v>
          </cell>
          <cell r="L40">
            <v>538</v>
          </cell>
          <cell r="M40">
            <v>579</v>
          </cell>
          <cell r="N40">
            <v>413</v>
          </cell>
        </row>
        <row r="41">
          <cell r="A41" t="str">
            <v>Мурманская область</v>
          </cell>
          <cell r="B41" t="str">
            <v>10 157</v>
          </cell>
          <cell r="C41">
            <v>8168</v>
          </cell>
          <cell r="D41">
            <v>8308</v>
          </cell>
          <cell r="E41">
            <v>7876</v>
          </cell>
          <cell r="F41" t="str">
            <v>7 645</v>
          </cell>
          <cell r="G41">
            <v>7443</v>
          </cell>
          <cell r="H41">
            <v>24</v>
          </cell>
          <cell r="I41">
            <v>487</v>
          </cell>
          <cell r="J41">
            <v>466</v>
          </cell>
          <cell r="K41">
            <v>354</v>
          </cell>
          <cell r="L41">
            <v>417</v>
          </cell>
          <cell r="M41">
            <v>416</v>
          </cell>
          <cell r="N41">
            <v>402</v>
          </cell>
        </row>
        <row r="42">
          <cell r="A42" t="str">
            <v>Новгородская область</v>
          </cell>
          <cell r="B42" t="str">
            <v>8 940</v>
          </cell>
          <cell r="C42">
            <v>8251</v>
          </cell>
          <cell r="D42">
            <v>8060</v>
          </cell>
          <cell r="E42">
            <v>8024</v>
          </cell>
          <cell r="F42" t="str">
            <v>8 015</v>
          </cell>
          <cell r="G42">
            <v>7900</v>
          </cell>
          <cell r="H42">
            <v>18</v>
          </cell>
          <cell r="I42">
            <v>294</v>
          </cell>
          <cell r="J42">
            <v>373</v>
          </cell>
          <cell r="K42">
            <v>392</v>
          </cell>
          <cell r="L42">
            <v>341</v>
          </cell>
          <cell r="M42">
            <v>350</v>
          </cell>
          <cell r="N42">
            <v>332</v>
          </cell>
        </row>
        <row r="43">
          <cell r="A43" t="str">
            <v>Псковская область</v>
          </cell>
          <cell r="B43" t="str">
            <v>12 327</v>
          </cell>
          <cell r="C43">
            <v>10870</v>
          </cell>
          <cell r="D43">
            <v>10697</v>
          </cell>
          <cell r="E43">
            <v>10737</v>
          </cell>
          <cell r="F43" t="str">
            <v>10 766</v>
          </cell>
          <cell r="G43">
            <v>10512</v>
          </cell>
          <cell r="H43">
            <v>4</v>
          </cell>
          <cell r="I43">
            <v>376</v>
          </cell>
          <cell r="J43">
            <v>335</v>
          </cell>
          <cell r="K43">
            <v>266</v>
          </cell>
          <cell r="L43">
            <v>262</v>
          </cell>
          <cell r="M43">
            <v>263</v>
          </cell>
          <cell r="N43">
            <v>188</v>
          </cell>
        </row>
        <row r="44">
          <cell r="A44" t="str">
            <v>г. Санкт-Петербург</v>
          </cell>
          <cell r="B44" t="str">
            <v>10 737</v>
          </cell>
          <cell r="C44">
            <v>10182</v>
          </cell>
          <cell r="D44">
            <v>9878</v>
          </cell>
          <cell r="E44">
            <v>9833</v>
          </cell>
          <cell r="F44" t="str">
            <v>9 912</v>
          </cell>
          <cell r="G44">
            <v>9919</v>
          </cell>
          <cell r="H44">
            <v>7</v>
          </cell>
          <cell r="I44" t="str">
            <v>1 234</v>
          </cell>
          <cell r="J44" t="str">
            <v>1 272</v>
          </cell>
          <cell r="K44">
            <v>1024</v>
          </cell>
          <cell r="L44">
            <v>1257</v>
          </cell>
          <cell r="M44" t="str">
            <v>1 311</v>
          </cell>
          <cell r="N44">
            <v>951</v>
          </cell>
        </row>
        <row r="45">
          <cell r="A45" t="str">
            <v>Южный</v>
          </cell>
          <cell r="B45" t="str">
            <v>5 441</v>
          </cell>
          <cell r="C45">
            <v>4677</v>
          </cell>
          <cell r="D45">
            <v>4801</v>
          </cell>
          <cell r="E45">
            <v>4774</v>
          </cell>
          <cell r="F45" t="str">
            <v>4 748</v>
          </cell>
          <cell r="G45">
            <v>4696</v>
          </cell>
          <cell r="H45">
            <v>6</v>
          </cell>
          <cell r="I45" t="str">
            <v>5 366</v>
          </cell>
          <cell r="J45" t="str">
            <v>5 279</v>
          </cell>
          <cell r="K45" t="str">
            <v>4 543</v>
          </cell>
          <cell r="L45">
            <v>4829</v>
          </cell>
          <cell r="M45" t="str">
            <v>5 556</v>
          </cell>
          <cell r="N45">
            <v>5395</v>
          </cell>
        </row>
        <row r="46">
          <cell r="A46" t="str">
            <v>федеральный округ</v>
          </cell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</row>
        <row r="47">
          <cell r="A47" t="str">
            <v>Республика Адыгея</v>
          </cell>
          <cell r="B47" t="str">
            <v>6 019</v>
          </cell>
          <cell r="C47">
            <v>5377</v>
          </cell>
          <cell r="D47">
            <v>4950</v>
          </cell>
          <cell r="E47">
            <v>4897</v>
          </cell>
          <cell r="F47" t="str">
            <v>4 957</v>
          </cell>
          <cell r="G47">
            <v>4936</v>
          </cell>
          <cell r="H47">
            <v>64</v>
          </cell>
          <cell r="I47">
            <v>202</v>
          </cell>
          <cell r="J47">
            <v>179</v>
          </cell>
          <cell r="K47">
            <v>160</v>
          </cell>
          <cell r="L47">
            <v>170</v>
          </cell>
          <cell r="M47">
            <v>172</v>
          </cell>
          <cell r="N47">
            <v>180</v>
          </cell>
        </row>
        <row r="48">
          <cell r="A48" t="str">
            <v>Республика Калмыкия</v>
          </cell>
          <cell r="B48" t="str">
            <v>10 157</v>
          </cell>
          <cell r="C48">
            <v>9697</v>
          </cell>
          <cell r="D48">
            <v>9425</v>
          </cell>
          <cell r="E48">
            <v>9303</v>
          </cell>
          <cell r="F48" t="str">
            <v>9 339</v>
          </cell>
          <cell r="G48">
            <v>9245</v>
          </cell>
          <cell r="H48">
            <v>9</v>
          </cell>
          <cell r="I48">
            <v>149</v>
          </cell>
          <cell r="J48">
            <v>139</v>
          </cell>
          <cell r="K48">
            <v>84</v>
          </cell>
          <cell r="L48">
            <v>88</v>
          </cell>
          <cell r="M48">
            <v>97</v>
          </cell>
          <cell r="N48">
            <v>156</v>
          </cell>
        </row>
        <row r="49">
          <cell r="A49" t="str">
            <v>Республика Крым</v>
          </cell>
          <cell r="B49"/>
          <cell r="C49">
            <v>5858</v>
          </cell>
          <cell r="D49">
            <v>5614</v>
          </cell>
          <cell r="E49">
            <v>5550</v>
          </cell>
          <cell r="F49" t="str">
            <v>5 432</v>
          </cell>
          <cell r="G49">
            <v>5223</v>
          </cell>
          <cell r="H49">
            <v>59</v>
          </cell>
          <cell r="I49"/>
          <cell r="J49">
            <v>573</v>
          </cell>
          <cell r="K49">
            <v>540</v>
          </cell>
          <cell r="L49">
            <v>537</v>
          </cell>
          <cell r="M49">
            <v>537</v>
          </cell>
          <cell r="N49">
            <v>496</v>
          </cell>
        </row>
        <row r="50">
          <cell r="A50" t="str">
            <v>Краснодарский край</v>
          </cell>
          <cell r="B50" t="str">
            <v>4 378</v>
          </cell>
          <cell r="C50">
            <v>3617</v>
          </cell>
          <cell r="D50">
            <v>3922</v>
          </cell>
          <cell r="E50">
            <v>3901</v>
          </cell>
          <cell r="F50" t="str">
            <v>3 892</v>
          </cell>
          <cell r="G50">
            <v>3875</v>
          </cell>
          <cell r="H50">
            <v>74</v>
          </cell>
          <cell r="I50" t="str">
            <v>1 896</v>
          </cell>
          <cell r="J50" t="str">
            <v>1 653</v>
          </cell>
          <cell r="K50" t="str">
            <v>1 311</v>
          </cell>
          <cell r="L50">
            <v>1323</v>
          </cell>
          <cell r="M50" t="str">
            <v>1 626</v>
          </cell>
          <cell r="N50">
            <v>1539</v>
          </cell>
        </row>
        <row r="51">
          <cell r="A51" t="str">
            <v>Астраханская область</v>
          </cell>
          <cell r="B51" t="str">
            <v>6 310</v>
          </cell>
          <cell r="C51">
            <v>6006</v>
          </cell>
          <cell r="D51">
            <v>6016</v>
          </cell>
          <cell r="E51">
            <v>6019</v>
          </cell>
          <cell r="F51" t="str">
            <v>6 065</v>
          </cell>
          <cell r="G51">
            <v>6029</v>
          </cell>
          <cell r="H51">
            <v>45</v>
          </cell>
          <cell r="I51">
            <v>413</v>
          </cell>
          <cell r="J51">
            <v>362</v>
          </cell>
          <cell r="K51">
            <v>300</v>
          </cell>
          <cell r="L51">
            <v>317</v>
          </cell>
          <cell r="M51">
            <v>328</v>
          </cell>
          <cell r="N51">
            <v>405</v>
          </cell>
        </row>
        <row r="52">
          <cell r="A52" t="str">
            <v>Волгоградская область</v>
          </cell>
          <cell r="B52" t="str">
            <v>5 667</v>
          </cell>
          <cell r="C52">
            <v>3735</v>
          </cell>
          <cell r="D52">
            <v>5074</v>
          </cell>
          <cell r="E52">
            <v>5120</v>
          </cell>
          <cell r="F52" t="str">
            <v>5 093</v>
          </cell>
          <cell r="G52">
            <v>5061</v>
          </cell>
          <cell r="H52">
            <v>61</v>
          </cell>
          <cell r="I52" t="str">
            <v>1 049</v>
          </cell>
          <cell r="J52">
            <v>640</v>
          </cell>
          <cell r="K52">
            <v>561</v>
          </cell>
          <cell r="L52">
            <v>688</v>
          </cell>
          <cell r="M52">
            <v>701</v>
          </cell>
          <cell r="N52">
            <v>739</v>
          </cell>
        </row>
        <row r="53">
          <cell r="A53" t="str">
            <v>Ростовская область</v>
          </cell>
          <cell r="B53" t="str">
            <v>6 019</v>
          </cell>
          <cell r="C53">
            <v>5434</v>
          </cell>
          <cell r="D53">
            <v>5096</v>
          </cell>
          <cell r="E53">
            <v>5080</v>
          </cell>
          <cell r="F53" t="str">
            <v>5 077</v>
          </cell>
          <cell r="G53">
            <v>5036</v>
          </cell>
          <cell r="H53">
            <v>62</v>
          </cell>
          <cell r="I53" t="str">
            <v>1 658</v>
          </cell>
          <cell r="J53" t="str">
            <v>1 618</v>
          </cell>
          <cell r="K53" t="str">
            <v>1 499</v>
          </cell>
          <cell r="L53">
            <v>1622</v>
          </cell>
          <cell r="M53" t="str">
            <v>1 995</v>
          </cell>
          <cell r="N53">
            <v>1730</v>
          </cell>
        </row>
        <row r="54">
          <cell r="A54" t="str">
            <v>г. Севастополь</v>
          </cell>
          <cell r="B54"/>
          <cell r="C54">
            <v>4205</v>
          </cell>
          <cell r="D54">
            <v>3139</v>
          </cell>
          <cell r="E54">
            <v>2905</v>
          </cell>
          <cell r="F54" t="str">
            <v>2 732</v>
          </cell>
          <cell r="G54">
            <v>2693</v>
          </cell>
          <cell r="H54">
            <v>80</v>
          </cell>
          <cell r="I54"/>
          <cell r="J54">
            <v>116</v>
          </cell>
          <cell r="K54">
            <v>88</v>
          </cell>
          <cell r="L54">
            <v>83</v>
          </cell>
          <cell r="M54">
            <v>100</v>
          </cell>
          <cell r="N54">
            <v>150</v>
          </cell>
        </row>
        <row r="55">
          <cell r="A55" t="str">
            <v>Северо-Кавказский</v>
          </cell>
          <cell r="B55" t="str">
            <v>3 895</v>
          </cell>
          <cell r="C55">
            <v>3712</v>
          </cell>
          <cell r="D55">
            <v>3640</v>
          </cell>
          <cell r="E55">
            <v>3590</v>
          </cell>
          <cell r="F55" t="str">
            <v>3 593</v>
          </cell>
          <cell r="G55">
            <v>3578</v>
          </cell>
          <cell r="H55">
            <v>8</v>
          </cell>
          <cell r="I55" t="str">
            <v>3 222</v>
          </cell>
          <cell r="J55" t="str">
            <v>3 013</v>
          </cell>
          <cell r="K55" t="str">
            <v>2 588</v>
          </cell>
          <cell r="L55">
            <v>3120</v>
          </cell>
          <cell r="M55" t="str">
            <v>3 251</v>
          </cell>
          <cell r="N55">
            <v>2934</v>
          </cell>
        </row>
        <row r="56">
          <cell r="A56" t="str">
            <v>федеральный округ</v>
          </cell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</row>
        <row r="57">
          <cell r="A57" t="str">
            <v>Республика Дагестан</v>
          </cell>
          <cell r="B57" t="str">
            <v>2 826</v>
          </cell>
          <cell r="C57">
            <v>2658</v>
          </cell>
          <cell r="D57">
            <v>2534</v>
          </cell>
          <cell r="E57">
            <v>2374</v>
          </cell>
          <cell r="F57" t="str">
            <v>2 361</v>
          </cell>
          <cell r="G57">
            <v>2339</v>
          </cell>
          <cell r="H57">
            <v>82</v>
          </cell>
          <cell r="I57">
            <v>994</v>
          </cell>
          <cell r="J57">
            <v>895</v>
          </cell>
          <cell r="K57">
            <v>673</v>
          </cell>
          <cell r="L57">
            <v>770</v>
          </cell>
          <cell r="M57">
            <v>813</v>
          </cell>
          <cell r="N57">
            <v>927</v>
          </cell>
        </row>
        <row r="58">
          <cell r="A58" t="str">
            <v xml:space="preserve">Республика Ингушетия </v>
          </cell>
          <cell r="B58" t="str">
            <v>2 991</v>
          </cell>
          <cell r="C58">
            <v>1428</v>
          </cell>
          <cell r="D58">
            <v>1330</v>
          </cell>
          <cell r="E58">
            <v>1320</v>
          </cell>
          <cell r="F58" t="str">
            <v>1 319</v>
          </cell>
          <cell r="G58">
            <v>1306</v>
          </cell>
          <cell r="H58">
            <v>85</v>
          </cell>
          <cell r="I58">
            <v>192</v>
          </cell>
          <cell r="J58">
            <v>121</v>
          </cell>
          <cell r="K58">
            <v>82</v>
          </cell>
          <cell r="L58">
            <v>96</v>
          </cell>
          <cell r="M58">
            <v>105</v>
          </cell>
          <cell r="N58">
            <v>67</v>
          </cell>
        </row>
        <row r="59">
          <cell r="A59" t="str">
            <v>Кабардино-Балкарская Республика</v>
          </cell>
          <cell r="B59" t="str">
            <v>5 785</v>
          </cell>
          <cell r="C59">
            <v>5689</v>
          </cell>
          <cell r="D59">
            <v>5538</v>
          </cell>
          <cell r="E59">
            <v>5494</v>
          </cell>
          <cell r="F59" t="str">
            <v>5 522</v>
          </cell>
          <cell r="G59">
            <v>5527</v>
          </cell>
          <cell r="H59">
            <v>56</v>
          </cell>
          <cell r="I59">
            <v>258</v>
          </cell>
          <cell r="J59">
            <v>277</v>
          </cell>
          <cell r="K59">
            <v>198</v>
          </cell>
          <cell r="L59">
            <v>274</v>
          </cell>
          <cell r="M59">
            <v>285</v>
          </cell>
          <cell r="N59">
            <v>252</v>
          </cell>
        </row>
        <row r="60">
          <cell r="A60" t="str">
            <v>Карачаево-Черкесская Республика</v>
          </cell>
          <cell r="B60" t="str">
            <v>5 852</v>
          </cell>
          <cell r="C60">
            <v>5624</v>
          </cell>
          <cell r="D60">
            <v>5433</v>
          </cell>
          <cell r="E60">
            <v>5398</v>
          </cell>
          <cell r="F60" t="str">
            <v>5 399</v>
          </cell>
          <cell r="G60">
            <v>5343</v>
          </cell>
          <cell r="H60">
            <v>57</v>
          </cell>
          <cell r="I60">
            <v>225</v>
          </cell>
          <cell r="J60">
            <v>190</v>
          </cell>
          <cell r="K60">
            <v>118</v>
          </cell>
          <cell r="L60">
            <v>154</v>
          </cell>
          <cell r="M60">
            <v>157</v>
          </cell>
          <cell r="N60">
            <v>206</v>
          </cell>
        </row>
        <row r="61">
          <cell r="A61" t="str">
            <v xml:space="preserve">Республика Северная Осетия </v>
          </cell>
          <cell r="B61" t="str">
            <v>5 465</v>
          </cell>
          <cell r="C61">
            <v>5135</v>
          </cell>
          <cell r="D61">
            <v>4989</v>
          </cell>
          <cell r="E61">
            <v>4960</v>
          </cell>
          <cell r="F61" t="str">
            <v>4 959</v>
          </cell>
          <cell r="G61">
            <v>4936</v>
          </cell>
          <cell r="H61">
            <v>64</v>
          </cell>
          <cell r="I61">
            <v>200</v>
          </cell>
          <cell r="J61">
            <v>195</v>
          </cell>
          <cell r="K61">
            <v>144</v>
          </cell>
          <cell r="L61">
            <v>158</v>
          </cell>
          <cell r="M61">
            <v>161</v>
          </cell>
          <cell r="N61">
            <v>132</v>
          </cell>
        </row>
        <row r="62">
          <cell r="A62" t="str">
            <v xml:space="preserve">Чеченская Республика </v>
          </cell>
          <cell r="B62" t="str">
            <v>1 158</v>
          </cell>
          <cell r="C62">
            <v>1186</v>
          </cell>
          <cell r="D62">
            <v>1429</v>
          </cell>
          <cell r="E62">
            <v>1470</v>
          </cell>
          <cell r="F62" t="str">
            <v>1 489</v>
          </cell>
          <cell r="G62">
            <v>1483</v>
          </cell>
          <cell r="H62">
            <v>84</v>
          </cell>
          <cell r="I62">
            <v>212</v>
          </cell>
          <cell r="J62">
            <v>260</v>
          </cell>
          <cell r="K62">
            <v>410</v>
          </cell>
          <cell r="L62">
            <v>549</v>
          </cell>
          <cell r="M62">
            <v>597</v>
          </cell>
          <cell r="N62">
            <v>354</v>
          </cell>
        </row>
        <row r="63">
          <cell r="A63" t="str">
            <v>Ставропольский край</v>
          </cell>
          <cell r="B63" t="str">
            <v>5 080</v>
          </cell>
          <cell r="C63">
            <v>5163</v>
          </cell>
          <cell r="D63">
            <v>5187</v>
          </cell>
          <cell r="E63">
            <v>5221</v>
          </cell>
          <cell r="F63" t="str">
            <v>5 269</v>
          </cell>
          <cell r="G63">
            <v>5289</v>
          </cell>
          <cell r="H63">
            <v>58</v>
          </cell>
          <cell r="I63" t="str">
            <v>1 142</v>
          </cell>
          <cell r="J63" t="str">
            <v>1 074</v>
          </cell>
          <cell r="K63">
            <v>964</v>
          </cell>
          <cell r="L63">
            <v>1119</v>
          </cell>
          <cell r="M63" t="str">
            <v>1 133</v>
          </cell>
          <cell r="N63">
            <v>996</v>
          </cell>
        </row>
        <row r="64">
          <cell r="A64" t="str">
            <v>Приволжский</v>
          </cell>
          <cell r="B64" t="str">
            <v>6 844</v>
          </cell>
          <cell r="C64">
            <v>6245</v>
          </cell>
          <cell r="D64">
            <v>6242</v>
          </cell>
          <cell r="E64">
            <v>6198</v>
          </cell>
          <cell r="F64" t="str">
            <v>6 152</v>
          </cell>
          <cell r="G64">
            <v>6108</v>
          </cell>
          <cell r="H64">
            <v>4</v>
          </cell>
          <cell r="I64" t="str">
            <v>13 365</v>
          </cell>
          <cell r="J64" t="str">
            <v>12 222</v>
          </cell>
          <cell r="K64" t="str">
            <v>10 913</v>
          </cell>
          <cell r="L64">
            <v>11784</v>
          </cell>
          <cell r="M64" t="str">
            <v>12 001</v>
          </cell>
          <cell r="N64">
            <v>13566</v>
          </cell>
        </row>
        <row r="65">
          <cell r="A65" t="str">
            <v>федеральный округ</v>
          </cell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</row>
        <row r="66">
          <cell r="A66" t="str">
            <v>Республика Башкортостан</v>
          </cell>
          <cell r="B66" t="str">
            <v>8 204</v>
          </cell>
          <cell r="C66">
            <v>7629</v>
          </cell>
          <cell r="D66">
            <v>7086</v>
          </cell>
          <cell r="E66">
            <v>6800</v>
          </cell>
          <cell r="F66" t="str">
            <v>6 578</v>
          </cell>
          <cell r="G66">
            <v>6490</v>
          </cell>
          <cell r="H66">
            <v>40</v>
          </cell>
          <cell r="I66" t="str">
            <v>2 033</v>
          </cell>
          <cell r="J66" t="str">
            <v>1 955</v>
          </cell>
          <cell r="K66" t="str">
            <v>1 789</v>
          </cell>
          <cell r="L66">
            <v>1798</v>
          </cell>
          <cell r="M66" t="str">
            <v>1 801</v>
          </cell>
          <cell r="N66">
            <v>2387</v>
          </cell>
        </row>
        <row r="67">
          <cell r="A67" t="str">
            <v>Республика Марий Эл</v>
          </cell>
          <cell r="B67" t="str">
            <v>8 235</v>
          </cell>
          <cell r="C67">
            <v>7727</v>
          </cell>
          <cell r="D67">
            <v>7223</v>
          </cell>
          <cell r="E67">
            <v>7148</v>
          </cell>
          <cell r="F67" t="str">
            <v>7 046</v>
          </cell>
          <cell r="G67">
            <v>6956</v>
          </cell>
          <cell r="H67">
            <v>28</v>
          </cell>
          <cell r="I67">
            <v>385</v>
          </cell>
          <cell r="J67">
            <v>373</v>
          </cell>
          <cell r="K67">
            <v>282</v>
          </cell>
          <cell r="L67">
            <v>323</v>
          </cell>
          <cell r="M67">
            <v>330</v>
          </cell>
          <cell r="N67">
            <v>317</v>
          </cell>
        </row>
        <row r="68">
          <cell r="A68" t="str">
            <v>Республика Мордовия</v>
          </cell>
          <cell r="B68" t="str">
            <v>8 494</v>
          </cell>
          <cell r="C68">
            <v>8234</v>
          </cell>
          <cell r="D68">
            <v>7812</v>
          </cell>
          <cell r="E68">
            <v>7808</v>
          </cell>
          <cell r="F68" t="str">
            <v>7 890</v>
          </cell>
          <cell r="G68">
            <v>7886</v>
          </cell>
          <cell r="H68">
            <v>19</v>
          </cell>
          <cell r="I68">
            <v>469</v>
          </cell>
          <cell r="J68">
            <v>436</v>
          </cell>
          <cell r="K68">
            <v>294</v>
          </cell>
          <cell r="L68">
            <v>394</v>
          </cell>
          <cell r="M68">
            <v>405</v>
          </cell>
          <cell r="N68">
            <v>407</v>
          </cell>
        </row>
        <row r="69">
          <cell r="A69" t="str">
            <v>Республика Татарстан</v>
          </cell>
          <cell r="B69" t="str">
            <v>6 318</v>
          </cell>
          <cell r="C69">
            <v>5996</v>
          </cell>
          <cell r="D69">
            <v>5837</v>
          </cell>
          <cell r="E69">
            <v>5844</v>
          </cell>
          <cell r="F69" t="str">
            <v>5 879</v>
          </cell>
          <cell r="G69">
            <v>5868</v>
          </cell>
          <cell r="H69">
            <v>49</v>
          </cell>
          <cell r="I69" t="str">
            <v>1 558</v>
          </cell>
          <cell r="J69" t="str">
            <v>1 460</v>
          </cell>
          <cell r="K69" t="str">
            <v>1 382</v>
          </cell>
          <cell r="L69">
            <v>1437</v>
          </cell>
          <cell r="M69" t="str">
            <v>1 450</v>
          </cell>
          <cell r="N69">
            <v>1781</v>
          </cell>
        </row>
        <row r="70">
          <cell r="A70" t="str">
            <v>Удмуртская Республика</v>
          </cell>
          <cell r="B70" t="str">
            <v>3 826</v>
          </cell>
          <cell r="C70">
            <v>3596</v>
          </cell>
          <cell r="D70">
            <v>3632</v>
          </cell>
          <cell r="E70">
            <v>3646</v>
          </cell>
          <cell r="F70" t="str">
            <v>3 670</v>
          </cell>
          <cell r="G70">
            <v>3663</v>
          </cell>
          <cell r="H70">
            <v>75</v>
          </cell>
          <cell r="I70">
            <v>617</v>
          </cell>
          <cell r="J70">
            <v>584</v>
          </cell>
          <cell r="K70">
            <v>526</v>
          </cell>
          <cell r="L70">
            <v>547</v>
          </cell>
          <cell r="M70">
            <v>561</v>
          </cell>
          <cell r="N70">
            <v>636</v>
          </cell>
        </row>
        <row r="71">
          <cell r="A71" t="str">
            <v>Чувашская Республика</v>
          </cell>
          <cell r="B71" t="str">
            <v>7 841</v>
          </cell>
          <cell r="C71">
            <v>7793</v>
          </cell>
          <cell r="D71">
            <v>7849</v>
          </cell>
          <cell r="E71">
            <v>7735</v>
          </cell>
          <cell r="F71" t="str">
            <v>7 623</v>
          </cell>
          <cell r="G71">
            <v>7548</v>
          </cell>
          <cell r="H71">
            <v>21</v>
          </cell>
          <cell r="I71">
            <v>692</v>
          </cell>
          <cell r="J71">
            <v>665</v>
          </cell>
          <cell r="K71">
            <v>455</v>
          </cell>
          <cell r="L71">
            <v>590</v>
          </cell>
          <cell r="M71">
            <v>594</v>
          </cell>
          <cell r="N71">
            <v>822</v>
          </cell>
        </row>
        <row r="72">
          <cell r="A72" t="str">
            <v>Пермский край</v>
          </cell>
          <cell r="B72" t="str">
            <v>5 093</v>
          </cell>
          <cell r="C72">
            <v>4238</v>
          </cell>
          <cell r="D72">
            <v>4713</v>
          </cell>
          <cell r="E72">
            <v>4722</v>
          </cell>
          <cell r="F72" t="str">
            <v>4 736</v>
          </cell>
          <cell r="G72">
            <v>4738</v>
          </cell>
          <cell r="H72">
            <v>67</v>
          </cell>
          <cell r="I72" t="str">
            <v>1 012</v>
          </cell>
          <cell r="J72">
            <v>872</v>
          </cell>
          <cell r="K72">
            <v>992</v>
          </cell>
          <cell r="L72">
            <v>1027</v>
          </cell>
          <cell r="M72" t="str">
            <v>1 054</v>
          </cell>
          <cell r="N72">
            <v>1133</v>
          </cell>
        </row>
        <row r="73">
          <cell r="A73" t="str">
            <v>Кировская область</v>
          </cell>
          <cell r="B73" t="str">
            <v>11 042</v>
          </cell>
          <cell r="C73">
            <v>10585</v>
          </cell>
          <cell r="D73">
            <v>10713</v>
          </cell>
          <cell r="E73">
            <v>10747</v>
          </cell>
          <cell r="F73" t="str">
            <v>10 596</v>
          </cell>
          <cell r="G73">
            <v>10482</v>
          </cell>
          <cell r="H73">
            <v>5</v>
          </cell>
          <cell r="I73">
            <v>732</v>
          </cell>
          <cell r="J73">
            <v>696</v>
          </cell>
          <cell r="K73">
            <v>627</v>
          </cell>
          <cell r="L73">
            <v>687</v>
          </cell>
          <cell r="M73">
            <v>685</v>
          </cell>
          <cell r="N73">
            <v>830</v>
          </cell>
        </row>
        <row r="74">
          <cell r="A74" t="str">
            <v>Нижегородская область</v>
          </cell>
          <cell r="B74" t="str">
            <v>6 724</v>
          </cell>
          <cell r="C74">
            <v>6258</v>
          </cell>
          <cell r="D74">
            <v>5972</v>
          </cell>
          <cell r="E74">
            <v>5933</v>
          </cell>
          <cell r="F74" t="str">
            <v>5 878</v>
          </cell>
          <cell r="G74">
            <v>5806</v>
          </cell>
          <cell r="H74">
            <v>51</v>
          </cell>
          <cell r="I74" t="str">
            <v>1 602</v>
          </cell>
          <cell r="J74" t="str">
            <v>1 384</v>
          </cell>
          <cell r="K74" t="str">
            <v>1 104</v>
          </cell>
          <cell r="L74">
            <v>1191</v>
          </cell>
          <cell r="M74" t="str">
            <v>1 236</v>
          </cell>
          <cell r="N74">
            <v>1349</v>
          </cell>
        </row>
        <row r="75">
          <cell r="A75" t="str">
            <v>Оренбургская область</v>
          </cell>
          <cell r="B75" t="str">
            <v>6 862</v>
          </cell>
          <cell r="C75">
            <v>5854</v>
          </cell>
          <cell r="D75">
            <v>6630</v>
          </cell>
          <cell r="E75">
            <v>6658</v>
          </cell>
          <cell r="F75" t="str">
            <v>6 615</v>
          </cell>
          <cell r="G75">
            <v>6593</v>
          </cell>
          <cell r="H75">
            <v>36</v>
          </cell>
          <cell r="I75">
            <v>870</v>
          </cell>
          <cell r="J75">
            <v>668</v>
          </cell>
          <cell r="K75">
            <v>585</v>
          </cell>
          <cell r="L75">
            <v>686</v>
          </cell>
          <cell r="M75">
            <v>706</v>
          </cell>
          <cell r="N75">
            <v>870</v>
          </cell>
        </row>
        <row r="76">
          <cell r="A76" t="str">
            <v>Пензенская область</v>
          </cell>
          <cell r="B76" t="str">
            <v>6 814</v>
          </cell>
          <cell r="C76">
            <v>6572</v>
          </cell>
          <cell r="D76">
            <v>6573</v>
          </cell>
          <cell r="E76">
            <v>6608</v>
          </cell>
          <cell r="F76" t="str">
            <v>6 635</v>
          </cell>
          <cell r="G76">
            <v>6641</v>
          </cell>
          <cell r="H76">
            <v>35</v>
          </cell>
          <cell r="I76">
            <v>671</v>
          </cell>
          <cell r="J76">
            <v>681</v>
          </cell>
          <cell r="K76">
            <v>624</v>
          </cell>
          <cell r="L76">
            <v>674</v>
          </cell>
          <cell r="M76">
            <v>706</v>
          </cell>
          <cell r="N76">
            <v>608</v>
          </cell>
        </row>
        <row r="77">
          <cell r="A77" t="str">
            <v>Самарская область</v>
          </cell>
          <cell r="B77" t="str">
            <v>6 016</v>
          </cell>
          <cell r="C77">
            <v>4794</v>
          </cell>
          <cell r="D77">
            <v>5319</v>
          </cell>
          <cell r="E77">
            <v>5300</v>
          </cell>
          <cell r="F77" t="str">
            <v>5 251</v>
          </cell>
          <cell r="G77">
            <v>5198</v>
          </cell>
          <cell r="H77">
            <v>60</v>
          </cell>
          <cell r="I77" t="str">
            <v>1 068</v>
          </cell>
          <cell r="J77">
            <v>919</v>
          </cell>
          <cell r="K77">
            <v>940</v>
          </cell>
          <cell r="L77">
            <v>1013</v>
          </cell>
          <cell r="M77" t="str">
            <v>1 037</v>
          </cell>
          <cell r="N77">
            <v>1020</v>
          </cell>
        </row>
        <row r="78">
          <cell r="A78" t="str">
            <v>Саратовская область</v>
          </cell>
          <cell r="B78" t="str">
            <v>6 408</v>
          </cell>
          <cell r="C78">
            <v>5824</v>
          </cell>
          <cell r="D78">
            <v>5653</v>
          </cell>
          <cell r="E78">
            <v>5705</v>
          </cell>
          <cell r="F78" t="str">
            <v>5 732</v>
          </cell>
          <cell r="G78">
            <v>5728</v>
          </cell>
          <cell r="H78">
            <v>52</v>
          </cell>
          <cell r="I78" t="str">
            <v>1 132</v>
          </cell>
          <cell r="J78" t="str">
            <v>1 057</v>
          </cell>
          <cell r="K78">
            <v>877</v>
          </cell>
          <cell r="L78">
            <v>945</v>
          </cell>
          <cell r="M78">
            <v>961</v>
          </cell>
          <cell r="N78">
            <v>916</v>
          </cell>
        </row>
        <row r="79">
          <cell r="A79" t="str">
            <v>Ульяновская область</v>
          </cell>
          <cell r="B79" t="str">
            <v>7 303</v>
          </cell>
          <cell r="C79">
            <v>6683</v>
          </cell>
          <cell r="D79">
            <v>6971</v>
          </cell>
          <cell r="E79">
            <v>6963</v>
          </cell>
          <cell r="F79" t="str">
            <v>6 986</v>
          </cell>
          <cell r="G79">
            <v>6888</v>
          </cell>
          <cell r="H79">
            <v>31</v>
          </cell>
          <cell r="I79">
            <v>526</v>
          </cell>
          <cell r="J79">
            <v>473</v>
          </cell>
          <cell r="K79">
            <v>439</v>
          </cell>
          <cell r="L79">
            <v>474</v>
          </cell>
          <cell r="M79">
            <v>475</v>
          </cell>
          <cell r="N79">
            <v>489</v>
          </cell>
        </row>
        <row r="80">
          <cell r="A80" t="str">
            <v>Уральский</v>
          </cell>
          <cell r="B80" t="str">
            <v>4 976</v>
          </cell>
          <cell r="C80">
            <v>4432</v>
          </cell>
          <cell r="D80">
            <v>4543</v>
          </cell>
          <cell r="E80">
            <v>4437</v>
          </cell>
          <cell r="F80" t="str">
            <v>4 379</v>
          </cell>
          <cell r="G80">
            <v>4332</v>
          </cell>
          <cell r="H80">
            <v>7</v>
          </cell>
          <cell r="I80" t="str">
            <v>4 235</v>
          </cell>
          <cell r="J80" t="str">
            <v>4 510</v>
          </cell>
          <cell r="K80" t="str">
            <v>3 736</v>
          </cell>
          <cell r="L80">
            <v>4541</v>
          </cell>
          <cell r="M80" t="str">
            <v>4 912</v>
          </cell>
          <cell r="N80">
            <v>4264</v>
          </cell>
        </row>
        <row r="81">
          <cell r="A81" t="str">
            <v>федеральный округ</v>
          </cell>
          <cell r="B81"/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</row>
        <row r="82">
          <cell r="A82" t="str">
            <v>Курганская область</v>
          </cell>
          <cell r="B82" t="str">
            <v>9 984</v>
          </cell>
          <cell r="C82">
            <v>8033</v>
          </cell>
          <cell r="D82">
            <v>9789</v>
          </cell>
          <cell r="E82">
            <v>9788</v>
          </cell>
          <cell r="F82" t="str">
            <v>9 320</v>
          </cell>
          <cell r="G82">
            <v>9231</v>
          </cell>
          <cell r="H82">
            <v>10</v>
          </cell>
          <cell r="I82">
            <v>467</v>
          </cell>
          <cell r="J82">
            <v>351</v>
          </cell>
          <cell r="K82">
            <v>403</v>
          </cell>
          <cell r="L82">
            <v>425</v>
          </cell>
          <cell r="M82">
            <v>425</v>
          </cell>
          <cell r="N82">
            <v>457</v>
          </cell>
        </row>
        <row r="83">
          <cell r="A83" t="str">
            <v>Свердловская область</v>
          </cell>
          <cell r="B83" t="str">
            <v>4 302</v>
          </cell>
          <cell r="C83">
            <v>3836</v>
          </cell>
          <cell r="D83">
            <v>3727</v>
          </cell>
          <cell r="E83">
            <v>3708</v>
          </cell>
          <cell r="F83" t="str">
            <v>3 679</v>
          </cell>
          <cell r="G83">
            <v>3656</v>
          </cell>
          <cell r="H83">
            <v>76</v>
          </cell>
          <cell r="I83" t="str">
            <v>1 255</v>
          </cell>
          <cell r="J83" t="str">
            <v>1 443</v>
          </cell>
          <cell r="K83" t="str">
            <v>1 187</v>
          </cell>
          <cell r="L83">
            <v>1494</v>
          </cell>
          <cell r="M83" t="str">
            <v>1 631</v>
          </cell>
          <cell r="N83">
            <v>1262</v>
          </cell>
        </row>
        <row r="84">
          <cell r="A84" t="str">
            <v>Тюменская область</v>
          </cell>
          <cell r="B84" t="str">
            <v>4 029</v>
          </cell>
          <cell r="C84">
            <v>4041</v>
          </cell>
          <cell r="D84">
            <v>4380</v>
          </cell>
          <cell r="E84">
            <v>4117</v>
          </cell>
          <cell r="F84" t="str">
            <v>4 115</v>
          </cell>
          <cell r="G84">
            <v>4066</v>
          </cell>
          <cell r="H84"/>
          <cell r="I84" t="str">
            <v>1 088</v>
          </cell>
          <cell r="J84" t="str">
            <v>1 222</v>
          </cell>
          <cell r="K84" t="str">
            <v>1 069</v>
          </cell>
          <cell r="L84">
            <v>1340</v>
          </cell>
          <cell r="M84" t="str">
            <v>1 525</v>
          </cell>
          <cell r="N84">
            <v>1439</v>
          </cell>
        </row>
        <row r="85">
          <cell r="A85" t="str">
            <v>в том числе:</v>
          </cell>
          <cell r="B85"/>
          <cell r="C85" t="str">
            <v xml:space="preserve"> </v>
          </cell>
          <cell r="D85"/>
          <cell r="E85" t="str">
            <v xml:space="preserve"> </v>
          </cell>
          <cell r="F85"/>
          <cell r="G85"/>
          <cell r="H85"/>
          <cell r="I85"/>
          <cell r="J85"/>
          <cell r="K85"/>
          <cell r="L85"/>
          <cell r="M85"/>
          <cell r="N85"/>
        </row>
        <row r="86">
          <cell r="A86" t="str">
            <v xml:space="preserve">Ханты-Мансийский автономный округ </v>
          </cell>
          <cell r="B86" t="str">
            <v>2 929</v>
          </cell>
          <cell r="C86">
            <v>2826</v>
          </cell>
          <cell r="D86">
            <v>3155</v>
          </cell>
          <cell r="E86">
            <v>3125</v>
          </cell>
          <cell r="F86" t="str">
            <v>3 109</v>
          </cell>
          <cell r="G86">
            <v>3069</v>
          </cell>
          <cell r="H86">
            <v>79</v>
          </cell>
          <cell r="I86">
            <v>440</v>
          </cell>
          <cell r="J86">
            <v>412</v>
          </cell>
          <cell r="K86">
            <v>292</v>
          </cell>
          <cell r="L86">
            <v>419</v>
          </cell>
          <cell r="M86">
            <v>460</v>
          </cell>
          <cell r="N86">
            <v>456</v>
          </cell>
        </row>
        <row r="87">
          <cell r="A87" t="str">
            <v>Ямало-Ненецкий автономный округ</v>
          </cell>
          <cell r="B87" t="str">
            <v>2 914</v>
          </cell>
          <cell r="C87">
            <v>3226</v>
          </cell>
          <cell r="D87">
            <v>3111</v>
          </cell>
          <cell r="E87">
            <v>2734</v>
          </cell>
          <cell r="F87" t="str">
            <v>2 702</v>
          </cell>
          <cell r="G87">
            <v>2658</v>
          </cell>
          <cell r="H87">
            <v>81</v>
          </cell>
          <cell r="I87">
            <v>141</v>
          </cell>
          <cell r="J87">
            <v>279</v>
          </cell>
          <cell r="K87">
            <v>357</v>
          </cell>
          <cell r="L87">
            <v>446</v>
          </cell>
          <cell r="M87">
            <v>557</v>
          </cell>
          <cell r="N87">
            <v>165</v>
          </cell>
        </row>
        <row r="88">
          <cell r="A88" t="str">
            <v>Тюменская область без автономных округов</v>
          </cell>
          <cell r="B88" t="str">
            <v>5 723</v>
          </cell>
          <cell r="C88">
            <v>5668</v>
          </cell>
          <cell r="D88">
            <v>6094</v>
          </cell>
          <cell r="E88">
            <v>5620</v>
          </cell>
          <cell r="F88" t="str">
            <v>5 647</v>
          </cell>
          <cell r="G88">
            <v>5600</v>
          </cell>
          <cell r="H88">
            <v>54</v>
          </cell>
          <cell r="I88">
            <v>507</v>
          </cell>
          <cell r="J88">
            <v>532</v>
          </cell>
          <cell r="K88">
            <v>419</v>
          </cell>
          <cell r="L88">
            <v>475</v>
          </cell>
          <cell r="M88">
            <v>507</v>
          </cell>
          <cell r="N88">
            <v>818</v>
          </cell>
        </row>
        <row r="89">
          <cell r="A89" t="str">
            <v>Челябинская область</v>
          </cell>
          <cell r="B89" t="str">
            <v>5 427</v>
          </cell>
          <cell r="C89">
            <v>4703</v>
          </cell>
          <cell r="D89">
            <v>4538</v>
          </cell>
          <cell r="E89">
            <v>4494</v>
          </cell>
          <cell r="F89" t="str">
            <v>4 444</v>
          </cell>
          <cell r="G89">
            <v>4393</v>
          </cell>
          <cell r="H89">
            <v>71</v>
          </cell>
          <cell r="I89" t="str">
            <v>1 424</v>
          </cell>
          <cell r="J89" t="str">
            <v>1 494</v>
          </cell>
          <cell r="K89" t="str">
            <v>1 077</v>
          </cell>
          <cell r="L89">
            <v>1283</v>
          </cell>
          <cell r="M89" t="str">
            <v>1 331</v>
          </cell>
          <cell r="N89">
            <v>1106</v>
          </cell>
        </row>
        <row r="90">
          <cell r="A90" t="str">
            <v>Сибирский</v>
          </cell>
          <cell r="B90" t="str">
            <v>6 404</v>
          </cell>
          <cell r="C90">
            <v>5343</v>
          </cell>
          <cell r="D90">
            <v>5606</v>
          </cell>
          <cell r="E90">
            <v>5553</v>
          </cell>
          <cell r="F90" t="str">
            <v>5 501</v>
          </cell>
          <cell r="G90">
            <v>5433</v>
          </cell>
          <cell r="H90">
            <v>5</v>
          </cell>
          <cell r="I90" t="str">
            <v>7 209</v>
          </cell>
          <cell r="J90" t="str">
            <v>6 569</v>
          </cell>
          <cell r="K90" t="str">
            <v>5 357</v>
          </cell>
          <cell r="L90">
            <v>6450</v>
          </cell>
          <cell r="M90" t="str">
            <v>6 705</v>
          </cell>
          <cell r="N90">
            <v>6527</v>
          </cell>
        </row>
        <row r="91">
          <cell r="A91" t="str">
            <v>федеральный округ</v>
          </cell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</row>
        <row r="92">
          <cell r="A92" t="str">
            <v>Республика Алтай</v>
          </cell>
          <cell r="B92" t="str">
            <v>8 467</v>
          </cell>
          <cell r="C92">
            <v>7034</v>
          </cell>
          <cell r="D92">
            <v>7076</v>
          </cell>
          <cell r="E92">
            <v>7104</v>
          </cell>
          <cell r="F92" t="str">
            <v>6 929</v>
          </cell>
          <cell r="G92">
            <v>6933</v>
          </cell>
          <cell r="H92">
            <v>29</v>
          </cell>
          <cell r="I92">
            <v>125</v>
          </cell>
          <cell r="J92">
            <v>103</v>
          </cell>
          <cell r="K92">
            <v>90</v>
          </cell>
          <cell r="L92">
            <v>104</v>
          </cell>
          <cell r="M92">
            <v>118</v>
          </cell>
          <cell r="N92">
            <v>120</v>
          </cell>
        </row>
        <row r="93">
          <cell r="A93" t="str">
            <v>Республика Тыва</v>
          </cell>
          <cell r="B93" t="str">
            <v>9 343</v>
          </cell>
          <cell r="C93">
            <v>9420</v>
          </cell>
          <cell r="D93">
            <v>9010</v>
          </cell>
          <cell r="E93">
            <v>8838</v>
          </cell>
          <cell r="F93" t="str">
            <v>8 758</v>
          </cell>
          <cell r="G93">
            <v>8732</v>
          </cell>
          <cell r="H93">
            <v>15</v>
          </cell>
          <cell r="I93">
            <v>150</v>
          </cell>
          <cell r="J93">
            <v>157</v>
          </cell>
          <cell r="K93">
            <v>116</v>
          </cell>
          <cell r="L93">
            <v>142</v>
          </cell>
          <cell r="M93">
            <v>155</v>
          </cell>
          <cell r="N93">
            <v>139</v>
          </cell>
        </row>
        <row r="94">
          <cell r="A94" t="str">
            <v>Республика Хакасия</v>
          </cell>
          <cell r="B94" t="str">
            <v>6 523</v>
          </cell>
          <cell r="C94">
            <v>6132</v>
          </cell>
          <cell r="D94">
            <v>5878</v>
          </cell>
          <cell r="E94">
            <v>5861</v>
          </cell>
          <cell r="F94" t="str">
            <v>5 803</v>
          </cell>
          <cell r="G94">
            <v>5661</v>
          </cell>
          <cell r="H94">
            <v>53</v>
          </cell>
          <cell r="I94">
            <v>298</v>
          </cell>
          <cell r="J94">
            <v>235</v>
          </cell>
          <cell r="K94">
            <v>138</v>
          </cell>
          <cell r="L94">
            <v>203</v>
          </cell>
          <cell r="M94">
            <v>209</v>
          </cell>
          <cell r="N94">
            <v>185</v>
          </cell>
        </row>
        <row r="95">
          <cell r="A95" t="str">
            <v>Алтайский край</v>
          </cell>
          <cell r="B95" t="str">
            <v>6 162</v>
          </cell>
          <cell r="C95">
            <v>5499</v>
          </cell>
          <cell r="D95">
            <v>6047</v>
          </cell>
          <cell r="E95">
            <v>6065</v>
          </cell>
          <cell r="F95" t="str">
            <v>6 081</v>
          </cell>
          <cell r="G95">
            <v>6028</v>
          </cell>
          <cell r="H95">
            <v>46</v>
          </cell>
          <cell r="I95" t="str">
            <v>1 092</v>
          </cell>
          <cell r="J95">
            <v>872</v>
          </cell>
          <cell r="K95">
            <v>685</v>
          </cell>
          <cell r="L95">
            <v>792</v>
          </cell>
          <cell r="M95">
            <v>815</v>
          </cell>
          <cell r="N95">
            <v>930</v>
          </cell>
        </row>
        <row r="96">
          <cell r="A96" t="str">
            <v>Красноярский край</v>
          </cell>
          <cell r="B96" t="str">
            <v>7 461</v>
          </cell>
          <cell r="C96">
            <v>7222</v>
          </cell>
          <cell r="D96">
            <v>6773</v>
          </cell>
          <cell r="E96">
            <v>6606</v>
          </cell>
          <cell r="F96" t="str">
            <v>6 508</v>
          </cell>
          <cell r="G96">
            <v>6333</v>
          </cell>
          <cell r="H96">
            <v>42</v>
          </cell>
          <cell r="I96" t="str">
            <v>1 320</v>
          </cell>
          <cell r="J96" t="str">
            <v>1 334</v>
          </cell>
          <cell r="K96">
            <v>980</v>
          </cell>
          <cell r="L96">
            <v>1278</v>
          </cell>
          <cell r="M96" t="str">
            <v>1 366</v>
          </cell>
          <cell r="N96">
            <v>1329</v>
          </cell>
        </row>
        <row r="97">
          <cell r="A97" t="str">
            <v>Иркутская область</v>
          </cell>
          <cell r="B97" t="str">
            <v>5 503</v>
          </cell>
          <cell r="C97">
            <v>3208</v>
          </cell>
          <cell r="D97">
            <v>4786</v>
          </cell>
          <cell r="E97">
            <v>4699</v>
          </cell>
          <cell r="F97" t="str">
            <v>4 640</v>
          </cell>
          <cell r="G97">
            <v>4597</v>
          </cell>
          <cell r="H97">
            <v>69</v>
          </cell>
          <cell r="I97">
            <v>926</v>
          </cell>
          <cell r="J97">
            <v>642</v>
          </cell>
          <cell r="K97">
            <v>569</v>
          </cell>
          <cell r="L97">
            <v>735</v>
          </cell>
          <cell r="M97">
            <v>800</v>
          </cell>
          <cell r="N97">
            <v>727</v>
          </cell>
        </row>
        <row r="98">
          <cell r="A98" t="str">
            <v>Кемеровская область</v>
          </cell>
          <cell r="B98" t="str">
            <v>6 263</v>
          </cell>
          <cell r="C98">
            <v>5410</v>
          </cell>
          <cell r="D98">
            <v>5095</v>
          </cell>
          <cell r="E98">
            <v>5058</v>
          </cell>
          <cell r="F98" t="str">
            <v>5 015</v>
          </cell>
          <cell r="G98">
            <v>4961</v>
          </cell>
          <cell r="H98">
            <v>63</v>
          </cell>
          <cell r="I98" t="str">
            <v>1 072</v>
          </cell>
          <cell r="J98" t="str">
            <v>1 055</v>
          </cell>
          <cell r="K98">
            <v>852</v>
          </cell>
          <cell r="L98">
            <v>970</v>
          </cell>
          <cell r="M98">
            <v>990</v>
          </cell>
          <cell r="N98">
            <v>990</v>
          </cell>
        </row>
        <row r="99">
          <cell r="A99" t="str">
            <v>Новосибирская область</v>
          </cell>
          <cell r="B99" t="str">
            <v>5 675</v>
          </cell>
          <cell r="C99">
            <v>3522</v>
          </cell>
          <cell r="D99">
            <v>4120</v>
          </cell>
          <cell r="E99">
            <v>4062</v>
          </cell>
          <cell r="F99" t="str">
            <v>3 969</v>
          </cell>
          <cell r="G99">
            <v>3889</v>
          </cell>
          <cell r="H99">
            <v>73</v>
          </cell>
          <cell r="I99">
            <v>966</v>
          </cell>
          <cell r="J99" t="str">
            <v>1 055</v>
          </cell>
          <cell r="K99">
            <v>968</v>
          </cell>
          <cell r="L99">
            <v>1246</v>
          </cell>
          <cell r="M99" t="str">
            <v>1 197</v>
          </cell>
          <cell r="N99">
            <v>870</v>
          </cell>
        </row>
        <row r="100">
          <cell r="A100" t="str">
            <v>Омская область</v>
          </cell>
          <cell r="B100" t="str">
            <v>7 470</v>
          </cell>
          <cell r="C100">
            <v>6987</v>
          </cell>
          <cell r="D100">
            <v>6989</v>
          </cell>
          <cell r="E100">
            <v>7027</v>
          </cell>
          <cell r="F100" t="str">
            <v>7 014</v>
          </cell>
          <cell r="G100">
            <v>7002</v>
          </cell>
          <cell r="H100">
            <v>27</v>
          </cell>
          <cell r="I100">
            <v>929</v>
          </cell>
          <cell r="J100">
            <v>801</v>
          </cell>
          <cell r="K100">
            <v>709</v>
          </cell>
          <cell r="L100">
            <v>679</v>
          </cell>
          <cell r="M100">
            <v>724</v>
          </cell>
          <cell r="N100">
            <v>802</v>
          </cell>
        </row>
        <row r="101">
          <cell r="A101" t="str">
            <v>Томская область</v>
          </cell>
          <cell r="B101" t="str">
            <v>5 082</v>
          </cell>
          <cell r="C101">
            <v>4376</v>
          </cell>
          <cell r="D101">
            <v>4636</v>
          </cell>
          <cell r="E101">
            <v>4652</v>
          </cell>
          <cell r="F101" t="str">
            <v>4 664</v>
          </cell>
          <cell r="G101">
            <v>4694</v>
          </cell>
          <cell r="H101">
            <v>68</v>
          </cell>
          <cell r="I101">
            <v>332</v>
          </cell>
          <cell r="J101">
            <v>314</v>
          </cell>
          <cell r="K101">
            <v>251</v>
          </cell>
          <cell r="L101">
            <v>301</v>
          </cell>
          <cell r="M101">
            <v>331</v>
          </cell>
          <cell r="N101">
            <v>434</v>
          </cell>
        </row>
        <row r="102">
          <cell r="A102" t="str">
            <v>Дальневосточный</v>
          </cell>
          <cell r="B102" t="str">
            <v>6 429</v>
          </cell>
          <cell r="C102">
            <v>5844</v>
          </cell>
          <cell r="D102">
            <v>6084</v>
          </cell>
          <cell r="E102">
            <v>6076</v>
          </cell>
          <cell r="F102" t="str">
            <v>6 071</v>
          </cell>
          <cell r="G102">
            <v>6139</v>
          </cell>
          <cell r="H102">
            <v>3</v>
          </cell>
          <cell r="I102" t="str">
            <v>3 320</v>
          </cell>
          <cell r="J102" t="str">
            <v>3 091</v>
          </cell>
          <cell r="K102" t="str">
            <v>2 835</v>
          </cell>
          <cell r="L102">
            <v>3264</v>
          </cell>
          <cell r="M102" t="str">
            <v>3 411</v>
          </cell>
          <cell r="N102">
            <v>3008</v>
          </cell>
        </row>
        <row r="103">
          <cell r="A103" t="str">
            <v>федеральный округ</v>
          </cell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</row>
        <row r="104">
          <cell r="A104" t="str">
            <v>Республика Бурятия</v>
          </cell>
          <cell r="B104" t="str">
            <v>6 322</v>
          </cell>
          <cell r="C104">
            <v>5402</v>
          </cell>
          <cell r="D104">
            <v>5649</v>
          </cell>
          <cell r="E104">
            <v>5661</v>
          </cell>
          <cell r="F104" t="str">
            <v>5 628</v>
          </cell>
          <cell r="G104">
            <v>5587</v>
          </cell>
          <cell r="H104">
            <v>55</v>
          </cell>
          <cell r="I104">
            <v>410</v>
          </cell>
          <cell r="J104">
            <v>342</v>
          </cell>
          <cell r="K104">
            <v>285</v>
          </cell>
          <cell r="L104">
            <v>398</v>
          </cell>
          <cell r="M104">
            <v>407</v>
          </cell>
          <cell r="N104">
            <v>483</v>
          </cell>
        </row>
        <row r="105">
          <cell r="A105" t="str">
            <v>Республика Саха (Якутия)</v>
          </cell>
          <cell r="B105" t="str">
            <v>8 904</v>
          </cell>
          <cell r="C105">
            <v>8645</v>
          </cell>
          <cell r="D105">
            <v>8900</v>
          </cell>
          <cell r="E105">
            <v>8811</v>
          </cell>
          <cell r="F105" t="str">
            <v>8 841</v>
          </cell>
          <cell r="G105">
            <v>8837</v>
          </cell>
          <cell r="H105">
            <v>13</v>
          </cell>
          <cell r="I105">
            <v>499</v>
          </cell>
          <cell r="J105">
            <v>470</v>
          </cell>
          <cell r="K105">
            <v>350</v>
          </cell>
          <cell r="L105">
            <v>431</v>
          </cell>
          <cell r="M105">
            <v>488</v>
          </cell>
          <cell r="N105">
            <v>443</v>
          </cell>
        </row>
        <row r="106">
          <cell r="A106" t="str">
            <v>Забайкальский край</v>
          </cell>
          <cell r="B106" t="str">
            <v>7 321</v>
          </cell>
          <cell r="C106">
            <v>6907</v>
          </cell>
          <cell r="D106">
            <v>6673</v>
          </cell>
          <cell r="E106">
            <v>6655</v>
          </cell>
          <cell r="F106" t="str">
            <v>6 565</v>
          </cell>
          <cell r="G106">
            <v>6518</v>
          </cell>
          <cell r="H106">
            <v>38</v>
          </cell>
          <cell r="I106">
            <v>474</v>
          </cell>
          <cell r="J106">
            <v>414</v>
          </cell>
          <cell r="K106">
            <v>338</v>
          </cell>
          <cell r="L106">
            <v>396</v>
          </cell>
          <cell r="M106">
            <v>414</v>
          </cell>
          <cell r="N106">
            <v>466</v>
          </cell>
        </row>
        <row r="107">
          <cell r="A107" t="str">
            <v>Камчатский край</v>
          </cell>
          <cell r="B107" t="str">
            <v>8 282</v>
          </cell>
          <cell r="C107">
            <v>7830</v>
          </cell>
          <cell r="D107">
            <v>7648</v>
          </cell>
          <cell r="E107">
            <v>7642</v>
          </cell>
          <cell r="F107" t="str">
            <v>7 595</v>
          </cell>
          <cell r="G107">
            <v>7520</v>
          </cell>
          <cell r="H107">
            <v>23</v>
          </cell>
          <cell r="I107">
            <v>165</v>
          </cell>
          <cell r="J107">
            <v>157</v>
          </cell>
          <cell r="K107">
            <v>149</v>
          </cell>
          <cell r="L107">
            <v>163</v>
          </cell>
          <cell r="M107">
            <v>160</v>
          </cell>
          <cell r="N107">
            <v>152</v>
          </cell>
        </row>
        <row r="108">
          <cell r="A108" t="str">
            <v>Приморский край</v>
          </cell>
          <cell r="B108" t="str">
            <v>3 548</v>
          </cell>
          <cell r="C108">
            <v>3283</v>
          </cell>
          <cell r="D108">
            <v>3224</v>
          </cell>
          <cell r="E108">
            <v>3212</v>
          </cell>
          <cell r="F108" t="str">
            <v>3 186</v>
          </cell>
          <cell r="G108">
            <v>3577</v>
          </cell>
          <cell r="H108">
            <v>77</v>
          </cell>
          <cell r="I108">
            <v>496</v>
          </cell>
          <cell r="J108">
            <v>446</v>
          </cell>
          <cell r="K108">
            <v>384</v>
          </cell>
          <cell r="L108">
            <v>420</v>
          </cell>
          <cell r="M108">
            <v>441</v>
          </cell>
          <cell r="N108">
            <v>531</v>
          </cell>
        </row>
        <row r="109">
          <cell r="A109" t="str">
            <v>Хабаровский край</v>
          </cell>
          <cell r="B109" t="str">
            <v>6 463</v>
          </cell>
          <cell r="C109">
            <v>6405</v>
          </cell>
          <cell r="D109">
            <v>7047</v>
          </cell>
          <cell r="E109">
            <v>7042</v>
          </cell>
          <cell r="F109" t="str">
            <v>7 120</v>
          </cell>
          <cell r="G109">
            <v>7103</v>
          </cell>
          <cell r="H109">
            <v>26</v>
          </cell>
          <cell r="I109">
            <v>481</v>
          </cell>
          <cell r="J109">
            <v>538</v>
          </cell>
          <cell r="K109">
            <v>611</v>
          </cell>
          <cell r="L109">
            <v>662</v>
          </cell>
          <cell r="M109">
            <v>708</v>
          </cell>
          <cell r="N109">
            <v>337</v>
          </cell>
        </row>
        <row r="110">
          <cell r="A110" t="str">
            <v>Амурская область</v>
          </cell>
          <cell r="B110" t="str">
            <v>6 294</v>
          </cell>
          <cell r="C110">
            <v>4354</v>
          </cell>
          <cell r="D110">
            <v>4904</v>
          </cell>
          <cell r="E110">
            <v>4902</v>
          </cell>
          <cell r="F110" t="str">
            <v>4 879</v>
          </cell>
          <cell r="G110">
            <v>4829</v>
          </cell>
          <cell r="H110">
            <v>66</v>
          </cell>
          <cell r="I110">
            <v>308</v>
          </cell>
          <cell r="J110">
            <v>277</v>
          </cell>
          <cell r="K110">
            <v>221</v>
          </cell>
          <cell r="L110">
            <v>201</v>
          </cell>
          <cell r="M110">
            <v>210</v>
          </cell>
          <cell r="N110">
            <v>225</v>
          </cell>
        </row>
        <row r="111">
          <cell r="A111" t="str">
            <v>Магаданская область</v>
          </cell>
          <cell r="B111" t="str">
            <v>11 381</v>
          </cell>
          <cell r="C111">
            <v>10866</v>
          </cell>
          <cell r="D111">
            <v>10933</v>
          </cell>
          <cell r="E111">
            <v>10819</v>
          </cell>
          <cell r="F111" t="str">
            <v>10 630</v>
          </cell>
          <cell r="G111">
            <v>10550</v>
          </cell>
          <cell r="H111">
            <v>3</v>
          </cell>
          <cell r="I111">
            <v>92</v>
          </cell>
          <cell r="J111">
            <v>85</v>
          </cell>
          <cell r="K111">
            <v>68</v>
          </cell>
          <cell r="L111">
            <v>80</v>
          </cell>
          <cell r="M111">
            <v>80</v>
          </cell>
          <cell r="N111">
            <v>75</v>
          </cell>
        </row>
        <row r="112">
          <cell r="A112" t="str">
            <v>Сахалинская область</v>
          </cell>
          <cell r="B112" t="str">
            <v>6 901</v>
          </cell>
          <cell r="C112">
            <v>6493</v>
          </cell>
          <cell r="D112">
            <v>6264</v>
          </cell>
          <cell r="E112">
            <v>6256</v>
          </cell>
          <cell r="F112" t="str">
            <v>6 282</v>
          </cell>
          <cell r="G112">
            <v>6276</v>
          </cell>
          <cell r="H112">
            <v>43</v>
          </cell>
          <cell r="I112">
            <v>260</v>
          </cell>
          <cell r="J112">
            <v>282</v>
          </cell>
          <cell r="K112">
            <v>343</v>
          </cell>
          <cell r="L112">
            <v>431</v>
          </cell>
          <cell r="M112">
            <v>414</v>
          </cell>
          <cell r="N112">
            <v>214</v>
          </cell>
        </row>
        <row r="113">
          <cell r="A113" t="str">
            <v>Еврейская автономная область</v>
          </cell>
          <cell r="B113" t="str">
            <v>8 551</v>
          </cell>
          <cell r="C113">
            <v>5571</v>
          </cell>
          <cell r="D113">
            <v>8660</v>
          </cell>
          <cell r="E113">
            <v>8762</v>
          </cell>
          <cell r="F113" t="str">
            <v>8 865</v>
          </cell>
          <cell r="G113">
            <v>8834</v>
          </cell>
          <cell r="H113">
            <v>14</v>
          </cell>
          <cell r="I113">
            <v>84</v>
          </cell>
          <cell r="J113">
            <v>49</v>
          </cell>
          <cell r="K113">
            <v>45</v>
          </cell>
          <cell r="L113">
            <v>55</v>
          </cell>
          <cell r="M113">
            <v>53</v>
          </cell>
          <cell r="N113">
            <v>56</v>
          </cell>
        </row>
        <row r="114">
          <cell r="A114" t="str">
            <v>Чукотский автономный округ</v>
          </cell>
          <cell r="B114" t="str">
            <v>15 640</v>
          </cell>
          <cell r="C114">
            <v>13250</v>
          </cell>
          <cell r="D114">
            <v>15124</v>
          </cell>
          <cell r="E114">
            <v>15047</v>
          </cell>
          <cell r="F114" t="str">
            <v>14 836</v>
          </cell>
          <cell r="G114">
            <v>14479</v>
          </cell>
          <cell r="H114">
            <v>1</v>
          </cell>
          <cell r="I114">
            <v>50</v>
          </cell>
          <cell r="J114">
            <v>32</v>
          </cell>
          <cell r="K114">
            <v>41</v>
          </cell>
          <cell r="L114">
            <v>29</v>
          </cell>
          <cell r="M114">
            <v>38</v>
          </cell>
          <cell r="N114">
            <v>26</v>
          </cell>
        </row>
        <row r="115">
          <cell r="A115" t="str">
            <v>¾¾¾¾¾¾</v>
          </cell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</row>
        <row r="116">
          <cell r="A116" t="str">
            <v>1) Расчет осуществлен на основе данных Минкультуры России.</v>
          </cell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</row>
        <row r="117">
          <cell r="A117" t="str">
            <v>2) Данные за 2015, 2020, 2021 гг. пересчитаны с учетом итогов ВПН-2020.</v>
          </cell>
          <cell r="B117"/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</row>
        <row r="118">
          <cell r="A118" t="str">
            <v>3) По данным Минкультуры России.</v>
          </cell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</row>
      </sheetData>
      <sheetData sheetId="3">
        <row r="3">
          <cell r="A3"/>
          <cell r="B3">
            <v>2010</v>
          </cell>
          <cell r="C3">
            <v>2015</v>
          </cell>
          <cell r="D3">
            <v>2020</v>
          </cell>
          <cell r="E3">
            <v>2021</v>
          </cell>
          <cell r="F3">
            <v>2022</v>
          </cell>
          <cell r="G3">
            <v>2023</v>
          </cell>
        </row>
        <row r="4">
          <cell r="A4"/>
          <cell r="B4"/>
          <cell r="C4"/>
          <cell r="D4"/>
          <cell r="E4"/>
          <cell r="F4"/>
          <cell r="G4"/>
        </row>
        <row r="5">
          <cell r="A5"/>
          <cell r="B5"/>
          <cell r="C5"/>
          <cell r="D5"/>
          <cell r="E5"/>
          <cell r="F5"/>
          <cell r="G5"/>
        </row>
        <row r="6">
          <cell r="A6"/>
          <cell r="B6"/>
          <cell r="C6"/>
          <cell r="D6"/>
          <cell r="E6"/>
          <cell r="F6"/>
          <cell r="G6"/>
        </row>
        <row r="7">
          <cell r="A7" t="str">
            <v>Российская Федерация</v>
          </cell>
          <cell r="B7" t="str">
            <v>1 446</v>
          </cell>
          <cell r="C7">
            <v>1382</v>
          </cell>
          <cell r="D7">
            <v>936</v>
          </cell>
          <cell r="E7">
            <v>817</v>
          </cell>
          <cell r="F7">
            <v>693</v>
          </cell>
          <cell r="G7">
            <v>579</v>
          </cell>
        </row>
        <row r="8">
          <cell r="A8" t="str">
            <v>Центральный</v>
          </cell>
          <cell r="B8" t="str">
            <v>2 414</v>
          </cell>
          <cell r="C8">
            <v>2014</v>
          </cell>
          <cell r="D8">
            <v>1730</v>
          </cell>
          <cell r="E8">
            <v>1513</v>
          </cell>
          <cell r="F8" t="str">
            <v>1 328</v>
          </cell>
          <cell r="G8">
            <v>1053</v>
          </cell>
        </row>
        <row r="9">
          <cell r="A9" t="str">
            <v>федеральный округ</v>
          </cell>
          <cell r="B9"/>
          <cell r="C9"/>
          <cell r="D9"/>
          <cell r="E9"/>
          <cell r="F9"/>
          <cell r="G9"/>
        </row>
        <row r="10">
          <cell r="A10" t="str">
            <v>Белгородская область</v>
          </cell>
          <cell r="B10" t="str">
            <v>1 005</v>
          </cell>
          <cell r="C10">
            <v>4404</v>
          </cell>
          <cell r="D10">
            <v>1896</v>
          </cell>
          <cell r="E10">
            <v>2041</v>
          </cell>
          <cell r="F10" t="str">
            <v>2 163</v>
          </cell>
          <cell r="G10">
            <v>852</v>
          </cell>
        </row>
        <row r="11">
          <cell r="A11" t="str">
            <v>Брянская область</v>
          </cell>
          <cell r="B11">
            <v>388</v>
          </cell>
          <cell r="C11">
            <v>550</v>
          </cell>
          <cell r="D11">
            <v>359</v>
          </cell>
          <cell r="E11">
            <v>296</v>
          </cell>
          <cell r="F11">
            <v>254</v>
          </cell>
          <cell r="G11">
            <v>234</v>
          </cell>
        </row>
        <row r="12">
          <cell r="A12" t="str">
            <v>Владимирская область</v>
          </cell>
          <cell r="B12">
            <v>249</v>
          </cell>
          <cell r="C12">
            <v>795</v>
          </cell>
          <cell r="D12">
            <v>605</v>
          </cell>
          <cell r="E12">
            <v>817</v>
          </cell>
          <cell r="F12">
            <v>562</v>
          </cell>
          <cell r="G12">
            <v>552</v>
          </cell>
        </row>
        <row r="13">
          <cell r="A13" t="str">
            <v>Воронежская область</v>
          </cell>
          <cell r="B13" t="str">
            <v>1 217</v>
          </cell>
          <cell r="C13">
            <v>1067</v>
          </cell>
          <cell r="D13">
            <v>460</v>
          </cell>
          <cell r="E13">
            <v>753</v>
          </cell>
          <cell r="F13">
            <v>470</v>
          </cell>
          <cell r="G13">
            <v>480</v>
          </cell>
        </row>
        <row r="14">
          <cell r="A14" t="str">
            <v>Ивановская область</v>
          </cell>
          <cell r="B14">
            <v>420</v>
          </cell>
          <cell r="C14">
            <v>619</v>
          </cell>
          <cell r="D14">
            <v>549</v>
          </cell>
          <cell r="E14">
            <v>426</v>
          </cell>
          <cell r="F14">
            <v>376</v>
          </cell>
          <cell r="G14">
            <v>321</v>
          </cell>
        </row>
        <row r="15">
          <cell r="A15" t="str">
            <v>Калужская область</v>
          </cell>
          <cell r="B15">
            <v>769</v>
          </cell>
          <cell r="C15">
            <v>1020</v>
          </cell>
          <cell r="D15">
            <v>820</v>
          </cell>
          <cell r="E15">
            <v>843</v>
          </cell>
          <cell r="F15">
            <v>676</v>
          </cell>
          <cell r="G15">
            <v>622</v>
          </cell>
        </row>
        <row r="16">
          <cell r="A16" t="str">
            <v>Костромская область</v>
          </cell>
          <cell r="B16" t="str">
            <v>5 252</v>
          </cell>
          <cell r="C16">
            <v>748</v>
          </cell>
          <cell r="D16">
            <v>772</v>
          </cell>
          <cell r="E16">
            <v>361</v>
          </cell>
          <cell r="F16">
            <v>431</v>
          </cell>
          <cell r="G16">
            <v>386</v>
          </cell>
        </row>
        <row r="17">
          <cell r="A17" t="str">
            <v>Курская область</v>
          </cell>
          <cell r="B17" t="str">
            <v>1 368</v>
          </cell>
          <cell r="C17">
            <v>1411</v>
          </cell>
          <cell r="D17">
            <v>1004</v>
          </cell>
          <cell r="E17">
            <v>1028</v>
          </cell>
          <cell r="F17" t="str">
            <v>1 061</v>
          </cell>
          <cell r="G17">
            <v>394</v>
          </cell>
        </row>
        <row r="18">
          <cell r="A18" t="str">
            <v>Липецкая область</v>
          </cell>
          <cell r="B18">
            <v>508</v>
          </cell>
          <cell r="C18">
            <v>792</v>
          </cell>
          <cell r="D18">
            <v>240</v>
          </cell>
          <cell r="E18">
            <v>173</v>
          </cell>
          <cell r="F18">
            <v>140</v>
          </cell>
          <cell r="G18">
            <v>132</v>
          </cell>
        </row>
        <row r="19">
          <cell r="A19" t="str">
            <v>Московская область</v>
          </cell>
          <cell r="B19">
            <v>745</v>
          </cell>
          <cell r="C19">
            <v>792</v>
          </cell>
          <cell r="D19">
            <v>287</v>
          </cell>
          <cell r="E19">
            <v>291</v>
          </cell>
          <cell r="F19">
            <v>244</v>
          </cell>
          <cell r="G19">
            <v>198</v>
          </cell>
        </row>
        <row r="20">
          <cell r="A20" t="str">
            <v>Орловская область</v>
          </cell>
          <cell r="B20">
            <v>564</v>
          </cell>
          <cell r="C20">
            <v>708</v>
          </cell>
          <cell r="D20">
            <v>359</v>
          </cell>
          <cell r="E20">
            <v>423</v>
          </cell>
          <cell r="F20">
            <v>268</v>
          </cell>
          <cell r="G20">
            <v>188</v>
          </cell>
        </row>
        <row r="21">
          <cell r="A21" t="str">
            <v>Рязанская область</v>
          </cell>
          <cell r="B21">
            <v>517</v>
          </cell>
          <cell r="C21">
            <v>551</v>
          </cell>
          <cell r="D21">
            <v>381</v>
          </cell>
          <cell r="E21">
            <v>373</v>
          </cell>
          <cell r="F21">
            <v>608</v>
          </cell>
          <cell r="G21">
            <v>408</v>
          </cell>
        </row>
        <row r="22">
          <cell r="A22" t="str">
            <v>Смоленская область</v>
          </cell>
          <cell r="B22" t="str">
            <v>3 523</v>
          </cell>
          <cell r="C22">
            <v>5578</v>
          </cell>
          <cell r="D22">
            <v>3796</v>
          </cell>
          <cell r="E22">
            <v>3846</v>
          </cell>
          <cell r="F22" t="str">
            <v>3 369</v>
          </cell>
          <cell r="G22">
            <v>2592</v>
          </cell>
        </row>
        <row r="23">
          <cell r="A23" t="str">
            <v>Тамбовская область</v>
          </cell>
          <cell r="B23">
            <v>362</v>
          </cell>
          <cell r="C23">
            <v>785</v>
          </cell>
          <cell r="D23">
            <v>179</v>
          </cell>
          <cell r="E23">
            <v>180</v>
          </cell>
          <cell r="F23">
            <v>171</v>
          </cell>
          <cell r="G23">
            <v>154</v>
          </cell>
        </row>
        <row r="24">
          <cell r="A24" t="str">
            <v>Тверская область</v>
          </cell>
          <cell r="B24">
            <v>504</v>
          </cell>
          <cell r="C24">
            <v>602</v>
          </cell>
          <cell r="D24">
            <v>300</v>
          </cell>
          <cell r="E24">
            <v>305</v>
          </cell>
          <cell r="F24">
            <v>329</v>
          </cell>
          <cell r="G24">
            <v>307</v>
          </cell>
        </row>
        <row r="25">
          <cell r="A25" t="str">
            <v>Тульская область</v>
          </cell>
          <cell r="B25">
            <v>597</v>
          </cell>
          <cell r="C25">
            <v>574</v>
          </cell>
          <cell r="D25">
            <v>333</v>
          </cell>
          <cell r="E25">
            <v>449</v>
          </cell>
          <cell r="F25">
            <v>263</v>
          </cell>
          <cell r="G25">
            <v>191</v>
          </cell>
        </row>
        <row r="26">
          <cell r="A26" t="str">
            <v>Ярославская область</v>
          </cell>
          <cell r="B26">
            <v>617</v>
          </cell>
          <cell r="C26">
            <v>1048</v>
          </cell>
          <cell r="D26">
            <v>556</v>
          </cell>
          <cell r="E26">
            <v>961</v>
          </cell>
          <cell r="F26">
            <v>651</v>
          </cell>
          <cell r="G26">
            <v>509</v>
          </cell>
        </row>
        <row r="27">
          <cell r="A27" t="str">
            <v>г. Москва</v>
          </cell>
          <cell r="B27" t="str">
            <v>5 929</v>
          </cell>
          <cell r="C27">
            <v>3860</v>
          </cell>
          <cell r="D27">
            <v>4095</v>
          </cell>
          <cell r="E27">
            <v>3297</v>
          </cell>
          <cell r="F27" t="str">
            <v>2 894</v>
          </cell>
          <cell r="G27">
            <v>2383</v>
          </cell>
        </row>
        <row r="28">
          <cell r="A28" t="str">
            <v>Северо-Западный</v>
          </cell>
          <cell r="B28" t="str">
            <v>2 651</v>
          </cell>
          <cell r="C28">
            <v>2335</v>
          </cell>
          <cell r="D28">
            <v>1344</v>
          </cell>
          <cell r="E28">
            <v>1179</v>
          </cell>
          <cell r="F28">
            <v>913</v>
          </cell>
          <cell r="G28">
            <v>895</v>
          </cell>
        </row>
        <row r="29">
          <cell r="A29" t="str">
            <v>федеральный округ</v>
          </cell>
          <cell r="B29"/>
          <cell r="C29"/>
          <cell r="D29"/>
          <cell r="E29"/>
          <cell r="F29"/>
          <cell r="G29"/>
        </row>
        <row r="30">
          <cell r="A30" t="str">
            <v>Республика Карелия</v>
          </cell>
          <cell r="B30" t="str">
            <v>1 011</v>
          </cell>
          <cell r="C30">
            <v>2396</v>
          </cell>
          <cell r="D30">
            <v>1151</v>
          </cell>
          <cell r="E30">
            <v>1715</v>
          </cell>
          <cell r="F30" t="str">
            <v>1 301</v>
          </cell>
          <cell r="G30">
            <v>564</v>
          </cell>
        </row>
        <row r="31">
          <cell r="A31" t="str">
            <v>Республика Коми</v>
          </cell>
          <cell r="B31">
            <v>827</v>
          </cell>
          <cell r="C31">
            <v>1322</v>
          </cell>
          <cell r="D31">
            <v>1018</v>
          </cell>
          <cell r="E31">
            <v>1022</v>
          </cell>
          <cell r="F31">
            <v>807</v>
          </cell>
          <cell r="G31">
            <v>770</v>
          </cell>
        </row>
        <row r="32">
          <cell r="A32" t="str">
            <v>Архангельская область</v>
          </cell>
          <cell r="B32" t="str">
            <v>2 159</v>
          </cell>
          <cell r="C32">
            <v>2303</v>
          </cell>
          <cell r="D32">
            <v>1759</v>
          </cell>
          <cell r="E32">
            <v>1393</v>
          </cell>
          <cell r="F32" t="str">
            <v>1 130</v>
          </cell>
          <cell r="G32">
            <v>1250</v>
          </cell>
        </row>
        <row r="33">
          <cell r="A33" t="str">
            <v>в том числе:</v>
          </cell>
          <cell r="B33"/>
          <cell r="C33"/>
          <cell r="D33"/>
          <cell r="E33"/>
          <cell r="F33"/>
          <cell r="G33"/>
        </row>
        <row r="34">
          <cell r="A34" t="str">
            <v>Ненецкий автономный округ</v>
          </cell>
          <cell r="B34">
            <v>349</v>
          </cell>
          <cell r="C34">
            <v>533</v>
          </cell>
          <cell r="D34">
            <v>1171</v>
          </cell>
          <cell r="E34">
            <v>795</v>
          </cell>
          <cell r="F34">
            <v>493</v>
          </cell>
          <cell r="G34">
            <v>866</v>
          </cell>
        </row>
        <row r="35">
          <cell r="A35" t="str">
            <v>Архангельская область без автономного округа</v>
          </cell>
          <cell r="B35" t="str">
            <v>2 223</v>
          </cell>
          <cell r="C35">
            <v>2372</v>
          </cell>
          <cell r="D35">
            <v>1784</v>
          </cell>
          <cell r="E35">
            <v>1418</v>
          </cell>
          <cell r="F35" t="str">
            <v>1 158</v>
          </cell>
          <cell r="G35">
            <v>1250</v>
          </cell>
        </row>
        <row r="36">
          <cell r="A36" t="str">
            <v>Вологодская область</v>
          </cell>
          <cell r="B36" t="str">
            <v>1 074</v>
          </cell>
          <cell r="C36">
            <v>1178</v>
          </cell>
          <cell r="D36">
            <v>833</v>
          </cell>
          <cell r="E36">
            <v>1130</v>
          </cell>
          <cell r="F36">
            <v>724</v>
          </cell>
          <cell r="G36">
            <v>1061</v>
          </cell>
        </row>
        <row r="37">
          <cell r="A37" t="str">
            <v>Калинингpадская область</v>
          </cell>
          <cell r="B37">
            <v>987</v>
          </cell>
          <cell r="C37">
            <v>1741</v>
          </cell>
          <cell r="D37">
            <v>506</v>
          </cell>
          <cell r="E37">
            <v>469</v>
          </cell>
          <cell r="F37">
            <v>350</v>
          </cell>
          <cell r="G37">
            <v>319</v>
          </cell>
        </row>
        <row r="38">
          <cell r="A38" t="str">
            <v>Ленинградская область</v>
          </cell>
          <cell r="B38">
            <v>351</v>
          </cell>
          <cell r="C38">
            <v>445</v>
          </cell>
          <cell r="D38">
            <v>207</v>
          </cell>
          <cell r="E38">
            <v>260</v>
          </cell>
          <cell r="F38">
            <v>153</v>
          </cell>
          <cell r="G38">
            <v>130</v>
          </cell>
        </row>
        <row r="39">
          <cell r="A39" t="str">
            <v>Мурманская область</v>
          </cell>
          <cell r="B39">
            <v>819</v>
          </cell>
          <cell r="C39">
            <v>781</v>
          </cell>
          <cell r="D39">
            <v>397</v>
          </cell>
          <cell r="E39">
            <v>729</v>
          </cell>
          <cell r="F39">
            <v>210</v>
          </cell>
          <cell r="G39">
            <v>837</v>
          </cell>
        </row>
        <row r="40">
          <cell r="A40" t="str">
            <v>Новгородская область</v>
          </cell>
          <cell r="B40" t="str">
            <v>1 485</v>
          </cell>
          <cell r="C40">
            <v>1889</v>
          </cell>
          <cell r="D40">
            <v>1495</v>
          </cell>
          <cell r="E40">
            <v>1288</v>
          </cell>
          <cell r="F40" t="str">
            <v>1 079</v>
          </cell>
          <cell r="G40">
            <v>717</v>
          </cell>
        </row>
        <row r="41">
          <cell r="A41" t="str">
            <v>Псковская область</v>
          </cell>
          <cell r="B41" t="str">
            <v>1 126</v>
          </cell>
          <cell r="C41">
            <v>1075</v>
          </cell>
          <cell r="D41">
            <v>770</v>
          </cell>
          <cell r="E41">
            <v>720</v>
          </cell>
          <cell r="F41">
            <v>376</v>
          </cell>
          <cell r="G41">
            <v>353</v>
          </cell>
        </row>
        <row r="42">
          <cell r="A42" t="str">
            <v>г. Санкт-Петербург</v>
          </cell>
          <cell r="B42" t="str">
            <v>5 519</v>
          </cell>
          <cell r="C42">
            <v>3928</v>
          </cell>
          <cell r="D42">
            <v>2150</v>
          </cell>
          <cell r="E42">
            <v>1667</v>
          </cell>
          <cell r="F42" t="str">
            <v>1 388</v>
          </cell>
          <cell r="G42">
            <v>1313</v>
          </cell>
        </row>
        <row r="43">
          <cell r="A43" t="str">
            <v>Южный федеральный округ</v>
          </cell>
          <cell r="B43" t="str">
            <v>1 050</v>
          </cell>
          <cell r="C43">
            <v>786</v>
          </cell>
          <cell r="D43">
            <v>381</v>
          </cell>
          <cell r="E43">
            <v>326</v>
          </cell>
          <cell r="F43">
            <v>288</v>
          </cell>
          <cell r="G43">
            <v>217</v>
          </cell>
        </row>
        <row r="44">
          <cell r="A44" t="str">
            <v>Республика Адыгея</v>
          </cell>
          <cell r="B44">
            <v>363</v>
          </cell>
          <cell r="C44">
            <v>478</v>
          </cell>
          <cell r="D44">
            <v>218</v>
          </cell>
          <cell r="E44">
            <v>208</v>
          </cell>
          <cell r="F44">
            <v>189</v>
          </cell>
          <cell r="G44">
            <v>186</v>
          </cell>
        </row>
        <row r="45">
          <cell r="A45" t="str">
            <v>Республика Калмыкия</v>
          </cell>
          <cell r="B45">
            <v>380</v>
          </cell>
          <cell r="C45">
            <v>305</v>
          </cell>
          <cell r="D45">
            <v>162</v>
          </cell>
          <cell r="E45">
            <v>235</v>
          </cell>
          <cell r="F45">
            <v>142</v>
          </cell>
          <cell r="G45">
            <v>142</v>
          </cell>
        </row>
        <row r="46">
          <cell r="A46" t="str">
            <v>Республика Крым</v>
          </cell>
          <cell r="B46"/>
          <cell r="C46">
            <v>684</v>
          </cell>
          <cell r="D46">
            <v>247</v>
          </cell>
          <cell r="E46">
            <v>307</v>
          </cell>
          <cell r="F46">
            <v>182</v>
          </cell>
          <cell r="G46">
            <v>136</v>
          </cell>
        </row>
        <row r="47">
          <cell r="A47" t="str">
            <v>Краснодарский край</v>
          </cell>
          <cell r="B47">
            <v>756</v>
          </cell>
          <cell r="C47">
            <v>711</v>
          </cell>
          <cell r="D47">
            <v>305</v>
          </cell>
          <cell r="E47">
            <v>313</v>
          </cell>
          <cell r="F47">
            <v>307</v>
          </cell>
          <cell r="G47">
            <v>230</v>
          </cell>
        </row>
        <row r="48">
          <cell r="A48" t="str">
            <v>Астраханская область</v>
          </cell>
          <cell r="B48">
            <v>387</v>
          </cell>
          <cell r="C48">
            <v>525</v>
          </cell>
          <cell r="D48">
            <v>241</v>
          </cell>
          <cell r="E48">
            <v>251</v>
          </cell>
          <cell r="F48">
            <v>262</v>
          </cell>
          <cell r="G48">
            <v>104</v>
          </cell>
        </row>
        <row r="49">
          <cell r="A49" t="str">
            <v>Волгоградская область</v>
          </cell>
          <cell r="B49">
            <v>850</v>
          </cell>
          <cell r="C49">
            <v>761</v>
          </cell>
          <cell r="D49">
            <v>397</v>
          </cell>
          <cell r="E49">
            <v>292</v>
          </cell>
          <cell r="F49">
            <v>193</v>
          </cell>
          <cell r="G49">
            <v>156</v>
          </cell>
        </row>
        <row r="50">
          <cell r="A50" t="str">
            <v>Ростовская область</v>
          </cell>
          <cell r="B50" t="str">
            <v>1 803</v>
          </cell>
          <cell r="C50">
            <v>910</v>
          </cell>
          <cell r="D50">
            <v>525</v>
          </cell>
          <cell r="E50">
            <v>359</v>
          </cell>
          <cell r="F50">
            <v>365</v>
          </cell>
          <cell r="G50">
            <v>310</v>
          </cell>
        </row>
        <row r="51">
          <cell r="A51" t="str">
            <v>г. Севастополь</v>
          </cell>
          <cell r="B51"/>
          <cell r="C51">
            <v>2437</v>
          </cell>
          <cell r="D51">
            <v>1012</v>
          </cell>
          <cell r="E51">
            <v>735</v>
          </cell>
          <cell r="F51">
            <v>498</v>
          </cell>
          <cell r="G51">
            <v>195</v>
          </cell>
        </row>
        <row r="52">
          <cell r="A52" t="str">
            <v>Северо-Кавказский</v>
          </cell>
          <cell r="B52">
            <v>289</v>
          </cell>
          <cell r="C52">
            <v>280</v>
          </cell>
          <cell r="D52">
            <v>118</v>
          </cell>
          <cell r="E52">
            <v>136</v>
          </cell>
          <cell r="F52">
            <v>95</v>
          </cell>
          <cell r="G52">
            <v>86</v>
          </cell>
        </row>
        <row r="53">
          <cell r="A53" t="str">
            <v>федеральный округ</v>
          </cell>
          <cell r="B53"/>
          <cell r="C53"/>
          <cell r="D53"/>
          <cell r="E53"/>
          <cell r="F53"/>
          <cell r="G53"/>
        </row>
        <row r="54">
          <cell r="A54" t="str">
            <v>Республика Дагестан</v>
          </cell>
          <cell r="B54">
            <v>109</v>
          </cell>
          <cell r="C54">
            <v>141</v>
          </cell>
          <cell r="D54">
            <v>97</v>
          </cell>
          <cell r="E54">
            <v>85</v>
          </cell>
          <cell r="F54">
            <v>68</v>
          </cell>
          <cell r="G54">
            <v>56</v>
          </cell>
        </row>
        <row r="55">
          <cell r="A55" t="str">
            <v xml:space="preserve">Республика Ингушетия </v>
          </cell>
          <cell r="B55">
            <v>46</v>
          </cell>
          <cell r="C55">
            <v>32</v>
          </cell>
          <cell r="D55">
            <v>14</v>
          </cell>
          <cell r="E55">
            <v>10</v>
          </cell>
          <cell r="F55">
            <v>14</v>
          </cell>
          <cell r="G55">
            <v>10</v>
          </cell>
        </row>
        <row r="56">
          <cell r="A56" t="str">
            <v>Кабардино-Балкарская Республика</v>
          </cell>
          <cell r="B56">
            <v>242</v>
          </cell>
          <cell r="C56">
            <v>127</v>
          </cell>
          <cell r="D56">
            <v>57</v>
          </cell>
          <cell r="E56">
            <v>55</v>
          </cell>
          <cell r="F56">
            <v>43</v>
          </cell>
          <cell r="G56">
            <v>49</v>
          </cell>
        </row>
        <row r="57">
          <cell r="A57" t="str">
            <v>Карачаево-Черкесская Республика</v>
          </cell>
          <cell r="B57">
            <v>231</v>
          </cell>
          <cell r="C57">
            <v>177</v>
          </cell>
          <cell r="D57">
            <v>124</v>
          </cell>
          <cell r="E57">
            <v>122</v>
          </cell>
          <cell r="F57">
            <v>103</v>
          </cell>
          <cell r="G57">
            <v>95</v>
          </cell>
        </row>
        <row r="58">
          <cell r="A58" t="str">
            <v xml:space="preserve">Республика Северная Осетия </v>
          </cell>
          <cell r="B58">
            <v>314</v>
          </cell>
          <cell r="C58">
            <v>262</v>
          </cell>
          <cell r="D58">
            <v>111</v>
          </cell>
          <cell r="E58">
            <v>110</v>
          </cell>
          <cell r="F58">
            <v>111</v>
          </cell>
          <cell r="G58">
            <v>85</v>
          </cell>
        </row>
        <row r="59">
          <cell r="A59" t="str">
            <v xml:space="preserve">Чеченская Республика </v>
          </cell>
          <cell r="B59">
            <v>50</v>
          </cell>
          <cell r="C59">
            <v>51</v>
          </cell>
          <cell r="D59">
            <v>39</v>
          </cell>
          <cell r="E59">
            <v>36</v>
          </cell>
          <cell r="F59">
            <v>30</v>
          </cell>
          <cell r="G59">
            <v>28</v>
          </cell>
        </row>
        <row r="60">
          <cell r="A60" t="str">
            <v>Ставропольский край</v>
          </cell>
          <cell r="B60">
            <v>638</v>
          </cell>
          <cell r="C60">
            <v>647</v>
          </cell>
          <cell r="D60">
            <v>218</v>
          </cell>
          <cell r="E60">
            <v>299</v>
          </cell>
          <cell r="F60">
            <v>186</v>
          </cell>
          <cell r="G60">
            <v>173</v>
          </cell>
        </row>
        <row r="61">
          <cell r="A61" t="str">
            <v>Приволжский</v>
          </cell>
          <cell r="B61" t="str">
            <v>1 196</v>
          </cell>
          <cell r="C61">
            <v>1519</v>
          </cell>
          <cell r="D61">
            <v>813</v>
          </cell>
          <cell r="E61">
            <v>682</v>
          </cell>
          <cell r="F61">
            <v>567</v>
          </cell>
          <cell r="G61">
            <v>515</v>
          </cell>
        </row>
        <row r="62">
          <cell r="A62" t="str">
            <v>федеральный округ</v>
          </cell>
          <cell r="B62"/>
          <cell r="C62"/>
          <cell r="D62"/>
          <cell r="E62"/>
          <cell r="F62"/>
          <cell r="G62"/>
        </row>
        <row r="63">
          <cell r="A63" t="str">
            <v>Республика Башкортостан</v>
          </cell>
          <cell r="B63" t="str">
            <v>1 163</v>
          </cell>
          <cell r="C63">
            <v>1172</v>
          </cell>
          <cell r="D63">
            <v>633</v>
          </cell>
          <cell r="E63">
            <v>489</v>
          </cell>
          <cell r="F63">
            <v>415</v>
          </cell>
          <cell r="G63">
            <v>278</v>
          </cell>
        </row>
        <row r="64">
          <cell r="A64" t="str">
            <v>Республика Марий Эл</v>
          </cell>
          <cell r="B64" t="str">
            <v>2 277</v>
          </cell>
          <cell r="C64">
            <v>2831</v>
          </cell>
          <cell r="D64">
            <v>1914</v>
          </cell>
          <cell r="E64">
            <v>1890</v>
          </cell>
          <cell r="F64" t="str">
            <v>1 591</v>
          </cell>
          <cell r="G64">
            <v>1618</v>
          </cell>
        </row>
        <row r="65">
          <cell r="A65" t="str">
            <v>Республика Мордовия</v>
          </cell>
          <cell r="B65">
            <v>513</v>
          </cell>
          <cell r="C65">
            <v>595</v>
          </cell>
          <cell r="D65">
            <v>267</v>
          </cell>
          <cell r="E65">
            <v>430</v>
          </cell>
          <cell r="F65">
            <v>227</v>
          </cell>
          <cell r="G65">
            <v>225</v>
          </cell>
        </row>
        <row r="66">
          <cell r="A66" t="str">
            <v>Республика Татарстан</v>
          </cell>
          <cell r="B66" t="str">
            <v>1 421</v>
          </cell>
          <cell r="C66">
            <v>1556</v>
          </cell>
          <cell r="D66">
            <v>603</v>
          </cell>
          <cell r="E66">
            <v>429</v>
          </cell>
          <cell r="F66">
            <v>392</v>
          </cell>
          <cell r="G66">
            <v>349</v>
          </cell>
        </row>
        <row r="67">
          <cell r="A67" t="str">
            <v>Удмуртская Республика</v>
          </cell>
          <cell r="B67">
            <v>786</v>
          </cell>
          <cell r="C67">
            <v>1444</v>
          </cell>
          <cell r="D67">
            <v>627</v>
          </cell>
          <cell r="E67">
            <v>561</v>
          </cell>
          <cell r="F67">
            <v>592</v>
          </cell>
          <cell r="G67">
            <v>520</v>
          </cell>
        </row>
        <row r="68">
          <cell r="A68" t="str">
            <v>Чувашская Республика</v>
          </cell>
          <cell r="B68" t="str">
            <v>1 103</v>
          </cell>
          <cell r="C68">
            <v>1771</v>
          </cell>
          <cell r="D68">
            <v>762</v>
          </cell>
          <cell r="E68">
            <v>651</v>
          </cell>
          <cell r="F68">
            <v>486</v>
          </cell>
          <cell r="G68">
            <v>509</v>
          </cell>
        </row>
        <row r="69">
          <cell r="A69" t="str">
            <v>Пермский край</v>
          </cell>
          <cell r="B69" t="str">
            <v>1 287</v>
          </cell>
          <cell r="C69">
            <v>1526</v>
          </cell>
          <cell r="D69">
            <v>793</v>
          </cell>
          <cell r="E69">
            <v>631</v>
          </cell>
          <cell r="F69">
            <v>396</v>
          </cell>
          <cell r="G69">
            <v>370</v>
          </cell>
        </row>
        <row r="70">
          <cell r="A70" t="str">
            <v>Кировская область</v>
          </cell>
          <cell r="B70" t="str">
            <v>1 242</v>
          </cell>
          <cell r="C70">
            <v>1400</v>
          </cell>
          <cell r="D70">
            <v>862</v>
          </cell>
          <cell r="E70">
            <v>708</v>
          </cell>
          <cell r="F70">
            <v>621</v>
          </cell>
          <cell r="G70">
            <v>605</v>
          </cell>
        </row>
        <row r="71">
          <cell r="A71" t="str">
            <v>Нижегородская область</v>
          </cell>
          <cell r="B71" t="str">
            <v>2 216</v>
          </cell>
          <cell r="C71">
            <v>3205</v>
          </cell>
          <cell r="D71">
            <v>1782</v>
          </cell>
          <cell r="E71">
            <v>1740</v>
          </cell>
          <cell r="F71" t="str">
            <v>1 412</v>
          </cell>
          <cell r="G71">
            <v>1201</v>
          </cell>
        </row>
        <row r="72">
          <cell r="A72" t="str">
            <v>Оренбургская область</v>
          </cell>
          <cell r="B72">
            <v>510</v>
          </cell>
          <cell r="C72">
            <v>937</v>
          </cell>
          <cell r="D72">
            <v>372</v>
          </cell>
          <cell r="E72">
            <v>409</v>
          </cell>
          <cell r="F72">
            <v>345</v>
          </cell>
          <cell r="G72">
            <v>291</v>
          </cell>
        </row>
        <row r="73">
          <cell r="A73" t="str">
            <v>Пензенская область</v>
          </cell>
          <cell r="B73" t="str">
            <v>1 025</v>
          </cell>
          <cell r="C73">
            <v>1090</v>
          </cell>
          <cell r="D73">
            <v>631</v>
          </cell>
          <cell r="E73">
            <v>627</v>
          </cell>
          <cell r="F73">
            <v>469</v>
          </cell>
          <cell r="G73">
            <v>455</v>
          </cell>
        </row>
        <row r="74">
          <cell r="A74" t="str">
            <v>Самарская область</v>
          </cell>
          <cell r="B74">
            <v>737</v>
          </cell>
          <cell r="C74">
            <v>1126</v>
          </cell>
          <cell r="D74">
            <v>713</v>
          </cell>
          <cell r="E74">
            <v>506</v>
          </cell>
          <cell r="F74">
            <v>404</v>
          </cell>
          <cell r="G74">
            <v>285</v>
          </cell>
        </row>
        <row r="75">
          <cell r="A75" t="str">
            <v>Саратовская область</v>
          </cell>
          <cell r="B75" t="str">
            <v>1 173</v>
          </cell>
          <cell r="C75">
            <v>1310</v>
          </cell>
          <cell r="D75">
            <v>604</v>
          </cell>
          <cell r="E75">
            <v>452</v>
          </cell>
          <cell r="F75">
            <v>420</v>
          </cell>
          <cell r="G75">
            <v>405</v>
          </cell>
        </row>
        <row r="76">
          <cell r="A76" t="str">
            <v>Ульяновская область</v>
          </cell>
          <cell r="B76">
            <v>666</v>
          </cell>
          <cell r="C76">
            <v>803</v>
          </cell>
          <cell r="D76">
            <v>1171</v>
          </cell>
          <cell r="E76">
            <v>594</v>
          </cell>
          <cell r="F76">
            <v>660</v>
          </cell>
          <cell r="G76">
            <v>1143</v>
          </cell>
        </row>
        <row r="77">
          <cell r="A77" t="str">
            <v>Уральский</v>
          </cell>
          <cell r="B77">
            <v>749</v>
          </cell>
          <cell r="C77">
            <v>965</v>
          </cell>
          <cell r="D77">
            <v>614</v>
          </cell>
          <cell r="E77">
            <v>514</v>
          </cell>
          <cell r="F77">
            <v>473</v>
          </cell>
          <cell r="G77">
            <v>331</v>
          </cell>
        </row>
        <row r="78">
          <cell r="A78" t="str">
            <v>федеральный округ</v>
          </cell>
          <cell r="B78"/>
          <cell r="C78"/>
          <cell r="D78"/>
          <cell r="E78"/>
          <cell r="F78"/>
          <cell r="G78"/>
        </row>
        <row r="79">
          <cell r="A79" t="str">
            <v>Курганская область</v>
          </cell>
          <cell r="B79">
            <v>479</v>
          </cell>
          <cell r="C79">
            <v>534</v>
          </cell>
          <cell r="D79">
            <v>356</v>
          </cell>
          <cell r="E79">
            <v>259</v>
          </cell>
          <cell r="F79">
            <v>171</v>
          </cell>
          <cell r="G79">
            <v>196</v>
          </cell>
        </row>
        <row r="80">
          <cell r="A80" t="str">
            <v>Свердловская область</v>
          </cell>
          <cell r="B80">
            <v>630</v>
          </cell>
          <cell r="C80">
            <v>712</v>
          </cell>
          <cell r="D80">
            <v>521</v>
          </cell>
          <cell r="E80">
            <v>620</v>
          </cell>
          <cell r="F80">
            <v>471</v>
          </cell>
          <cell r="G80">
            <v>375</v>
          </cell>
        </row>
        <row r="81">
          <cell r="A81" t="str">
            <v>Тюменская область</v>
          </cell>
          <cell r="B81">
            <v>797</v>
          </cell>
          <cell r="C81">
            <v>605</v>
          </cell>
          <cell r="D81">
            <v>414</v>
          </cell>
          <cell r="E81">
            <v>277</v>
          </cell>
          <cell r="F81">
            <v>249</v>
          </cell>
          <cell r="G81">
            <v>204</v>
          </cell>
        </row>
        <row r="82">
          <cell r="A82" t="str">
            <v>в том числе:</v>
          </cell>
          <cell r="B82"/>
          <cell r="C82"/>
          <cell r="D82"/>
          <cell r="E82"/>
          <cell r="F82"/>
          <cell r="G82"/>
        </row>
        <row r="83">
          <cell r="A83" t="str">
            <v xml:space="preserve">Ханты-Мансийский автономный округ </v>
          </cell>
          <cell r="B83">
            <v>586</v>
          </cell>
          <cell r="C83">
            <v>332</v>
          </cell>
          <cell r="D83">
            <v>358</v>
          </cell>
          <cell r="E83">
            <v>333</v>
          </cell>
          <cell r="F83">
            <v>250</v>
          </cell>
          <cell r="G83">
            <v>222</v>
          </cell>
        </row>
        <row r="84">
          <cell r="A84" t="str">
            <v>Ямало-Ненецкий автономный округ</v>
          </cell>
          <cell r="B84">
            <v>182</v>
          </cell>
          <cell r="C84">
            <v>151</v>
          </cell>
          <cell r="D84">
            <v>222</v>
          </cell>
          <cell r="E84">
            <v>197</v>
          </cell>
          <cell r="F84">
            <v>185</v>
          </cell>
          <cell r="G84">
            <v>172</v>
          </cell>
        </row>
        <row r="85">
          <cell r="A85" t="str">
            <v>Тюменская область без автономных округов</v>
          </cell>
          <cell r="B85" t="str">
            <v>1 280</v>
          </cell>
          <cell r="C85">
            <v>1070</v>
          </cell>
          <cell r="D85">
            <v>536</v>
          </cell>
          <cell r="E85">
            <v>243</v>
          </cell>
          <cell r="F85">
            <v>269</v>
          </cell>
          <cell r="G85">
            <v>193</v>
          </cell>
        </row>
        <row r="86">
          <cell r="A86" t="str">
            <v>Челябинская область</v>
          </cell>
          <cell r="B86">
            <v>920</v>
          </cell>
          <cell r="C86">
            <v>1753</v>
          </cell>
          <cell r="D86">
            <v>1008</v>
          </cell>
          <cell r="E86">
            <v>703</v>
          </cell>
          <cell r="F86">
            <v>796</v>
          </cell>
          <cell r="G86">
            <v>450</v>
          </cell>
        </row>
        <row r="87">
          <cell r="A87" t="str">
            <v>Сибирский</v>
          </cell>
          <cell r="B87">
            <v>680</v>
          </cell>
          <cell r="C87">
            <v>752</v>
          </cell>
          <cell r="D87">
            <v>536</v>
          </cell>
          <cell r="E87">
            <v>459</v>
          </cell>
          <cell r="F87">
            <v>351</v>
          </cell>
          <cell r="G87">
            <v>307</v>
          </cell>
        </row>
        <row r="88">
          <cell r="A88" t="str">
            <v>федеральный округ</v>
          </cell>
          <cell r="B88"/>
          <cell r="C88"/>
          <cell r="D88"/>
          <cell r="E88"/>
          <cell r="F88"/>
          <cell r="G88"/>
        </row>
        <row r="89">
          <cell r="A89" t="str">
            <v>Республика Алтай</v>
          </cell>
          <cell r="B89">
            <v>146</v>
          </cell>
          <cell r="C89">
            <v>332</v>
          </cell>
          <cell r="D89">
            <v>435</v>
          </cell>
          <cell r="E89">
            <v>418</v>
          </cell>
          <cell r="F89">
            <v>408</v>
          </cell>
          <cell r="G89">
            <v>318</v>
          </cell>
        </row>
        <row r="90">
          <cell r="A90" t="str">
            <v>Республика Тыва</v>
          </cell>
          <cell r="B90">
            <v>247</v>
          </cell>
          <cell r="C90">
            <v>222</v>
          </cell>
          <cell r="D90">
            <v>137</v>
          </cell>
          <cell r="E90">
            <v>91</v>
          </cell>
          <cell r="F90">
            <v>78</v>
          </cell>
          <cell r="G90">
            <v>73</v>
          </cell>
        </row>
        <row r="91">
          <cell r="A91" t="str">
            <v>Республика Хакасия</v>
          </cell>
          <cell r="B91">
            <v>522</v>
          </cell>
          <cell r="C91">
            <v>557</v>
          </cell>
          <cell r="D91">
            <v>567</v>
          </cell>
          <cell r="E91">
            <v>623</v>
          </cell>
          <cell r="F91">
            <v>626</v>
          </cell>
          <cell r="G91">
            <v>788</v>
          </cell>
        </row>
        <row r="92">
          <cell r="A92" t="str">
            <v>Алтайский край</v>
          </cell>
          <cell r="B92">
            <v>654</v>
          </cell>
          <cell r="C92">
            <v>674</v>
          </cell>
          <cell r="D92">
            <v>541</v>
          </cell>
          <cell r="E92">
            <v>542</v>
          </cell>
          <cell r="F92">
            <v>399</v>
          </cell>
          <cell r="G92">
            <v>294</v>
          </cell>
        </row>
        <row r="93">
          <cell r="A93" t="str">
            <v>Красноярский край</v>
          </cell>
          <cell r="B93">
            <v>578</v>
          </cell>
          <cell r="C93">
            <v>711</v>
          </cell>
          <cell r="D93">
            <v>472</v>
          </cell>
          <cell r="E93">
            <v>400</v>
          </cell>
          <cell r="F93">
            <v>259</v>
          </cell>
          <cell r="G93">
            <v>314</v>
          </cell>
        </row>
        <row r="94">
          <cell r="A94" t="str">
            <v>Иркутская область</v>
          </cell>
          <cell r="B94">
            <v>739</v>
          </cell>
          <cell r="C94">
            <v>747</v>
          </cell>
          <cell r="D94">
            <v>494</v>
          </cell>
          <cell r="E94">
            <v>640</v>
          </cell>
          <cell r="F94">
            <v>375</v>
          </cell>
          <cell r="G94">
            <v>354</v>
          </cell>
        </row>
        <row r="95">
          <cell r="A95" t="str">
            <v>Кемеровская область</v>
          </cell>
          <cell r="B95">
            <v>496</v>
          </cell>
          <cell r="C95">
            <v>674</v>
          </cell>
          <cell r="D95">
            <v>390</v>
          </cell>
          <cell r="E95">
            <v>280</v>
          </cell>
          <cell r="F95">
            <v>182</v>
          </cell>
          <cell r="G95">
            <v>122</v>
          </cell>
        </row>
        <row r="96">
          <cell r="A96" t="str">
            <v>Новосибирская область</v>
          </cell>
          <cell r="B96">
            <v>906</v>
          </cell>
          <cell r="C96">
            <v>887</v>
          </cell>
          <cell r="D96">
            <v>688</v>
          </cell>
          <cell r="E96">
            <v>478</v>
          </cell>
          <cell r="F96">
            <v>498</v>
          </cell>
          <cell r="G96">
            <v>363</v>
          </cell>
        </row>
        <row r="97">
          <cell r="A97" t="str">
            <v>Омская область</v>
          </cell>
          <cell r="B97">
            <v>857</v>
          </cell>
          <cell r="C97">
            <v>840</v>
          </cell>
          <cell r="D97">
            <v>374</v>
          </cell>
          <cell r="E97">
            <v>361</v>
          </cell>
          <cell r="F97">
            <v>315</v>
          </cell>
          <cell r="G97">
            <v>266</v>
          </cell>
        </row>
        <row r="98">
          <cell r="A98" t="str">
            <v>Томская область</v>
          </cell>
          <cell r="B98">
            <v>759</v>
          </cell>
          <cell r="C98">
            <v>1062</v>
          </cell>
          <cell r="D98">
            <v>587</v>
          </cell>
          <cell r="E98">
            <v>655</v>
          </cell>
          <cell r="F98">
            <v>505</v>
          </cell>
          <cell r="G98">
            <v>416</v>
          </cell>
        </row>
        <row r="99">
          <cell r="A99" t="str">
            <v>Дальневосточный</v>
          </cell>
          <cell r="B99">
            <v>477</v>
          </cell>
          <cell r="C99">
            <v>678</v>
          </cell>
          <cell r="D99">
            <v>291</v>
          </cell>
          <cell r="E99">
            <v>273</v>
          </cell>
          <cell r="F99">
            <v>216</v>
          </cell>
          <cell r="G99">
            <v>201</v>
          </cell>
        </row>
        <row r="100">
          <cell r="A100" t="str">
            <v>федеральный округ</v>
          </cell>
          <cell r="B100"/>
          <cell r="C100"/>
          <cell r="D100"/>
          <cell r="E100"/>
          <cell r="F100"/>
          <cell r="G100"/>
        </row>
        <row r="101">
          <cell r="A101" t="str">
            <v>Республика Бурятия</v>
          </cell>
          <cell r="B101">
            <v>361</v>
          </cell>
          <cell r="C101">
            <v>595</v>
          </cell>
          <cell r="D101">
            <v>311</v>
          </cell>
          <cell r="E101">
            <v>289</v>
          </cell>
          <cell r="F101">
            <v>280</v>
          </cell>
          <cell r="G101">
            <v>342</v>
          </cell>
        </row>
        <row r="102">
          <cell r="A102" t="str">
            <v>Республика Саха (Якутия)</v>
          </cell>
          <cell r="B102">
            <v>370</v>
          </cell>
          <cell r="C102">
            <v>430</v>
          </cell>
          <cell r="D102">
            <v>226</v>
          </cell>
          <cell r="E102">
            <v>141</v>
          </cell>
          <cell r="F102">
            <v>109</v>
          </cell>
          <cell r="G102">
            <v>135</v>
          </cell>
        </row>
        <row r="103">
          <cell r="A103" t="str">
            <v>Забайкальский край</v>
          </cell>
          <cell r="B103">
            <v>271</v>
          </cell>
          <cell r="C103">
            <v>416</v>
          </cell>
          <cell r="D103">
            <v>301</v>
          </cell>
          <cell r="E103">
            <v>225</v>
          </cell>
          <cell r="F103">
            <v>185</v>
          </cell>
          <cell r="G103">
            <v>163</v>
          </cell>
        </row>
        <row r="104">
          <cell r="A104" t="str">
            <v>Камчатский край</v>
          </cell>
          <cell r="B104" t="str">
            <v>1 451</v>
          </cell>
          <cell r="C104">
            <v>1764</v>
          </cell>
          <cell r="D104">
            <v>721</v>
          </cell>
          <cell r="E104">
            <v>698</v>
          </cell>
          <cell r="F104">
            <v>665</v>
          </cell>
          <cell r="G104">
            <v>487</v>
          </cell>
        </row>
        <row r="105">
          <cell r="A105" t="str">
            <v>Приморский край</v>
          </cell>
          <cell r="B105">
            <v>735</v>
          </cell>
          <cell r="C105">
            <v>1091</v>
          </cell>
          <cell r="D105">
            <v>220</v>
          </cell>
          <cell r="E105">
            <v>264</v>
          </cell>
          <cell r="F105">
            <v>217</v>
          </cell>
          <cell r="G105">
            <v>150</v>
          </cell>
        </row>
        <row r="106">
          <cell r="A106" t="str">
            <v>Хабаровский край</v>
          </cell>
          <cell r="B106">
            <v>320</v>
          </cell>
          <cell r="C106">
            <v>478</v>
          </cell>
          <cell r="D106">
            <v>264</v>
          </cell>
          <cell r="E106">
            <v>223</v>
          </cell>
          <cell r="F106">
            <v>216</v>
          </cell>
          <cell r="G106">
            <v>193</v>
          </cell>
        </row>
        <row r="107">
          <cell r="A107" t="str">
            <v>Амурская область</v>
          </cell>
          <cell r="B107">
            <v>345</v>
          </cell>
          <cell r="C107">
            <v>626</v>
          </cell>
          <cell r="D107">
            <v>393</v>
          </cell>
          <cell r="E107">
            <v>463</v>
          </cell>
          <cell r="F107">
            <v>227</v>
          </cell>
          <cell r="G107">
            <v>208</v>
          </cell>
        </row>
        <row r="108">
          <cell r="A108" t="str">
            <v>Магаданская область</v>
          </cell>
          <cell r="B108">
            <v>492</v>
          </cell>
          <cell r="C108">
            <v>443</v>
          </cell>
          <cell r="D108">
            <v>261</v>
          </cell>
          <cell r="E108">
            <v>277</v>
          </cell>
          <cell r="F108">
            <v>279</v>
          </cell>
          <cell r="G108">
            <v>280</v>
          </cell>
        </row>
        <row r="109">
          <cell r="A109" t="str">
            <v>Сахалинская область</v>
          </cell>
          <cell r="B109">
            <v>495</v>
          </cell>
          <cell r="C109">
            <v>460</v>
          </cell>
          <cell r="D109">
            <v>344</v>
          </cell>
          <cell r="E109">
            <v>274</v>
          </cell>
          <cell r="F109">
            <v>145</v>
          </cell>
          <cell r="G109">
            <v>160</v>
          </cell>
        </row>
        <row r="110">
          <cell r="A110" t="str">
            <v>Еврейская автономная область</v>
          </cell>
          <cell r="B110">
            <v>180</v>
          </cell>
          <cell r="C110">
            <v>354</v>
          </cell>
          <cell r="D110">
            <v>204</v>
          </cell>
          <cell r="E110">
            <v>177</v>
          </cell>
          <cell r="F110">
            <v>189</v>
          </cell>
          <cell r="G110">
            <v>173</v>
          </cell>
        </row>
        <row r="111">
          <cell r="A111" t="str">
            <v>Чукотский автономный округ</v>
          </cell>
          <cell r="B111">
            <v>223</v>
          </cell>
          <cell r="C111">
            <v>140</v>
          </cell>
          <cell r="D111">
            <v>119</v>
          </cell>
          <cell r="E111">
            <v>115</v>
          </cell>
          <cell r="F111">
            <v>113</v>
          </cell>
          <cell r="G111">
            <v>108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>
            <v>152</v>
          </cell>
          <cell r="F2">
            <v>59.5</v>
          </cell>
        </row>
        <row r="3">
          <cell r="F3">
            <v>33.1</v>
          </cell>
        </row>
        <row r="4">
          <cell r="F4">
            <v>46.3</v>
          </cell>
        </row>
        <row r="5">
          <cell r="F5">
            <v>69.400000000000006</v>
          </cell>
        </row>
        <row r="6">
          <cell r="F6">
            <v>25.4</v>
          </cell>
        </row>
        <row r="7">
          <cell r="F7">
            <v>27</v>
          </cell>
        </row>
        <row r="8">
          <cell r="F8">
            <v>25.1</v>
          </cell>
        </row>
        <row r="9">
          <cell r="F9">
            <v>29</v>
          </cell>
        </row>
        <row r="10">
          <cell r="F10">
            <v>43.8</v>
          </cell>
        </row>
        <row r="11">
          <cell r="F11">
            <v>104.8</v>
          </cell>
        </row>
        <row r="12">
          <cell r="F12">
            <v>23.7</v>
          </cell>
        </row>
        <row r="13">
          <cell r="F13">
            <v>20.7</v>
          </cell>
        </row>
        <row r="14">
          <cell r="F14">
            <v>14</v>
          </cell>
        </row>
        <row r="15">
          <cell r="F15">
            <v>48.9</v>
          </cell>
        </row>
        <row r="16">
          <cell r="F16">
            <v>55.5</v>
          </cell>
        </row>
        <row r="17">
          <cell r="F17">
            <v>31.3</v>
          </cell>
        </row>
        <row r="18">
          <cell r="F18">
            <v>46</v>
          </cell>
        </row>
        <row r="19">
          <cell r="F19">
            <v>1.1000000000000001</v>
          </cell>
        </row>
        <row r="20">
          <cell r="F20">
            <v>4.5</v>
          </cell>
        </row>
        <row r="21">
          <cell r="F21">
            <v>28.9</v>
          </cell>
        </row>
        <row r="22">
          <cell r="F22">
            <v>31.7</v>
          </cell>
        </row>
        <row r="23">
          <cell r="F23">
            <v>29.9</v>
          </cell>
        </row>
        <row r="24">
          <cell r="F24">
            <v>33.1</v>
          </cell>
        </row>
        <row r="25">
          <cell r="F25">
            <v>46.1</v>
          </cell>
        </row>
        <row r="26">
          <cell r="F26">
            <v>60.5</v>
          </cell>
        </row>
        <row r="27">
          <cell r="F27">
            <v>7.3</v>
          </cell>
        </row>
        <row r="28">
          <cell r="F28">
            <v>16.399999999999999</v>
          </cell>
        </row>
        <row r="29">
          <cell r="F29">
            <v>12</v>
          </cell>
        </row>
        <row r="30">
          <cell r="F30">
            <v>35.200000000000003</v>
          </cell>
        </row>
        <row r="31">
          <cell r="F31">
            <v>4.9000000000000004</v>
          </cell>
        </row>
        <row r="32">
          <cell r="F32">
            <v>67.7</v>
          </cell>
        </row>
        <row r="33">
          <cell r="F33">
            <v>191.4</v>
          </cell>
        </row>
        <row r="34">
          <cell r="F34">
            <v>14</v>
          </cell>
        </row>
        <row r="35">
          <cell r="F35">
            <v>78.3</v>
          </cell>
        </row>
        <row r="36">
          <cell r="F36">
            <v>59.3</v>
          </cell>
        </row>
        <row r="37">
          <cell r="F37">
            <v>4.8</v>
          </cell>
        </row>
        <row r="38">
          <cell r="F38">
            <v>26.4</v>
          </cell>
        </row>
        <row r="39">
          <cell r="F39">
            <v>2.6</v>
          </cell>
        </row>
        <row r="40">
          <cell r="F40">
            <v>6.6</v>
          </cell>
        </row>
        <row r="41">
          <cell r="F41">
            <v>16.5</v>
          </cell>
        </row>
        <row r="42">
          <cell r="F42">
            <v>9</v>
          </cell>
        </row>
        <row r="43">
          <cell r="F43">
            <v>78.099999999999994</v>
          </cell>
        </row>
        <row r="44">
          <cell r="F44">
            <v>174.7</v>
          </cell>
        </row>
        <row r="45">
          <cell r="F45">
            <v>22.1</v>
          </cell>
        </row>
        <row r="46">
          <cell r="F46">
            <v>23.6</v>
          </cell>
        </row>
        <row r="47">
          <cell r="F47">
            <v>147</v>
          </cell>
        </row>
        <row r="48">
          <cell r="F48">
            <v>55.9</v>
          </cell>
        </row>
        <row r="49">
          <cell r="F49">
            <v>31.9</v>
          </cell>
        </row>
        <row r="50">
          <cell r="F50">
            <v>97.6</v>
          </cell>
        </row>
        <row r="51">
          <cell r="F51">
            <v>51.1</v>
          </cell>
        </row>
        <row r="52">
          <cell r="F52">
            <v>97.5</v>
          </cell>
        </row>
        <row r="53">
          <cell r="F53">
            <v>61.5</v>
          </cell>
        </row>
        <row r="54">
          <cell r="F54">
            <v>38.5</v>
          </cell>
        </row>
        <row r="55">
          <cell r="F55">
            <v>93.5</v>
          </cell>
        </row>
        <row r="56">
          <cell r="F56">
            <v>50.8</v>
          </cell>
        </row>
        <row r="57">
          <cell r="F57">
            <v>40.700000000000003</v>
          </cell>
        </row>
        <row r="58">
          <cell r="F58">
            <v>36.6</v>
          </cell>
        </row>
        <row r="59">
          <cell r="F59">
            <v>180.2</v>
          </cell>
        </row>
        <row r="60">
          <cell r="F60">
            <v>49</v>
          </cell>
        </row>
        <row r="61">
          <cell r="F61">
            <v>100.9</v>
          </cell>
        </row>
        <row r="62">
          <cell r="F62">
            <v>140.1</v>
          </cell>
        </row>
        <row r="63">
          <cell r="F63">
            <v>10</v>
          </cell>
        </row>
        <row r="64">
          <cell r="F64">
            <v>16.7</v>
          </cell>
        </row>
        <row r="65">
          <cell r="F65">
            <v>21.9</v>
          </cell>
        </row>
        <row r="66">
          <cell r="F66">
            <v>97.8</v>
          </cell>
        </row>
        <row r="67">
          <cell r="F67">
            <v>107.4</v>
          </cell>
        </row>
        <row r="68">
          <cell r="F68">
            <v>79.900000000000006</v>
          </cell>
        </row>
        <row r="69">
          <cell r="F69">
            <v>103.9</v>
          </cell>
        </row>
        <row r="70">
          <cell r="F70">
            <v>107.1</v>
          </cell>
        </row>
        <row r="71">
          <cell r="F71">
            <v>67.2</v>
          </cell>
        </row>
        <row r="72">
          <cell r="F72">
            <v>42.8</v>
          </cell>
        </row>
        <row r="73">
          <cell r="F73">
            <v>31.8</v>
          </cell>
        </row>
        <row r="74">
          <cell r="F74">
            <v>34.5</v>
          </cell>
        </row>
        <row r="75">
          <cell r="F75">
            <v>37.200000000000003</v>
          </cell>
        </row>
        <row r="76">
          <cell r="F76">
            <v>12.9</v>
          </cell>
        </row>
        <row r="77">
          <cell r="F77">
            <v>92.2</v>
          </cell>
        </row>
        <row r="78">
          <cell r="F78">
            <v>40.299999999999997</v>
          </cell>
        </row>
        <row r="79">
          <cell r="F79">
            <v>19.7</v>
          </cell>
        </row>
        <row r="80">
          <cell r="F80">
            <v>7.3</v>
          </cell>
        </row>
        <row r="81">
          <cell r="F81">
            <v>27.3</v>
          </cell>
        </row>
        <row r="82">
          <cell r="F82">
            <v>8.1999999999999993</v>
          </cell>
        </row>
        <row r="83">
          <cell r="F83">
            <v>4.2</v>
          </cell>
        </row>
      </sheetData>
      <sheetData sheetId="12">
        <row r="2">
          <cell r="C2">
            <v>47257</v>
          </cell>
          <cell r="E2">
            <v>55.376383763837637</v>
          </cell>
          <cell r="G2">
            <v>1500.7</v>
          </cell>
        </row>
        <row r="3">
          <cell r="E3">
            <v>32.733524355300865</v>
          </cell>
          <cell r="G3">
            <v>1142.4000000000001</v>
          </cell>
        </row>
        <row r="4">
          <cell r="E4">
            <v>45.013745704467354</v>
          </cell>
          <cell r="G4">
            <v>1309.9000000000001</v>
          </cell>
        </row>
        <row r="5">
          <cell r="E5">
            <v>43.551724137931032</v>
          </cell>
          <cell r="G5">
            <v>2273.4</v>
          </cell>
        </row>
        <row r="6">
          <cell r="E6">
            <v>42.331775700934578</v>
          </cell>
          <cell r="G6">
            <v>905.9</v>
          </cell>
        </row>
        <row r="7">
          <cell r="E7">
            <v>35.852348993288594</v>
          </cell>
          <cell r="G7">
            <v>1068.4000000000001</v>
          </cell>
        </row>
        <row r="8">
          <cell r="E8">
            <v>9.4069767441860446</v>
          </cell>
          <cell r="G8">
            <v>566.29999999999995</v>
          </cell>
        </row>
        <row r="9">
          <cell r="E9">
            <v>35.363333333333337</v>
          </cell>
          <cell r="G9">
            <v>1060.9000000000001</v>
          </cell>
        </row>
        <row r="10">
          <cell r="E10">
            <v>46.512499999999996</v>
          </cell>
          <cell r="G10">
            <v>1116.3</v>
          </cell>
        </row>
        <row r="11">
          <cell r="E11">
            <v>195.28893905191873</v>
          </cell>
          <cell r="G11">
            <v>8651.2999999999993</v>
          </cell>
        </row>
        <row r="12">
          <cell r="E12">
            <v>28.036437246963562</v>
          </cell>
          <cell r="G12">
            <v>692.5</v>
          </cell>
        </row>
        <row r="13">
          <cell r="E13">
            <v>27.328282828282827</v>
          </cell>
          <cell r="G13">
            <v>1082.2</v>
          </cell>
        </row>
        <row r="14">
          <cell r="E14">
            <v>17.349397590361448</v>
          </cell>
          <cell r="G14">
            <v>864</v>
          </cell>
        </row>
        <row r="15">
          <cell r="E15">
            <v>27.718840579710143</v>
          </cell>
          <cell r="G15">
            <v>956.3</v>
          </cell>
        </row>
        <row r="16">
          <cell r="E16">
            <v>14.248218527315915</v>
          </cell>
          <cell r="G16">
            <v>1199.7</v>
          </cell>
        </row>
        <row r="17">
          <cell r="E17">
            <v>57.24124513618677</v>
          </cell>
          <cell r="G17">
            <v>1471.1</v>
          </cell>
        </row>
        <row r="18">
          <cell r="E18">
            <v>32.806629834254139</v>
          </cell>
          <cell r="G18">
            <v>1187.5999999999999</v>
          </cell>
        </row>
        <row r="19">
          <cell r="E19">
            <v>5057.6153846153838</v>
          </cell>
          <cell r="G19">
            <v>13149.8</v>
          </cell>
        </row>
        <row r="20">
          <cell r="E20">
            <v>2.9024930747922437</v>
          </cell>
          <cell r="G20">
            <v>523.9</v>
          </cell>
        </row>
        <row r="21">
          <cell r="E21">
            <v>1.7288867562380039</v>
          </cell>
          <cell r="G21">
            <v>720.6</v>
          </cell>
        </row>
        <row r="22">
          <cell r="E22">
            <v>1.6919816918121717</v>
          </cell>
          <cell r="G22">
            <v>998.1</v>
          </cell>
        </row>
        <row r="23">
          <cell r="E23">
            <v>2.3139675623335751</v>
          </cell>
          <cell r="G23">
            <v>955.9</v>
          </cell>
        </row>
        <row r="24">
          <cell r="E24">
            <v>7.7605536332179934</v>
          </cell>
          <cell r="G24">
            <v>1121.4000000000001</v>
          </cell>
        </row>
        <row r="25">
          <cell r="E25">
            <v>68.47019867549669</v>
          </cell>
          <cell r="G25">
            <v>1033.9000000000001</v>
          </cell>
        </row>
        <row r="26">
          <cell r="E26">
            <v>24.264600715137068</v>
          </cell>
          <cell r="G26">
            <v>2035.8</v>
          </cell>
        </row>
        <row r="27">
          <cell r="E27">
            <v>4.5300207039337472</v>
          </cell>
          <cell r="G27">
            <v>656.4</v>
          </cell>
        </row>
        <row r="28">
          <cell r="E28">
            <v>10.48440366972477</v>
          </cell>
          <cell r="G28">
            <v>571.4</v>
          </cell>
        </row>
        <row r="29">
          <cell r="E29">
            <v>10.489169675090253</v>
          </cell>
          <cell r="G29">
            <v>581.1</v>
          </cell>
        </row>
        <row r="30">
          <cell r="E30">
            <v>3998.428571428572</v>
          </cell>
          <cell r="G30">
            <v>5597.8</v>
          </cell>
        </row>
        <row r="31">
          <cell r="E31">
            <v>64.179487179487182</v>
          </cell>
          <cell r="G31">
            <v>500.6</v>
          </cell>
        </row>
        <row r="32">
          <cell r="E32">
            <v>73.160919540229884</v>
          </cell>
          <cell r="G32">
            <v>1909.5</v>
          </cell>
        </row>
        <row r="33">
          <cell r="E33">
            <v>77.258278145695371</v>
          </cell>
          <cell r="G33">
            <v>5833</v>
          </cell>
        </row>
        <row r="34">
          <cell r="E34">
            <v>19.314285714285713</v>
          </cell>
          <cell r="G34">
            <v>946.4</v>
          </cell>
        </row>
        <row r="35">
          <cell r="E35">
            <v>21.735163861824624</v>
          </cell>
          <cell r="G35">
            <v>2453.9</v>
          </cell>
        </row>
        <row r="36">
          <cell r="E36">
            <v>41.113861386138616</v>
          </cell>
          <cell r="G36">
            <v>4152.5</v>
          </cell>
        </row>
        <row r="37">
          <cell r="E37">
            <v>623.77777777777771</v>
          </cell>
          <cell r="G37">
            <v>561.4</v>
          </cell>
        </row>
        <row r="38">
          <cell r="E38">
            <v>64.258449304174945</v>
          </cell>
          <cell r="G38">
            <v>3232.2</v>
          </cell>
        </row>
        <row r="39">
          <cell r="E39">
            <v>72.44</v>
          </cell>
          <cell r="G39">
            <v>905.5</v>
          </cell>
        </row>
        <row r="40">
          <cell r="E40">
            <v>32.748251748251747</v>
          </cell>
          <cell r="G40">
            <v>468.3</v>
          </cell>
        </row>
        <row r="41">
          <cell r="E41">
            <v>84.862499999999997</v>
          </cell>
          <cell r="G41">
            <v>678.9</v>
          </cell>
        </row>
        <row r="42">
          <cell r="E42">
            <v>95.85802469135804</v>
          </cell>
          <cell r="G42">
            <v>1552.9</v>
          </cell>
        </row>
        <row r="43">
          <cell r="E43">
            <v>43.596676737160116</v>
          </cell>
          <cell r="G43">
            <v>2886.1</v>
          </cell>
        </row>
        <row r="44">
          <cell r="E44">
            <v>28.441567529741079</v>
          </cell>
          <cell r="G44">
            <v>4064.3</v>
          </cell>
        </row>
        <row r="45">
          <cell r="E45">
            <v>28.623931623931625</v>
          </cell>
          <cell r="G45">
            <v>669.8</v>
          </cell>
        </row>
        <row r="46">
          <cell r="E46">
            <v>29.344827586206893</v>
          </cell>
          <cell r="G46">
            <v>765.9</v>
          </cell>
        </row>
        <row r="47">
          <cell r="E47">
            <v>59.041297935103245</v>
          </cell>
          <cell r="G47">
            <v>4003</v>
          </cell>
        </row>
        <row r="48">
          <cell r="E48">
            <v>34.076009501187642</v>
          </cell>
          <cell r="G48">
            <v>1434.6</v>
          </cell>
        </row>
        <row r="49">
          <cell r="E49">
            <v>63.775956284152997</v>
          </cell>
          <cell r="G49">
            <v>1167.0999999999999</v>
          </cell>
        </row>
        <row r="50">
          <cell r="E50">
            <v>15.576154806491887</v>
          </cell>
          <cell r="G50">
            <v>2495.3000000000002</v>
          </cell>
        </row>
        <row r="51">
          <cell r="E51">
            <v>9.3845514950166109</v>
          </cell>
          <cell r="G51">
            <v>1129.9000000000001</v>
          </cell>
        </row>
        <row r="52">
          <cell r="E52">
            <v>39.951697127937344</v>
          </cell>
          <cell r="G52">
            <v>3060.3</v>
          </cell>
        </row>
        <row r="53">
          <cell r="E53">
            <v>14.783346806790622</v>
          </cell>
          <cell r="G53">
            <v>1828.7</v>
          </cell>
        </row>
        <row r="54">
          <cell r="E54">
            <v>28.481566820276498</v>
          </cell>
          <cell r="G54">
            <v>1236.0999999999999</v>
          </cell>
        </row>
        <row r="55">
          <cell r="E55">
            <v>58.354477611940297</v>
          </cell>
          <cell r="G55">
            <v>3127.8</v>
          </cell>
        </row>
        <row r="56">
          <cell r="E56">
            <v>23.569169960474305</v>
          </cell>
          <cell r="G56">
            <v>2385.1999999999998</v>
          </cell>
        </row>
        <row r="57">
          <cell r="E57">
            <v>31.526881720430104</v>
          </cell>
          <cell r="G57">
            <v>1172.8</v>
          </cell>
        </row>
        <row r="58">
          <cell r="E58">
            <v>21.744078269824922</v>
          </cell>
          <cell r="G58">
            <v>4222.7</v>
          </cell>
        </row>
        <row r="59">
          <cell r="E59">
            <v>2.6572872558393663</v>
          </cell>
          <cell r="G59">
            <v>3890.8</v>
          </cell>
        </row>
        <row r="60">
          <cell r="E60">
            <v>3.289827973074047</v>
          </cell>
          <cell r="G60">
            <v>1759.4</v>
          </cell>
        </row>
        <row r="61">
          <cell r="E61">
            <v>10.089943785134292</v>
          </cell>
          <cell r="G61">
            <v>1615.4</v>
          </cell>
        </row>
        <row r="62">
          <cell r="E62">
            <v>38.327313769751697</v>
          </cell>
          <cell r="G62">
            <v>3395.8</v>
          </cell>
        </row>
        <row r="63">
          <cell r="E63">
            <v>2.2691065662002154</v>
          </cell>
          <cell r="G63">
            <v>210.8</v>
          </cell>
        </row>
        <row r="64">
          <cell r="E64">
            <v>2.0017793594306053</v>
          </cell>
          <cell r="G64">
            <v>337.5</v>
          </cell>
        </row>
        <row r="65">
          <cell r="E65">
            <v>8.5746753246753258</v>
          </cell>
          <cell r="G65">
            <v>528.20000000000005</v>
          </cell>
        </row>
        <row r="66">
          <cell r="E66">
            <v>12.59107142857143</v>
          </cell>
          <cell r="G66">
            <v>2115.3000000000002</v>
          </cell>
        </row>
        <row r="67">
          <cell r="E67">
            <v>1.2025097177623794</v>
          </cell>
          <cell r="G67">
            <v>2846.1</v>
          </cell>
        </row>
        <row r="68">
          <cell r="E68">
            <v>3.0078729994837379</v>
          </cell>
          <cell r="G68">
            <v>2330.5</v>
          </cell>
        </row>
        <row r="69">
          <cell r="E69">
            <v>26.621734587251826</v>
          </cell>
          <cell r="G69">
            <v>2547.6999999999998</v>
          </cell>
        </row>
        <row r="70">
          <cell r="E70">
            <v>15.688976377952756</v>
          </cell>
          <cell r="G70">
            <v>2789.5</v>
          </cell>
        </row>
        <row r="71">
          <cell r="E71">
            <v>12.885187810063785</v>
          </cell>
          <cell r="G71">
            <v>1818.1</v>
          </cell>
        </row>
        <row r="72">
          <cell r="E72">
            <v>3.3187022900763363</v>
          </cell>
          <cell r="G72">
            <v>1043.4000000000001</v>
          </cell>
        </row>
        <row r="73">
          <cell r="E73">
            <v>2.7665812695701679</v>
          </cell>
          <cell r="G73">
            <v>971.9</v>
          </cell>
        </row>
        <row r="74">
          <cell r="E74">
            <v>0.32485811577752555</v>
          </cell>
          <cell r="G74">
            <v>1001.7</v>
          </cell>
        </row>
        <row r="75">
          <cell r="E75">
            <v>2.2792313035424869</v>
          </cell>
          <cell r="G75">
            <v>984.4</v>
          </cell>
        </row>
        <row r="76">
          <cell r="E76">
            <v>0.62222700839974143</v>
          </cell>
          <cell r="G76">
            <v>288.89999999999998</v>
          </cell>
        </row>
        <row r="77">
          <cell r="E77">
            <v>10.96782027929569</v>
          </cell>
          <cell r="G77">
            <v>1806.4</v>
          </cell>
        </row>
        <row r="78">
          <cell r="E78">
            <v>1.6227780599288977</v>
          </cell>
          <cell r="G78">
            <v>1278.0999999999999</v>
          </cell>
        </row>
        <row r="79">
          <cell r="E79">
            <v>2.0726720088422219</v>
          </cell>
          <cell r="G79">
            <v>750.1</v>
          </cell>
        </row>
        <row r="80">
          <cell r="E80">
            <v>0.28843243243243244</v>
          </cell>
          <cell r="G80">
            <v>133.4</v>
          </cell>
        </row>
        <row r="81">
          <cell r="E81">
            <v>5.253731343283583</v>
          </cell>
          <cell r="G81">
            <v>457.6</v>
          </cell>
        </row>
        <row r="82">
          <cell r="E82">
            <v>4.0165289256198351</v>
          </cell>
          <cell r="G82">
            <v>145.80000000000001</v>
          </cell>
        </row>
        <row r="83">
          <cell r="E83">
            <v>6.6528066528066532E-2</v>
          </cell>
          <cell r="G83">
            <v>48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5927-4CE5-40A1-902B-DB4171E3A44E}">
  <dimension ref="A1:T115"/>
  <sheetViews>
    <sheetView topLeftCell="D1" workbookViewId="0">
      <selection activeCell="T8" sqref="T8"/>
    </sheetView>
  </sheetViews>
  <sheetFormatPr defaultRowHeight="14.4" x14ac:dyDescent="0.3"/>
  <sheetData>
    <row r="1" spans="1:20" x14ac:dyDescent="0.3">
      <c r="A1" s="50"/>
      <c r="B1" s="53" t="s">
        <v>108</v>
      </c>
      <c r="C1" s="54"/>
      <c r="D1" s="54"/>
      <c r="E1" s="54"/>
      <c r="F1" s="54"/>
      <c r="G1" s="54"/>
      <c r="H1" s="38" t="s">
        <v>109</v>
      </c>
      <c r="I1" s="38"/>
      <c r="J1" s="38"/>
      <c r="K1" s="38"/>
      <c r="L1" s="38"/>
      <c r="M1" s="38"/>
      <c r="N1" s="39" t="s">
        <v>110</v>
      </c>
      <c r="O1" s="39"/>
      <c r="P1" s="39"/>
      <c r="Q1" s="39"/>
      <c r="R1" s="39"/>
      <c r="S1" s="40"/>
      <c r="T1" s="41"/>
    </row>
    <row r="2" spans="1:20" ht="15" thickBot="1" x14ac:dyDescent="0.35">
      <c r="A2" s="51"/>
      <c r="B2" s="55" t="s">
        <v>111</v>
      </c>
      <c r="C2" s="56"/>
      <c r="D2" s="56"/>
      <c r="E2" s="56"/>
      <c r="F2" s="56"/>
      <c r="G2" s="56"/>
      <c r="H2" s="38"/>
      <c r="I2" s="38"/>
      <c r="J2" s="38"/>
      <c r="K2" s="38"/>
      <c r="L2" s="38"/>
      <c r="M2" s="38"/>
      <c r="N2" s="39"/>
      <c r="O2" s="39"/>
      <c r="P2" s="39"/>
      <c r="Q2" s="39"/>
      <c r="R2" s="39"/>
      <c r="S2" s="40"/>
      <c r="T2" s="42"/>
    </row>
    <row r="3" spans="1:20" ht="15" thickBot="1" x14ac:dyDescent="0.35">
      <c r="A3" s="52"/>
      <c r="B3" s="18">
        <v>2010</v>
      </c>
      <c r="C3" s="18">
        <v>2015</v>
      </c>
      <c r="D3" s="18">
        <v>2020</v>
      </c>
      <c r="E3" s="18">
        <v>2021</v>
      </c>
      <c r="F3" s="18">
        <v>2022</v>
      </c>
      <c r="G3" s="18">
        <v>2023</v>
      </c>
      <c r="H3" s="17">
        <v>2010</v>
      </c>
      <c r="I3" s="18">
        <v>2015</v>
      </c>
      <c r="J3" s="18">
        <v>2020</v>
      </c>
      <c r="K3" s="18">
        <v>2021</v>
      </c>
      <c r="L3" s="18">
        <v>2022</v>
      </c>
      <c r="M3" s="18">
        <v>2023</v>
      </c>
      <c r="N3" s="18">
        <v>2010</v>
      </c>
      <c r="O3" s="18">
        <v>2015</v>
      </c>
      <c r="P3" s="18">
        <v>2020</v>
      </c>
      <c r="Q3" s="18">
        <v>2021</v>
      </c>
      <c r="R3" s="18">
        <v>2022</v>
      </c>
      <c r="S3" s="16">
        <v>2023</v>
      </c>
      <c r="T3" s="43"/>
    </row>
    <row r="4" spans="1:20" ht="19.2" x14ac:dyDescent="0.3">
      <c r="A4" s="19" t="s">
        <v>112</v>
      </c>
      <c r="B4" s="20" t="s">
        <v>113</v>
      </c>
      <c r="C4" s="20" t="s">
        <v>114</v>
      </c>
      <c r="D4" s="20" t="s">
        <v>115</v>
      </c>
      <c r="E4" s="21">
        <v>157206</v>
      </c>
      <c r="F4" s="21">
        <v>158944</v>
      </c>
      <c r="G4" s="21">
        <v>161662</v>
      </c>
      <c r="H4" s="20" t="s">
        <v>116</v>
      </c>
      <c r="I4" s="20" t="s">
        <v>117</v>
      </c>
      <c r="J4" s="20" t="s">
        <v>118</v>
      </c>
      <c r="K4" s="21">
        <v>76105</v>
      </c>
      <c r="L4" s="21">
        <v>76873</v>
      </c>
      <c r="M4" s="21">
        <v>77777</v>
      </c>
      <c r="N4" s="20" t="s">
        <v>119</v>
      </c>
      <c r="O4" s="20" t="s">
        <v>120</v>
      </c>
      <c r="P4" s="20" t="s">
        <v>121</v>
      </c>
      <c r="Q4" s="21">
        <v>6442</v>
      </c>
      <c r="R4" s="21">
        <v>6575</v>
      </c>
      <c r="S4" s="21">
        <v>6765</v>
      </c>
      <c r="T4" s="32" t="s">
        <v>112</v>
      </c>
    </row>
    <row r="5" spans="1:20" ht="19.2" x14ac:dyDescent="0.3">
      <c r="A5" s="22" t="s">
        <v>122</v>
      </c>
      <c r="B5" s="44" t="s">
        <v>123</v>
      </c>
      <c r="C5" s="44" t="s">
        <v>124</v>
      </c>
      <c r="D5" s="44" t="s">
        <v>125</v>
      </c>
      <c r="E5" s="45">
        <v>46416</v>
      </c>
      <c r="F5" s="44" t="s">
        <v>126</v>
      </c>
      <c r="G5" s="45">
        <v>48554</v>
      </c>
      <c r="H5" s="44" t="s">
        <v>127</v>
      </c>
      <c r="I5" s="44" t="s">
        <v>128</v>
      </c>
      <c r="J5" s="44" t="s">
        <v>129</v>
      </c>
      <c r="K5" s="45">
        <v>18354</v>
      </c>
      <c r="L5" s="45">
        <v>18562</v>
      </c>
      <c r="M5" s="45">
        <v>18795</v>
      </c>
      <c r="N5" s="44" t="s">
        <v>130</v>
      </c>
      <c r="O5" s="44" t="s">
        <v>131</v>
      </c>
      <c r="P5" s="44" t="s">
        <v>132</v>
      </c>
      <c r="Q5" s="45">
        <v>1774</v>
      </c>
      <c r="R5" s="45">
        <v>1808</v>
      </c>
      <c r="S5" s="45">
        <v>1880</v>
      </c>
      <c r="T5" s="33" t="s">
        <v>122</v>
      </c>
    </row>
    <row r="6" spans="1:20" ht="19.2" x14ac:dyDescent="0.3">
      <c r="A6" s="22" t="s">
        <v>133</v>
      </c>
      <c r="B6" s="44"/>
      <c r="C6" s="44"/>
      <c r="D6" s="44"/>
      <c r="E6" s="45"/>
      <c r="F6" s="44"/>
      <c r="G6" s="45"/>
      <c r="H6" s="44"/>
      <c r="I6" s="44"/>
      <c r="J6" s="44"/>
      <c r="K6" s="45"/>
      <c r="L6" s="45"/>
      <c r="M6" s="45"/>
      <c r="N6" s="44"/>
      <c r="O6" s="44"/>
      <c r="P6" s="44"/>
      <c r="Q6" s="45"/>
      <c r="R6" s="45"/>
      <c r="S6" s="45"/>
      <c r="T6" s="33" t="s">
        <v>133</v>
      </c>
    </row>
    <row r="7" spans="1:20" ht="19.2" x14ac:dyDescent="0.3">
      <c r="A7" s="23" t="s">
        <v>12</v>
      </c>
      <c r="B7" s="24" t="s">
        <v>134</v>
      </c>
      <c r="C7" s="24" t="s">
        <v>135</v>
      </c>
      <c r="D7" s="24" t="s">
        <v>136</v>
      </c>
      <c r="E7" s="25">
        <v>3321</v>
      </c>
      <c r="F7" s="24" t="s">
        <v>137</v>
      </c>
      <c r="G7" s="25">
        <v>3268</v>
      </c>
      <c r="H7" s="24">
        <v>800</v>
      </c>
      <c r="I7" s="24">
        <v>819</v>
      </c>
      <c r="J7" s="24">
        <v>875</v>
      </c>
      <c r="K7" s="24">
        <v>887</v>
      </c>
      <c r="L7" s="24">
        <v>899</v>
      </c>
      <c r="M7" s="24">
        <v>909</v>
      </c>
      <c r="N7" s="24">
        <v>129</v>
      </c>
      <c r="O7" s="24">
        <v>142</v>
      </c>
      <c r="P7" s="24">
        <v>159</v>
      </c>
      <c r="Q7" s="24">
        <v>154</v>
      </c>
      <c r="R7" s="24">
        <v>156</v>
      </c>
      <c r="S7" s="24">
        <v>149</v>
      </c>
      <c r="T7" s="34" t="s">
        <v>12</v>
      </c>
    </row>
    <row r="8" spans="1:20" ht="19.2" x14ac:dyDescent="0.3">
      <c r="A8" s="23" t="s">
        <v>13</v>
      </c>
      <c r="B8" s="24" t="s">
        <v>138</v>
      </c>
      <c r="C8" s="24" t="s">
        <v>139</v>
      </c>
      <c r="D8" s="24" t="s">
        <v>140</v>
      </c>
      <c r="E8" s="25">
        <v>1394</v>
      </c>
      <c r="F8" s="24" t="s">
        <v>141</v>
      </c>
      <c r="G8" s="25">
        <v>1437</v>
      </c>
      <c r="H8" s="24">
        <v>682</v>
      </c>
      <c r="I8" s="24">
        <v>675</v>
      </c>
      <c r="J8" s="24">
        <v>646</v>
      </c>
      <c r="K8" s="24">
        <v>667</v>
      </c>
      <c r="L8" s="24">
        <v>686</v>
      </c>
      <c r="M8" s="24">
        <v>688</v>
      </c>
      <c r="N8" s="24">
        <v>38</v>
      </c>
      <c r="O8" s="24">
        <v>50</v>
      </c>
      <c r="P8" s="24">
        <v>49</v>
      </c>
      <c r="Q8" s="24">
        <v>53</v>
      </c>
      <c r="R8" s="24">
        <v>56</v>
      </c>
      <c r="S8" s="24">
        <v>57</v>
      </c>
      <c r="T8" s="34" t="s">
        <v>13</v>
      </c>
    </row>
    <row r="9" spans="1:20" ht="19.2" x14ac:dyDescent="0.3">
      <c r="A9" s="23" t="s">
        <v>14</v>
      </c>
      <c r="B9" s="24" t="s">
        <v>142</v>
      </c>
      <c r="C9" s="24" t="s">
        <v>143</v>
      </c>
      <c r="D9" s="24" t="s">
        <v>144</v>
      </c>
      <c r="E9" s="25">
        <v>1778</v>
      </c>
      <c r="F9" s="24" t="s">
        <v>145</v>
      </c>
      <c r="G9" s="25">
        <v>1758</v>
      </c>
      <c r="H9" s="24">
        <v>673</v>
      </c>
      <c r="I9" s="24">
        <v>716</v>
      </c>
      <c r="J9" s="24">
        <v>811</v>
      </c>
      <c r="K9" s="24">
        <v>821</v>
      </c>
      <c r="L9" s="24">
        <v>847</v>
      </c>
      <c r="M9" s="24">
        <v>857</v>
      </c>
      <c r="N9" s="24">
        <v>43</v>
      </c>
      <c r="O9" s="24">
        <v>57</v>
      </c>
      <c r="P9" s="24">
        <v>68</v>
      </c>
      <c r="Q9" s="24">
        <v>69</v>
      </c>
      <c r="R9" s="24">
        <v>71</v>
      </c>
      <c r="S9" s="24">
        <v>71</v>
      </c>
      <c r="T9" s="34" t="s">
        <v>14</v>
      </c>
    </row>
    <row r="10" spans="1:20" ht="19.2" x14ac:dyDescent="0.3">
      <c r="A10" s="23" t="s">
        <v>15</v>
      </c>
      <c r="B10" s="24" t="s">
        <v>146</v>
      </c>
      <c r="C10" s="24" t="s">
        <v>147</v>
      </c>
      <c r="D10" s="24" t="s">
        <v>148</v>
      </c>
      <c r="E10" s="25">
        <v>4509</v>
      </c>
      <c r="F10" s="24" t="s">
        <v>149</v>
      </c>
      <c r="G10" s="25">
        <v>4331</v>
      </c>
      <c r="H10" s="24" t="s">
        <v>150</v>
      </c>
      <c r="I10" s="24" t="s">
        <v>151</v>
      </c>
      <c r="J10" s="24" t="s">
        <v>152</v>
      </c>
      <c r="K10" s="25">
        <v>1337</v>
      </c>
      <c r="L10" s="24" t="s">
        <v>153</v>
      </c>
      <c r="M10" s="25">
        <v>1350</v>
      </c>
      <c r="N10" s="24">
        <v>52</v>
      </c>
      <c r="O10" s="24">
        <v>83</v>
      </c>
      <c r="P10" s="24">
        <v>66</v>
      </c>
      <c r="Q10" s="24">
        <v>63</v>
      </c>
      <c r="R10" s="24">
        <v>72</v>
      </c>
      <c r="S10" s="24">
        <v>72</v>
      </c>
      <c r="T10" s="34" t="s">
        <v>15</v>
      </c>
    </row>
    <row r="11" spans="1:20" ht="19.2" x14ac:dyDescent="0.3">
      <c r="A11" s="23" t="s">
        <v>16</v>
      </c>
      <c r="B11" s="24">
        <v>667</v>
      </c>
      <c r="C11" s="24" t="s">
        <v>154</v>
      </c>
      <c r="D11" s="24" t="s">
        <v>155</v>
      </c>
      <c r="E11" s="25">
        <v>1066</v>
      </c>
      <c r="F11" s="24" t="s">
        <v>156</v>
      </c>
      <c r="G11" s="25">
        <v>1023</v>
      </c>
      <c r="H11" s="24">
        <v>407</v>
      </c>
      <c r="I11" s="24">
        <v>518</v>
      </c>
      <c r="J11" s="24">
        <v>529</v>
      </c>
      <c r="K11" s="24">
        <v>537</v>
      </c>
      <c r="L11" s="24">
        <v>542</v>
      </c>
      <c r="M11" s="24">
        <v>553</v>
      </c>
      <c r="N11" s="24">
        <v>24</v>
      </c>
      <c r="O11" s="24">
        <v>30</v>
      </c>
      <c r="P11" s="24">
        <v>35</v>
      </c>
      <c r="Q11" s="24">
        <v>37</v>
      </c>
      <c r="R11" s="24">
        <v>38</v>
      </c>
      <c r="S11" s="24">
        <v>38</v>
      </c>
      <c r="T11" s="34" t="s">
        <v>16</v>
      </c>
    </row>
    <row r="12" spans="1:20" ht="19.2" x14ac:dyDescent="0.3">
      <c r="A12" s="23" t="s">
        <v>17</v>
      </c>
      <c r="B12" s="24" t="s">
        <v>157</v>
      </c>
      <c r="C12" s="24" t="s">
        <v>158</v>
      </c>
      <c r="D12" s="24">
        <v>918</v>
      </c>
      <c r="E12" s="24">
        <v>929</v>
      </c>
      <c r="F12" s="20" t="s">
        <v>159</v>
      </c>
      <c r="G12" s="24">
        <v>935</v>
      </c>
      <c r="H12" s="24">
        <v>530</v>
      </c>
      <c r="I12" s="24">
        <v>592</v>
      </c>
      <c r="J12" s="24">
        <v>618</v>
      </c>
      <c r="K12" s="24">
        <v>626</v>
      </c>
      <c r="L12" s="24">
        <v>625</v>
      </c>
      <c r="M12" s="24">
        <v>625</v>
      </c>
      <c r="N12" s="24">
        <v>28</v>
      </c>
      <c r="O12" s="24">
        <v>49</v>
      </c>
      <c r="P12" s="24">
        <v>71</v>
      </c>
      <c r="Q12" s="24">
        <v>74</v>
      </c>
      <c r="R12" s="24">
        <v>76</v>
      </c>
      <c r="S12" s="24">
        <v>79</v>
      </c>
      <c r="T12" s="34" t="s">
        <v>17</v>
      </c>
    </row>
    <row r="13" spans="1:20" ht="19.2" x14ac:dyDescent="0.3">
      <c r="A13" s="23" t="s">
        <v>18</v>
      </c>
      <c r="B13" s="24">
        <v>684</v>
      </c>
      <c r="C13" s="24">
        <v>653</v>
      </c>
      <c r="D13" s="24">
        <v>685</v>
      </c>
      <c r="E13" s="24">
        <v>708</v>
      </c>
      <c r="F13" s="24">
        <v>718</v>
      </c>
      <c r="G13" s="24">
        <v>720</v>
      </c>
      <c r="H13" s="24">
        <v>358</v>
      </c>
      <c r="I13" s="24">
        <v>380</v>
      </c>
      <c r="J13" s="24">
        <v>397</v>
      </c>
      <c r="K13" s="24">
        <v>408</v>
      </c>
      <c r="L13" s="24">
        <v>411</v>
      </c>
      <c r="M13" s="24">
        <v>413</v>
      </c>
      <c r="N13" s="24">
        <v>31</v>
      </c>
      <c r="O13" s="24">
        <v>32</v>
      </c>
      <c r="P13" s="24">
        <v>33</v>
      </c>
      <c r="Q13" s="24">
        <v>34</v>
      </c>
      <c r="R13" s="24">
        <v>33</v>
      </c>
      <c r="S13" s="24">
        <v>33</v>
      </c>
      <c r="T13" s="34" t="s">
        <v>18</v>
      </c>
    </row>
    <row r="14" spans="1:20" ht="19.2" x14ac:dyDescent="0.3">
      <c r="A14" s="23" t="s">
        <v>19</v>
      </c>
      <c r="B14" s="24" t="s">
        <v>160</v>
      </c>
      <c r="C14" s="24" t="s">
        <v>161</v>
      </c>
      <c r="D14" s="24" t="s">
        <v>162</v>
      </c>
      <c r="E14" s="25">
        <v>1094</v>
      </c>
      <c r="F14" s="24" t="s">
        <v>163</v>
      </c>
      <c r="G14" s="25">
        <v>1099</v>
      </c>
      <c r="H14" s="24">
        <v>657</v>
      </c>
      <c r="I14" s="24">
        <v>659</v>
      </c>
      <c r="J14" s="24">
        <v>673</v>
      </c>
      <c r="K14" s="24">
        <v>680</v>
      </c>
      <c r="L14" s="24">
        <v>683</v>
      </c>
      <c r="M14" s="24">
        <v>679</v>
      </c>
      <c r="N14" s="24">
        <v>36</v>
      </c>
      <c r="O14" s="24">
        <v>35</v>
      </c>
      <c r="P14" s="24">
        <v>47</v>
      </c>
      <c r="Q14" s="24">
        <v>49</v>
      </c>
      <c r="R14" s="24">
        <v>49</v>
      </c>
      <c r="S14" s="24">
        <v>54</v>
      </c>
      <c r="T14" s="34" t="s">
        <v>19</v>
      </c>
    </row>
    <row r="15" spans="1:20" ht="19.2" x14ac:dyDescent="0.3">
      <c r="A15" s="23" t="s">
        <v>20</v>
      </c>
      <c r="B15" s="24" t="s">
        <v>164</v>
      </c>
      <c r="C15" s="24" t="s">
        <v>165</v>
      </c>
      <c r="D15" s="24" t="s">
        <v>166</v>
      </c>
      <c r="E15" s="25">
        <v>2112</v>
      </c>
      <c r="F15" s="24" t="s">
        <v>167</v>
      </c>
      <c r="G15" s="25">
        <v>2189</v>
      </c>
      <c r="H15" s="24">
        <v>569</v>
      </c>
      <c r="I15" s="24">
        <v>602</v>
      </c>
      <c r="J15" s="24">
        <v>626</v>
      </c>
      <c r="K15" s="24">
        <v>645</v>
      </c>
      <c r="L15" s="24">
        <v>654</v>
      </c>
      <c r="M15" s="24">
        <v>660</v>
      </c>
      <c r="N15" s="24">
        <v>33</v>
      </c>
      <c r="O15" s="24">
        <v>42</v>
      </c>
      <c r="P15" s="24">
        <v>52</v>
      </c>
      <c r="Q15" s="24">
        <v>57</v>
      </c>
      <c r="R15" s="24">
        <v>58</v>
      </c>
      <c r="S15" s="24">
        <v>59</v>
      </c>
      <c r="T15" s="34" t="s">
        <v>20</v>
      </c>
    </row>
    <row r="16" spans="1:20" ht="19.2" x14ac:dyDescent="0.3">
      <c r="A16" s="23" t="s">
        <v>21</v>
      </c>
      <c r="B16" s="24" t="s">
        <v>168</v>
      </c>
      <c r="C16" s="24" t="s">
        <v>169</v>
      </c>
      <c r="D16" s="24" t="s">
        <v>170</v>
      </c>
      <c r="E16" s="25">
        <v>2874</v>
      </c>
      <c r="F16" s="24" t="s">
        <v>171</v>
      </c>
      <c r="G16" s="25">
        <v>3381</v>
      </c>
      <c r="H16" s="24" t="s">
        <v>172</v>
      </c>
      <c r="I16" s="24" t="s">
        <v>173</v>
      </c>
      <c r="J16" s="24" t="s">
        <v>174</v>
      </c>
      <c r="K16" s="25">
        <v>2505</v>
      </c>
      <c r="L16" s="24" t="s">
        <v>175</v>
      </c>
      <c r="M16" s="25">
        <v>2594</v>
      </c>
      <c r="N16" s="24">
        <v>196</v>
      </c>
      <c r="O16" s="24">
        <v>271</v>
      </c>
      <c r="P16" s="24">
        <v>332</v>
      </c>
      <c r="Q16" s="24">
        <v>349</v>
      </c>
      <c r="R16" s="24">
        <v>348</v>
      </c>
      <c r="S16" s="24">
        <v>381</v>
      </c>
      <c r="T16" s="34" t="s">
        <v>21</v>
      </c>
    </row>
    <row r="17" spans="1:20" ht="19.2" x14ac:dyDescent="0.3">
      <c r="A17" s="23" t="s">
        <v>22</v>
      </c>
      <c r="B17" s="24" t="s">
        <v>176</v>
      </c>
      <c r="C17" s="24" t="s">
        <v>177</v>
      </c>
      <c r="D17" s="24">
        <v>579</v>
      </c>
      <c r="E17" s="24">
        <v>576</v>
      </c>
      <c r="F17" s="24">
        <v>581</v>
      </c>
      <c r="G17" s="24">
        <v>585</v>
      </c>
      <c r="H17" s="24">
        <v>441</v>
      </c>
      <c r="I17" s="24">
        <v>586</v>
      </c>
      <c r="J17" s="24">
        <v>562</v>
      </c>
      <c r="K17" s="24">
        <v>571</v>
      </c>
      <c r="L17" s="24">
        <v>598</v>
      </c>
      <c r="M17" s="24">
        <v>518</v>
      </c>
      <c r="N17" s="24">
        <v>30</v>
      </c>
      <c r="O17" s="24">
        <v>32</v>
      </c>
      <c r="P17" s="24">
        <v>34</v>
      </c>
      <c r="Q17" s="24">
        <v>34</v>
      </c>
      <c r="R17" s="24">
        <v>34</v>
      </c>
      <c r="S17" s="24">
        <v>33</v>
      </c>
      <c r="T17" s="34" t="s">
        <v>22</v>
      </c>
    </row>
    <row r="18" spans="1:20" ht="19.2" x14ac:dyDescent="0.3">
      <c r="A18" s="23" t="s">
        <v>23</v>
      </c>
      <c r="B18" s="24" t="s">
        <v>178</v>
      </c>
      <c r="C18" s="24" t="s">
        <v>179</v>
      </c>
      <c r="D18" s="24" t="s">
        <v>180</v>
      </c>
      <c r="E18" s="25">
        <v>1327</v>
      </c>
      <c r="F18" s="24" t="s">
        <v>181</v>
      </c>
      <c r="G18" s="25">
        <v>1334</v>
      </c>
      <c r="H18" s="24">
        <v>499</v>
      </c>
      <c r="I18" s="24">
        <v>516</v>
      </c>
      <c r="J18" s="24">
        <v>604</v>
      </c>
      <c r="K18" s="24">
        <v>617</v>
      </c>
      <c r="L18" s="24">
        <v>612</v>
      </c>
      <c r="M18" s="24">
        <v>621</v>
      </c>
      <c r="N18" s="24">
        <v>31</v>
      </c>
      <c r="O18" s="24">
        <v>41</v>
      </c>
      <c r="P18" s="24">
        <v>58</v>
      </c>
      <c r="Q18" s="24">
        <v>59</v>
      </c>
      <c r="R18" s="24">
        <v>59</v>
      </c>
      <c r="S18" s="24">
        <v>63</v>
      </c>
      <c r="T18" s="34" t="s">
        <v>23</v>
      </c>
    </row>
    <row r="19" spans="1:20" ht="19.2" x14ac:dyDescent="0.3">
      <c r="A19" s="23" t="s">
        <v>24</v>
      </c>
      <c r="B19" s="24" t="s">
        <v>182</v>
      </c>
      <c r="C19" s="24" t="s">
        <v>183</v>
      </c>
      <c r="D19" s="24" t="s">
        <v>184</v>
      </c>
      <c r="E19" s="25">
        <v>1315</v>
      </c>
      <c r="F19" s="24" t="s">
        <v>185</v>
      </c>
      <c r="G19" s="25">
        <v>1322</v>
      </c>
      <c r="H19" s="24">
        <v>934</v>
      </c>
      <c r="I19" s="24">
        <v>924</v>
      </c>
      <c r="J19" s="24">
        <v>913</v>
      </c>
      <c r="K19" s="24">
        <v>907</v>
      </c>
      <c r="L19" s="24">
        <v>925</v>
      </c>
      <c r="M19" s="24">
        <v>914</v>
      </c>
      <c r="N19" s="24">
        <v>33</v>
      </c>
      <c r="O19" s="24">
        <v>55</v>
      </c>
      <c r="P19" s="24">
        <v>63</v>
      </c>
      <c r="Q19" s="24">
        <v>66</v>
      </c>
      <c r="R19" s="24">
        <v>67</v>
      </c>
      <c r="S19" s="24">
        <v>66</v>
      </c>
      <c r="T19" s="34" t="s">
        <v>24</v>
      </c>
    </row>
    <row r="20" spans="1:20" ht="19.2" x14ac:dyDescent="0.3">
      <c r="A20" s="23" t="s">
        <v>25</v>
      </c>
      <c r="B20" s="24" t="s">
        <v>186</v>
      </c>
      <c r="C20" s="24" t="s">
        <v>187</v>
      </c>
      <c r="D20" s="24" t="s">
        <v>188</v>
      </c>
      <c r="E20" s="25">
        <v>2876</v>
      </c>
      <c r="F20" s="24" t="s">
        <v>189</v>
      </c>
      <c r="G20" s="25">
        <v>2879</v>
      </c>
      <c r="H20" s="24">
        <v>533</v>
      </c>
      <c r="I20" s="24">
        <v>632</v>
      </c>
      <c r="J20" s="24">
        <v>653</v>
      </c>
      <c r="K20" s="24">
        <v>654</v>
      </c>
      <c r="L20" s="24">
        <v>656</v>
      </c>
      <c r="M20" s="24">
        <v>656</v>
      </c>
      <c r="N20" s="24">
        <v>25</v>
      </c>
      <c r="O20" s="24">
        <v>40</v>
      </c>
      <c r="P20" s="24">
        <v>41</v>
      </c>
      <c r="Q20" s="24">
        <v>41</v>
      </c>
      <c r="R20" s="24">
        <v>41</v>
      </c>
      <c r="S20" s="24">
        <v>42</v>
      </c>
      <c r="T20" s="34" t="s">
        <v>25</v>
      </c>
    </row>
    <row r="21" spans="1:20" ht="19.2" x14ac:dyDescent="0.3">
      <c r="A21" s="23" t="s">
        <v>26</v>
      </c>
      <c r="B21" s="24" t="s">
        <v>190</v>
      </c>
      <c r="C21" s="24" t="s">
        <v>191</v>
      </c>
      <c r="D21" s="24" t="s">
        <v>192</v>
      </c>
      <c r="E21" s="25">
        <v>2540</v>
      </c>
      <c r="F21" s="24" t="s">
        <v>193</v>
      </c>
      <c r="G21" s="25">
        <v>2672</v>
      </c>
      <c r="H21" s="24" t="s">
        <v>194</v>
      </c>
      <c r="I21" s="24">
        <v>819</v>
      </c>
      <c r="J21" s="24">
        <v>859</v>
      </c>
      <c r="K21" s="24">
        <v>873</v>
      </c>
      <c r="L21" s="24">
        <v>880</v>
      </c>
      <c r="M21" s="24">
        <v>889</v>
      </c>
      <c r="N21" s="24">
        <v>62</v>
      </c>
      <c r="O21" s="24">
        <v>57</v>
      </c>
      <c r="P21" s="24">
        <v>63</v>
      </c>
      <c r="Q21" s="24">
        <v>65</v>
      </c>
      <c r="R21" s="24">
        <v>68</v>
      </c>
      <c r="S21" s="24">
        <v>69</v>
      </c>
      <c r="T21" s="34" t="s">
        <v>26</v>
      </c>
    </row>
    <row r="22" spans="1:20" ht="19.2" x14ac:dyDescent="0.3">
      <c r="A22" s="23" t="s">
        <v>27</v>
      </c>
      <c r="B22" s="24" t="s">
        <v>155</v>
      </c>
      <c r="C22" s="24" t="s">
        <v>195</v>
      </c>
      <c r="D22" s="24" t="s">
        <v>196</v>
      </c>
      <c r="E22" s="25">
        <v>1331</v>
      </c>
      <c r="F22" s="24" t="s">
        <v>197</v>
      </c>
      <c r="G22" s="25">
        <v>1351</v>
      </c>
      <c r="H22" s="24">
        <v>557</v>
      </c>
      <c r="I22" s="24">
        <v>610</v>
      </c>
      <c r="J22" s="24">
        <v>623</v>
      </c>
      <c r="K22" s="24">
        <v>633</v>
      </c>
      <c r="L22" s="24">
        <v>638</v>
      </c>
      <c r="M22" s="24">
        <v>643</v>
      </c>
      <c r="N22" s="24">
        <v>30</v>
      </c>
      <c r="O22" s="24">
        <v>46</v>
      </c>
      <c r="P22" s="24">
        <v>50</v>
      </c>
      <c r="Q22" s="24">
        <v>49</v>
      </c>
      <c r="R22" s="24">
        <v>50</v>
      </c>
      <c r="S22" s="24">
        <v>49</v>
      </c>
      <c r="T22" s="34" t="s">
        <v>27</v>
      </c>
    </row>
    <row r="23" spans="1:20" ht="19.2" x14ac:dyDescent="0.3">
      <c r="A23" s="23" t="s">
        <v>28</v>
      </c>
      <c r="B23" s="24" t="s">
        <v>198</v>
      </c>
      <c r="C23" s="24" t="s">
        <v>199</v>
      </c>
      <c r="D23" s="24" t="s">
        <v>200</v>
      </c>
      <c r="E23" s="25">
        <v>1270</v>
      </c>
      <c r="F23" s="24" t="s">
        <v>201</v>
      </c>
      <c r="G23" s="25">
        <v>1311</v>
      </c>
      <c r="H23" s="24">
        <v>577</v>
      </c>
      <c r="I23" s="24">
        <v>559</v>
      </c>
      <c r="J23" s="24">
        <v>566</v>
      </c>
      <c r="K23" s="24">
        <v>569</v>
      </c>
      <c r="L23" s="24">
        <v>569</v>
      </c>
      <c r="M23" s="24">
        <v>572</v>
      </c>
      <c r="N23" s="24">
        <v>30</v>
      </c>
      <c r="O23" s="24">
        <v>24</v>
      </c>
      <c r="P23" s="24">
        <v>29</v>
      </c>
      <c r="Q23" s="24">
        <v>30</v>
      </c>
      <c r="R23" s="24">
        <v>33</v>
      </c>
      <c r="S23" s="24">
        <v>33</v>
      </c>
      <c r="T23" s="34" t="s">
        <v>28</v>
      </c>
    </row>
    <row r="24" spans="1:20" x14ac:dyDescent="0.3">
      <c r="A24" s="23" t="s">
        <v>29</v>
      </c>
      <c r="B24" s="24" t="s">
        <v>202</v>
      </c>
      <c r="C24" s="24" t="s">
        <v>203</v>
      </c>
      <c r="D24" s="24" t="s">
        <v>204</v>
      </c>
      <c r="E24" s="25">
        <v>15396</v>
      </c>
      <c r="F24" s="24" t="s">
        <v>205</v>
      </c>
      <c r="G24" s="25">
        <v>16959</v>
      </c>
      <c r="H24" s="24" t="s">
        <v>206</v>
      </c>
      <c r="I24" s="24" t="s">
        <v>207</v>
      </c>
      <c r="J24" s="24" t="s">
        <v>208</v>
      </c>
      <c r="K24" s="25">
        <v>4417</v>
      </c>
      <c r="L24" s="24" t="s">
        <v>209</v>
      </c>
      <c r="M24" s="25">
        <v>4654</v>
      </c>
      <c r="N24" s="24">
        <v>365</v>
      </c>
      <c r="O24" s="24">
        <v>315</v>
      </c>
      <c r="P24" s="24">
        <v>491</v>
      </c>
      <c r="Q24" s="24">
        <v>491</v>
      </c>
      <c r="R24" s="24">
        <v>499</v>
      </c>
      <c r="S24" s="24">
        <v>532</v>
      </c>
      <c r="T24" s="34" t="s">
        <v>29</v>
      </c>
    </row>
    <row r="25" spans="1:20" ht="19.2" x14ac:dyDescent="0.3">
      <c r="A25" s="22" t="s">
        <v>210</v>
      </c>
      <c r="B25" s="44" t="s">
        <v>211</v>
      </c>
      <c r="C25" s="44" t="s">
        <v>212</v>
      </c>
      <c r="D25" s="44" t="s">
        <v>213</v>
      </c>
      <c r="E25" s="45">
        <v>11419</v>
      </c>
      <c r="F25" s="44" t="s">
        <v>214</v>
      </c>
      <c r="G25" s="45">
        <v>11688</v>
      </c>
      <c r="H25" s="44" t="s">
        <v>215</v>
      </c>
      <c r="I25" s="44" t="s">
        <v>216</v>
      </c>
      <c r="J25" s="44" t="s">
        <v>217</v>
      </c>
      <c r="K25" s="45">
        <v>6749</v>
      </c>
      <c r="L25" s="45">
        <v>6784</v>
      </c>
      <c r="M25" s="45">
        <v>6932</v>
      </c>
      <c r="N25" s="44">
        <v>409</v>
      </c>
      <c r="O25" s="44">
        <v>638</v>
      </c>
      <c r="P25" s="44">
        <v>789</v>
      </c>
      <c r="Q25" s="44">
        <v>826</v>
      </c>
      <c r="R25" s="44">
        <v>847</v>
      </c>
      <c r="S25" s="44">
        <v>868</v>
      </c>
      <c r="T25" s="33" t="s">
        <v>210</v>
      </c>
    </row>
    <row r="26" spans="1:20" ht="19.2" x14ac:dyDescent="0.3">
      <c r="A26" s="22" t="s">
        <v>133</v>
      </c>
      <c r="B26" s="44"/>
      <c r="C26" s="44"/>
      <c r="D26" s="44"/>
      <c r="E26" s="45"/>
      <c r="F26" s="44"/>
      <c r="G26" s="45"/>
      <c r="H26" s="44"/>
      <c r="I26" s="44"/>
      <c r="J26" s="44"/>
      <c r="K26" s="45"/>
      <c r="L26" s="45"/>
      <c r="M26" s="45"/>
      <c r="N26" s="44"/>
      <c r="O26" s="44"/>
      <c r="P26" s="44"/>
      <c r="Q26" s="44"/>
      <c r="R26" s="44"/>
      <c r="S26" s="44"/>
      <c r="T26" s="33" t="s">
        <v>133</v>
      </c>
    </row>
    <row r="27" spans="1:20" ht="19.2" x14ac:dyDescent="0.3">
      <c r="A27" s="23" t="s">
        <v>30</v>
      </c>
      <c r="B27" s="24">
        <v>547</v>
      </c>
      <c r="C27" s="24">
        <v>624</v>
      </c>
      <c r="D27" s="24">
        <v>616</v>
      </c>
      <c r="E27" s="24">
        <v>623</v>
      </c>
      <c r="F27" s="24">
        <v>622</v>
      </c>
      <c r="G27" s="24">
        <v>612</v>
      </c>
      <c r="H27" s="24">
        <v>748</v>
      </c>
      <c r="I27" s="24">
        <v>384</v>
      </c>
      <c r="J27" s="24">
        <v>416</v>
      </c>
      <c r="K27" s="24">
        <v>421</v>
      </c>
      <c r="L27" s="24">
        <v>422</v>
      </c>
      <c r="M27" s="24">
        <v>416</v>
      </c>
      <c r="N27" s="24">
        <v>26</v>
      </c>
      <c r="O27" s="24">
        <v>30</v>
      </c>
      <c r="P27" s="24">
        <v>39</v>
      </c>
      <c r="Q27" s="24">
        <v>38</v>
      </c>
      <c r="R27" s="24">
        <v>38</v>
      </c>
      <c r="S27" s="24">
        <v>32</v>
      </c>
      <c r="T27" s="34" t="s">
        <v>30</v>
      </c>
    </row>
    <row r="28" spans="1:20" ht="19.2" x14ac:dyDescent="0.3">
      <c r="A28" s="23" t="s">
        <v>31</v>
      </c>
      <c r="B28" s="24">
        <v>755</v>
      </c>
      <c r="C28" s="24">
        <v>800</v>
      </c>
      <c r="D28" s="24">
        <v>890</v>
      </c>
      <c r="E28" s="24">
        <v>933</v>
      </c>
      <c r="F28" s="24">
        <v>772</v>
      </c>
      <c r="G28" s="24">
        <v>781</v>
      </c>
      <c r="H28" s="24">
        <v>719</v>
      </c>
      <c r="I28" s="24">
        <v>585</v>
      </c>
      <c r="J28" s="24">
        <v>537</v>
      </c>
      <c r="K28" s="24">
        <v>537</v>
      </c>
      <c r="L28" s="24">
        <v>503</v>
      </c>
      <c r="M28" s="24">
        <v>501</v>
      </c>
      <c r="N28" s="24">
        <v>37</v>
      </c>
      <c r="O28" s="24">
        <v>41</v>
      </c>
      <c r="P28" s="24">
        <v>43</v>
      </c>
      <c r="Q28" s="24">
        <v>44</v>
      </c>
      <c r="R28" s="24">
        <v>43</v>
      </c>
      <c r="S28" s="24">
        <v>43</v>
      </c>
      <c r="T28" s="34" t="s">
        <v>31</v>
      </c>
    </row>
    <row r="29" spans="1:20" ht="19.2" x14ac:dyDescent="0.3">
      <c r="A29" s="23" t="s">
        <v>32</v>
      </c>
      <c r="B29" s="24">
        <v>696</v>
      </c>
      <c r="C29" s="24">
        <v>880</v>
      </c>
      <c r="D29" s="24" t="s">
        <v>218</v>
      </c>
      <c r="E29" s="25">
        <v>1128</v>
      </c>
      <c r="F29" s="24" t="s">
        <v>219</v>
      </c>
      <c r="G29" s="25">
        <v>1161</v>
      </c>
      <c r="H29" s="24">
        <v>657</v>
      </c>
      <c r="I29" s="24">
        <v>697</v>
      </c>
      <c r="J29" s="24">
        <v>791</v>
      </c>
      <c r="K29" s="24">
        <v>799</v>
      </c>
      <c r="L29" s="24">
        <v>805</v>
      </c>
      <c r="M29" s="24">
        <v>801</v>
      </c>
      <c r="N29" s="24">
        <v>35</v>
      </c>
      <c r="O29" s="24">
        <v>49</v>
      </c>
      <c r="P29" s="24">
        <v>57</v>
      </c>
      <c r="Q29" s="24">
        <v>57</v>
      </c>
      <c r="R29" s="24">
        <v>58</v>
      </c>
      <c r="S29" s="24">
        <v>58</v>
      </c>
      <c r="T29" s="34" t="s">
        <v>32</v>
      </c>
    </row>
    <row r="30" spans="1:20" ht="19.2" x14ac:dyDescent="0.3">
      <c r="A30" s="26" t="s">
        <v>220</v>
      </c>
      <c r="B30" s="24"/>
      <c r="C30" s="24"/>
      <c r="D30" s="24"/>
      <c r="E30" s="24"/>
      <c r="F30" s="27"/>
      <c r="G30" s="27"/>
      <c r="H30" s="24"/>
      <c r="I30" s="24"/>
      <c r="J30" s="24"/>
      <c r="K30" s="24"/>
      <c r="L30" s="27"/>
      <c r="M30" s="24"/>
      <c r="N30" s="24"/>
      <c r="O30" s="24"/>
      <c r="P30" s="24"/>
      <c r="Q30" s="24"/>
      <c r="R30" s="24"/>
      <c r="S30" s="24"/>
      <c r="T30" s="35" t="s">
        <v>220</v>
      </c>
    </row>
    <row r="31" spans="1:20" ht="28.8" x14ac:dyDescent="0.3">
      <c r="A31" s="28" t="s">
        <v>221</v>
      </c>
      <c r="B31" s="24" t="s">
        <v>222</v>
      </c>
      <c r="C31" s="24">
        <v>35</v>
      </c>
      <c r="D31" s="24">
        <v>35</v>
      </c>
      <c r="E31" s="24">
        <v>38</v>
      </c>
      <c r="F31" s="24">
        <v>39</v>
      </c>
      <c r="G31" s="24">
        <v>40</v>
      </c>
      <c r="H31" s="24" t="s">
        <v>222</v>
      </c>
      <c r="I31" s="24">
        <v>50</v>
      </c>
      <c r="J31" s="24">
        <v>87</v>
      </c>
      <c r="K31" s="24">
        <v>93</v>
      </c>
      <c r="L31" s="24">
        <v>96</v>
      </c>
      <c r="M31" s="24">
        <v>92</v>
      </c>
      <c r="N31" s="24" t="s">
        <v>222</v>
      </c>
      <c r="O31" s="24">
        <v>1</v>
      </c>
      <c r="P31" s="24">
        <v>2</v>
      </c>
      <c r="Q31" s="24">
        <v>2</v>
      </c>
      <c r="R31" s="24">
        <v>2</v>
      </c>
      <c r="S31" s="24">
        <v>2</v>
      </c>
      <c r="T31" s="36" t="s">
        <v>221</v>
      </c>
    </row>
    <row r="32" spans="1:20" ht="28.8" x14ac:dyDescent="0.3">
      <c r="A32" s="28" t="s">
        <v>32</v>
      </c>
      <c r="B32" s="46">
        <v>696</v>
      </c>
      <c r="C32" s="46">
        <v>845</v>
      </c>
      <c r="D32" s="46" t="s">
        <v>177</v>
      </c>
      <c r="E32" s="47">
        <v>1090</v>
      </c>
      <c r="F32" s="46" t="s">
        <v>223</v>
      </c>
      <c r="G32" s="47">
        <v>1121</v>
      </c>
      <c r="H32" s="46">
        <v>657</v>
      </c>
      <c r="I32" s="46">
        <v>647</v>
      </c>
      <c r="J32" s="46">
        <v>704</v>
      </c>
      <c r="K32" s="46">
        <v>706</v>
      </c>
      <c r="L32" s="46">
        <v>709</v>
      </c>
      <c r="M32" s="46">
        <v>709</v>
      </c>
      <c r="N32" s="46">
        <v>35</v>
      </c>
      <c r="O32" s="46">
        <v>48</v>
      </c>
      <c r="P32" s="46">
        <v>55</v>
      </c>
      <c r="Q32" s="46">
        <v>55</v>
      </c>
      <c r="R32" s="46">
        <v>56</v>
      </c>
      <c r="S32" s="46">
        <v>56</v>
      </c>
      <c r="T32" s="36" t="s">
        <v>32</v>
      </c>
    </row>
    <row r="33" spans="1:20" ht="28.8" x14ac:dyDescent="0.3">
      <c r="A33" s="28" t="s">
        <v>224</v>
      </c>
      <c r="B33" s="46"/>
      <c r="C33" s="46"/>
      <c r="D33" s="46"/>
      <c r="E33" s="47"/>
      <c r="F33" s="46"/>
      <c r="G33" s="47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36" t="s">
        <v>224</v>
      </c>
    </row>
    <row r="34" spans="1:20" ht="19.2" x14ac:dyDescent="0.3">
      <c r="A34" s="23" t="s">
        <v>34</v>
      </c>
      <c r="B34" s="24">
        <v>707</v>
      </c>
      <c r="C34" s="24">
        <v>806</v>
      </c>
      <c r="D34" s="24">
        <v>928</v>
      </c>
      <c r="E34" s="24">
        <v>908</v>
      </c>
      <c r="F34" s="24">
        <v>918</v>
      </c>
      <c r="G34" s="24">
        <v>924</v>
      </c>
      <c r="H34" s="24">
        <v>658</v>
      </c>
      <c r="I34" s="24">
        <v>648</v>
      </c>
      <c r="J34" s="24">
        <v>627</v>
      </c>
      <c r="K34" s="24">
        <v>632</v>
      </c>
      <c r="L34" s="24">
        <v>635</v>
      </c>
      <c r="M34" s="24">
        <v>717</v>
      </c>
      <c r="N34" s="24">
        <v>39</v>
      </c>
      <c r="O34" s="24">
        <v>48</v>
      </c>
      <c r="P34" s="24">
        <v>62</v>
      </c>
      <c r="Q34" s="24">
        <v>65</v>
      </c>
      <c r="R34" s="24">
        <v>59</v>
      </c>
      <c r="S34" s="24">
        <v>62</v>
      </c>
      <c r="T34" s="34" t="s">
        <v>34</v>
      </c>
    </row>
    <row r="35" spans="1:20" ht="28.8" x14ac:dyDescent="0.3">
      <c r="A35" s="23" t="s">
        <v>225</v>
      </c>
      <c r="B35" s="24" t="s">
        <v>226</v>
      </c>
      <c r="C35" s="24" t="s">
        <v>227</v>
      </c>
      <c r="D35" s="24" t="s">
        <v>228</v>
      </c>
      <c r="E35" s="25">
        <v>1125</v>
      </c>
      <c r="F35" s="24" t="s">
        <v>229</v>
      </c>
      <c r="G35" s="25">
        <v>1139</v>
      </c>
      <c r="H35" s="24">
        <v>399</v>
      </c>
      <c r="I35" s="24">
        <v>463</v>
      </c>
      <c r="J35" s="24">
        <v>463</v>
      </c>
      <c r="K35" s="24">
        <v>468</v>
      </c>
      <c r="L35" s="24">
        <v>470</v>
      </c>
      <c r="M35" s="24">
        <v>474</v>
      </c>
      <c r="N35" s="24">
        <v>23</v>
      </c>
      <c r="O35" s="24">
        <v>42</v>
      </c>
      <c r="P35" s="24">
        <v>46</v>
      </c>
      <c r="Q35" s="24">
        <v>51</v>
      </c>
      <c r="R35" s="24">
        <v>51</v>
      </c>
      <c r="S35" s="24">
        <v>51</v>
      </c>
      <c r="T35" s="34" t="s">
        <v>225</v>
      </c>
    </row>
    <row r="36" spans="1:20" ht="19.2" x14ac:dyDescent="0.3">
      <c r="A36" s="23" t="s">
        <v>36</v>
      </c>
      <c r="B36" s="24">
        <v>827</v>
      </c>
      <c r="C36" s="24" t="s">
        <v>230</v>
      </c>
      <c r="D36" s="24" t="s">
        <v>231</v>
      </c>
      <c r="E36" s="25">
        <v>1882</v>
      </c>
      <c r="F36" s="24" t="s">
        <v>232</v>
      </c>
      <c r="G36" s="25">
        <v>2004</v>
      </c>
      <c r="H36" s="24">
        <v>638</v>
      </c>
      <c r="I36" s="24">
        <v>701</v>
      </c>
      <c r="J36" s="24">
        <v>815</v>
      </c>
      <c r="K36" s="24">
        <v>847</v>
      </c>
      <c r="L36" s="24">
        <v>864</v>
      </c>
      <c r="M36" s="24">
        <v>882</v>
      </c>
      <c r="N36" s="24">
        <v>33</v>
      </c>
      <c r="O36" s="24">
        <v>64</v>
      </c>
      <c r="P36" s="24">
        <v>92</v>
      </c>
      <c r="Q36" s="24">
        <v>93</v>
      </c>
      <c r="R36" s="24">
        <v>103</v>
      </c>
      <c r="S36" s="24">
        <v>102</v>
      </c>
      <c r="T36" s="34" t="s">
        <v>36</v>
      </c>
    </row>
    <row r="37" spans="1:20" ht="19.2" x14ac:dyDescent="0.3">
      <c r="A37" s="23" t="s">
        <v>37</v>
      </c>
      <c r="B37" s="24">
        <v>212</v>
      </c>
      <c r="C37" s="24">
        <v>299</v>
      </c>
      <c r="D37" s="24">
        <v>351</v>
      </c>
      <c r="E37" s="24">
        <v>384</v>
      </c>
      <c r="F37" s="24">
        <v>395</v>
      </c>
      <c r="G37" s="24">
        <v>385</v>
      </c>
      <c r="H37" s="24">
        <v>537</v>
      </c>
      <c r="I37" s="24">
        <v>366</v>
      </c>
      <c r="J37" s="24">
        <v>388</v>
      </c>
      <c r="K37" s="24">
        <v>406</v>
      </c>
      <c r="L37" s="24">
        <v>404</v>
      </c>
      <c r="M37" s="24">
        <v>411</v>
      </c>
      <c r="N37" s="24">
        <v>36</v>
      </c>
      <c r="O37" s="24">
        <v>33</v>
      </c>
      <c r="P37" s="24">
        <v>42</v>
      </c>
      <c r="Q37" s="24">
        <v>45</v>
      </c>
      <c r="R37" s="24">
        <v>46</v>
      </c>
      <c r="S37" s="24">
        <v>45</v>
      </c>
      <c r="T37" s="34" t="s">
        <v>37</v>
      </c>
    </row>
    <row r="38" spans="1:20" ht="19.2" x14ac:dyDescent="0.3">
      <c r="A38" s="23" t="s">
        <v>38</v>
      </c>
      <c r="B38" s="24">
        <v>700</v>
      </c>
      <c r="C38" s="24">
        <v>786</v>
      </c>
      <c r="D38" s="24">
        <v>905</v>
      </c>
      <c r="E38" s="24">
        <v>923</v>
      </c>
      <c r="F38" s="24">
        <v>917</v>
      </c>
      <c r="G38" s="24">
        <v>920</v>
      </c>
      <c r="H38" s="24">
        <v>281</v>
      </c>
      <c r="I38" s="24">
        <v>300</v>
      </c>
      <c r="J38" s="24">
        <v>329</v>
      </c>
      <c r="K38" s="24">
        <v>331</v>
      </c>
      <c r="L38" s="24">
        <v>332</v>
      </c>
      <c r="M38" s="24">
        <v>337</v>
      </c>
      <c r="N38" s="24">
        <v>28</v>
      </c>
      <c r="O38" s="24">
        <v>33</v>
      </c>
      <c r="P38" s="24">
        <v>35</v>
      </c>
      <c r="Q38" s="24">
        <v>35</v>
      </c>
      <c r="R38" s="24">
        <v>35</v>
      </c>
      <c r="S38" s="24">
        <v>35</v>
      </c>
      <c r="T38" s="34" t="s">
        <v>38</v>
      </c>
    </row>
    <row r="39" spans="1:20" ht="19.2" x14ac:dyDescent="0.3">
      <c r="A39" s="23" t="s">
        <v>39</v>
      </c>
      <c r="B39" s="24">
        <v>589</v>
      </c>
      <c r="C39" s="24">
        <v>551</v>
      </c>
      <c r="D39" s="24">
        <v>577</v>
      </c>
      <c r="E39" s="24">
        <v>627</v>
      </c>
      <c r="F39" s="24">
        <v>639</v>
      </c>
      <c r="G39" s="24">
        <v>657</v>
      </c>
      <c r="H39" s="24">
        <v>339</v>
      </c>
      <c r="I39" s="24">
        <v>341</v>
      </c>
      <c r="J39" s="24">
        <v>345</v>
      </c>
      <c r="K39" s="24">
        <v>337</v>
      </c>
      <c r="L39" s="24">
        <v>339</v>
      </c>
      <c r="M39" s="24">
        <v>348</v>
      </c>
      <c r="N39" s="24">
        <v>12</v>
      </c>
      <c r="O39" s="24">
        <v>14</v>
      </c>
      <c r="P39" s="24">
        <v>17</v>
      </c>
      <c r="Q39" s="24">
        <v>18</v>
      </c>
      <c r="R39" s="24">
        <v>19</v>
      </c>
      <c r="S39" s="24">
        <v>19</v>
      </c>
      <c r="T39" s="34" t="s">
        <v>39</v>
      </c>
    </row>
    <row r="40" spans="1:20" ht="19.2" x14ac:dyDescent="0.3">
      <c r="A40" s="23" t="s">
        <v>40</v>
      </c>
      <c r="B40" s="24" t="s">
        <v>233</v>
      </c>
      <c r="C40" s="24" t="s">
        <v>234</v>
      </c>
      <c r="D40" s="24" t="s">
        <v>235</v>
      </c>
      <c r="E40" s="25">
        <v>2886</v>
      </c>
      <c r="F40" s="24" t="s">
        <v>236</v>
      </c>
      <c r="G40" s="25">
        <v>3105</v>
      </c>
      <c r="H40" s="24" t="s">
        <v>237</v>
      </c>
      <c r="I40" s="24" t="s">
        <v>238</v>
      </c>
      <c r="J40" s="24" t="s">
        <v>239</v>
      </c>
      <c r="K40" s="25">
        <v>1971</v>
      </c>
      <c r="L40" s="24" t="s">
        <v>240</v>
      </c>
      <c r="M40" s="25">
        <v>2045</v>
      </c>
      <c r="N40" s="24">
        <v>140</v>
      </c>
      <c r="O40" s="24">
        <v>284</v>
      </c>
      <c r="P40" s="24">
        <v>356</v>
      </c>
      <c r="Q40" s="24">
        <v>380</v>
      </c>
      <c r="R40" s="24">
        <v>395</v>
      </c>
      <c r="S40" s="24">
        <v>421</v>
      </c>
      <c r="T40" s="34" t="s">
        <v>40</v>
      </c>
    </row>
    <row r="41" spans="1:20" x14ac:dyDescent="0.3">
      <c r="A41" s="22" t="s">
        <v>241</v>
      </c>
      <c r="B41" s="44" t="s">
        <v>242</v>
      </c>
      <c r="C41" s="44" t="s">
        <v>243</v>
      </c>
      <c r="D41" s="44" t="s">
        <v>244</v>
      </c>
      <c r="E41" s="45">
        <v>17680</v>
      </c>
      <c r="F41" s="44" t="s">
        <v>245</v>
      </c>
      <c r="G41" s="45">
        <v>18019</v>
      </c>
      <c r="H41" s="44" t="s">
        <v>246</v>
      </c>
      <c r="I41" s="44" t="s">
        <v>247</v>
      </c>
      <c r="J41" s="44" t="s">
        <v>248</v>
      </c>
      <c r="K41" s="45">
        <v>7452</v>
      </c>
      <c r="L41" s="45">
        <v>7576</v>
      </c>
      <c r="M41" s="45">
        <v>7726</v>
      </c>
      <c r="N41" s="44">
        <v>299</v>
      </c>
      <c r="O41" s="44">
        <v>411</v>
      </c>
      <c r="P41" s="44">
        <v>507</v>
      </c>
      <c r="Q41" s="44">
        <v>507</v>
      </c>
      <c r="R41" s="44">
        <v>508</v>
      </c>
      <c r="S41" s="44">
        <v>539</v>
      </c>
      <c r="T41" s="33" t="s">
        <v>241</v>
      </c>
    </row>
    <row r="42" spans="1:20" ht="19.2" x14ac:dyDescent="0.3">
      <c r="A42" s="22" t="s">
        <v>133</v>
      </c>
      <c r="B42" s="44"/>
      <c r="C42" s="44"/>
      <c r="D42" s="44"/>
      <c r="E42" s="45"/>
      <c r="F42" s="44"/>
      <c r="G42" s="45"/>
      <c r="H42" s="44"/>
      <c r="I42" s="44"/>
      <c r="J42" s="44"/>
      <c r="K42" s="45"/>
      <c r="L42" s="45"/>
      <c r="M42" s="45"/>
      <c r="N42" s="44"/>
      <c r="O42" s="44"/>
      <c r="P42" s="44"/>
      <c r="Q42" s="44"/>
      <c r="R42" s="44"/>
      <c r="S42" s="44"/>
      <c r="T42" s="33" t="s">
        <v>133</v>
      </c>
    </row>
    <row r="43" spans="1:20" ht="19.2" x14ac:dyDescent="0.3">
      <c r="A43" s="23" t="s">
        <v>41</v>
      </c>
      <c r="B43" s="24">
        <v>383</v>
      </c>
      <c r="C43" s="24">
        <v>603</v>
      </c>
      <c r="D43" s="24">
        <v>671</v>
      </c>
      <c r="E43" s="24">
        <v>674</v>
      </c>
      <c r="F43" s="24">
        <v>678</v>
      </c>
      <c r="G43" s="24">
        <v>676</v>
      </c>
      <c r="H43" s="24">
        <v>203</v>
      </c>
      <c r="I43" s="24">
        <v>185</v>
      </c>
      <c r="J43" s="24">
        <v>209</v>
      </c>
      <c r="K43" s="24">
        <v>215</v>
      </c>
      <c r="L43" s="24">
        <v>223</v>
      </c>
      <c r="M43" s="24">
        <v>220</v>
      </c>
      <c r="N43" s="24">
        <v>7</v>
      </c>
      <c r="O43" s="24">
        <v>12</v>
      </c>
      <c r="P43" s="24">
        <v>12</v>
      </c>
      <c r="Q43" s="24">
        <v>12</v>
      </c>
      <c r="R43" s="24">
        <v>12</v>
      </c>
      <c r="S43" s="24">
        <v>12</v>
      </c>
      <c r="T43" s="34" t="s">
        <v>41</v>
      </c>
    </row>
    <row r="44" spans="1:20" ht="19.2" x14ac:dyDescent="0.3">
      <c r="A44" s="23" t="s">
        <v>249</v>
      </c>
      <c r="B44" s="24">
        <v>360</v>
      </c>
      <c r="C44" s="24">
        <v>288</v>
      </c>
      <c r="D44" s="24">
        <v>297</v>
      </c>
      <c r="E44" s="24">
        <v>302</v>
      </c>
      <c r="F44" s="24">
        <v>305</v>
      </c>
      <c r="G44" s="24">
        <v>250</v>
      </c>
      <c r="H44" s="24">
        <v>190</v>
      </c>
      <c r="I44" s="24">
        <v>185</v>
      </c>
      <c r="J44" s="24">
        <v>184</v>
      </c>
      <c r="K44" s="24">
        <v>184</v>
      </c>
      <c r="L44" s="24">
        <v>185</v>
      </c>
      <c r="M44" s="24">
        <v>144</v>
      </c>
      <c r="N44" s="24">
        <v>2</v>
      </c>
      <c r="O44" s="24">
        <v>2</v>
      </c>
      <c r="P44" s="24">
        <v>3</v>
      </c>
      <c r="Q44" s="24">
        <v>3</v>
      </c>
      <c r="R44" s="24">
        <v>4</v>
      </c>
      <c r="S44" s="24">
        <v>1</v>
      </c>
      <c r="T44" s="34" t="s">
        <v>249</v>
      </c>
    </row>
    <row r="45" spans="1:20" ht="19.2" x14ac:dyDescent="0.3">
      <c r="A45" s="23" t="s">
        <v>42</v>
      </c>
      <c r="B45" s="24"/>
      <c r="C45" s="24" t="s">
        <v>250</v>
      </c>
      <c r="D45" s="24" t="s">
        <v>251</v>
      </c>
      <c r="E45" s="25">
        <v>1497</v>
      </c>
      <c r="F45" s="24" t="s">
        <v>252</v>
      </c>
      <c r="G45" s="25">
        <v>1516</v>
      </c>
      <c r="H45" s="24"/>
      <c r="I45" s="24">
        <v>668</v>
      </c>
      <c r="J45" s="24">
        <v>756</v>
      </c>
      <c r="K45" s="24">
        <v>761</v>
      </c>
      <c r="L45" s="24">
        <v>754</v>
      </c>
      <c r="M45" s="24">
        <v>772</v>
      </c>
      <c r="N45" s="24"/>
      <c r="O45" s="24">
        <v>17</v>
      </c>
      <c r="P45" s="24">
        <v>27</v>
      </c>
      <c r="Q45" s="24">
        <v>27</v>
      </c>
      <c r="R45" s="24">
        <v>27</v>
      </c>
      <c r="S45" s="24">
        <v>28</v>
      </c>
      <c r="T45" s="34" t="s">
        <v>42</v>
      </c>
    </row>
    <row r="46" spans="1:20" ht="19.2" x14ac:dyDescent="0.3">
      <c r="A46" s="23" t="s">
        <v>43</v>
      </c>
      <c r="B46" s="24" t="s">
        <v>253</v>
      </c>
      <c r="C46" s="24" t="s">
        <v>254</v>
      </c>
      <c r="D46" s="24" t="s">
        <v>255</v>
      </c>
      <c r="E46" s="25">
        <v>5578</v>
      </c>
      <c r="F46" s="24" t="s">
        <v>256</v>
      </c>
      <c r="G46" s="25">
        <v>5717</v>
      </c>
      <c r="H46" s="24" t="s">
        <v>257</v>
      </c>
      <c r="I46" s="24" t="s">
        <v>258</v>
      </c>
      <c r="J46" s="24" t="s">
        <v>259</v>
      </c>
      <c r="K46" s="25">
        <v>2477</v>
      </c>
      <c r="L46" s="24" t="s">
        <v>260</v>
      </c>
      <c r="M46" s="25">
        <v>2681</v>
      </c>
      <c r="N46" s="24">
        <v>131</v>
      </c>
      <c r="O46" s="24">
        <v>164</v>
      </c>
      <c r="P46" s="24">
        <v>201</v>
      </c>
      <c r="Q46" s="24">
        <v>202</v>
      </c>
      <c r="R46" s="24">
        <v>201</v>
      </c>
      <c r="S46" s="24">
        <v>228</v>
      </c>
      <c r="T46" s="34" t="s">
        <v>43</v>
      </c>
    </row>
    <row r="47" spans="1:20" ht="19.2" x14ac:dyDescent="0.3">
      <c r="A47" s="23" t="s">
        <v>44</v>
      </c>
      <c r="B47" s="24">
        <v>918</v>
      </c>
      <c r="C47" s="24">
        <v>916</v>
      </c>
      <c r="D47" s="24">
        <v>738</v>
      </c>
      <c r="E47" s="24">
        <v>746</v>
      </c>
      <c r="F47" s="24">
        <v>739</v>
      </c>
      <c r="G47" s="24">
        <v>746</v>
      </c>
      <c r="H47" s="24">
        <v>389</v>
      </c>
      <c r="I47" s="24">
        <v>476</v>
      </c>
      <c r="J47" s="24">
        <v>541</v>
      </c>
      <c r="K47" s="24">
        <v>550</v>
      </c>
      <c r="L47" s="24">
        <v>577</v>
      </c>
      <c r="M47" s="24">
        <v>579</v>
      </c>
      <c r="N47" s="24">
        <v>10</v>
      </c>
      <c r="O47" s="24">
        <v>16</v>
      </c>
      <c r="P47" s="24">
        <v>26</v>
      </c>
      <c r="Q47" s="24">
        <v>24</v>
      </c>
      <c r="R47" s="24">
        <v>23</v>
      </c>
      <c r="S47" s="24">
        <v>23</v>
      </c>
      <c r="T47" s="34" t="s">
        <v>44</v>
      </c>
    </row>
    <row r="48" spans="1:20" ht="19.2" x14ac:dyDescent="0.3">
      <c r="A48" s="23" t="s">
        <v>45</v>
      </c>
      <c r="B48" s="24" t="s">
        <v>261</v>
      </c>
      <c r="C48" s="24" t="s">
        <v>262</v>
      </c>
      <c r="D48" s="24" t="s">
        <v>263</v>
      </c>
      <c r="E48" s="25">
        <v>2505</v>
      </c>
      <c r="F48" s="24" t="s">
        <v>264</v>
      </c>
      <c r="G48" s="25">
        <v>2535</v>
      </c>
      <c r="H48" s="24" t="s">
        <v>265</v>
      </c>
      <c r="I48" s="24" t="s">
        <v>266</v>
      </c>
      <c r="J48" s="24" t="s">
        <v>267</v>
      </c>
      <c r="K48" s="25">
        <v>1225</v>
      </c>
      <c r="L48" s="24" t="s">
        <v>268</v>
      </c>
      <c r="M48" s="25">
        <v>1244</v>
      </c>
      <c r="N48" s="24">
        <v>42</v>
      </c>
      <c r="O48" s="24">
        <v>55</v>
      </c>
      <c r="P48" s="24">
        <v>64</v>
      </c>
      <c r="Q48" s="24">
        <v>64</v>
      </c>
      <c r="R48" s="24">
        <v>65</v>
      </c>
      <c r="S48" s="24">
        <v>66</v>
      </c>
      <c r="T48" s="34" t="s">
        <v>45</v>
      </c>
    </row>
    <row r="49" spans="1:20" ht="19.2" x14ac:dyDescent="0.3">
      <c r="A49" s="23" t="s">
        <v>46</v>
      </c>
      <c r="B49" s="24" t="s">
        <v>269</v>
      </c>
      <c r="C49" s="24" t="s">
        <v>270</v>
      </c>
      <c r="D49" s="24" t="s">
        <v>271</v>
      </c>
      <c r="E49" s="25">
        <v>6183</v>
      </c>
      <c r="F49" s="24" t="s">
        <v>272</v>
      </c>
      <c r="G49" s="25">
        <v>6363</v>
      </c>
      <c r="H49" s="24" t="s">
        <v>144</v>
      </c>
      <c r="I49" s="24" t="s">
        <v>273</v>
      </c>
      <c r="J49" s="24" t="s">
        <v>274</v>
      </c>
      <c r="K49" s="25">
        <v>1911</v>
      </c>
      <c r="L49" s="24" t="s">
        <v>275</v>
      </c>
      <c r="M49" s="25">
        <v>1952</v>
      </c>
      <c r="N49" s="24">
        <v>107</v>
      </c>
      <c r="O49" s="24">
        <v>139</v>
      </c>
      <c r="P49" s="24">
        <v>164</v>
      </c>
      <c r="Q49" s="24">
        <v>165</v>
      </c>
      <c r="R49" s="24">
        <v>166</v>
      </c>
      <c r="S49" s="24">
        <v>171</v>
      </c>
      <c r="T49" s="34" t="s">
        <v>46</v>
      </c>
    </row>
    <row r="50" spans="1:20" ht="28.8" x14ac:dyDescent="0.3">
      <c r="A50" s="23" t="s">
        <v>47</v>
      </c>
      <c r="B50" s="24"/>
      <c r="C50" s="24">
        <v>314</v>
      </c>
      <c r="D50" s="24">
        <v>196</v>
      </c>
      <c r="E50" s="24">
        <v>195</v>
      </c>
      <c r="F50" s="24">
        <v>210</v>
      </c>
      <c r="G50" s="24">
        <v>216</v>
      </c>
      <c r="H50" s="24"/>
      <c r="I50" s="24">
        <v>262</v>
      </c>
      <c r="J50" s="24">
        <v>136</v>
      </c>
      <c r="K50" s="24">
        <v>129</v>
      </c>
      <c r="L50" s="24">
        <v>134</v>
      </c>
      <c r="M50" s="24">
        <v>134</v>
      </c>
      <c r="N50" s="24"/>
      <c r="O50" s="24">
        <v>6</v>
      </c>
      <c r="P50" s="24">
        <v>10</v>
      </c>
      <c r="Q50" s="24">
        <v>10</v>
      </c>
      <c r="R50" s="24">
        <v>10</v>
      </c>
      <c r="S50" s="24">
        <v>10</v>
      </c>
      <c r="T50" s="34" t="s">
        <v>47</v>
      </c>
    </row>
    <row r="51" spans="1:20" ht="19.2" x14ac:dyDescent="0.3">
      <c r="A51" s="22" t="s">
        <v>276</v>
      </c>
      <c r="B51" s="44" t="s">
        <v>277</v>
      </c>
      <c r="C51" s="44" t="s">
        <v>278</v>
      </c>
      <c r="D51" s="44" t="s">
        <v>279</v>
      </c>
      <c r="E51" s="45">
        <v>8406</v>
      </c>
      <c r="F51" s="44" t="s">
        <v>280</v>
      </c>
      <c r="G51" s="45">
        <v>9035</v>
      </c>
      <c r="H51" s="44" t="s">
        <v>281</v>
      </c>
      <c r="I51" s="44" t="s">
        <v>282</v>
      </c>
      <c r="J51" s="44" t="s">
        <v>283</v>
      </c>
      <c r="K51" s="45">
        <v>4250</v>
      </c>
      <c r="L51" s="45">
        <v>4326</v>
      </c>
      <c r="M51" s="45">
        <v>4504</v>
      </c>
      <c r="N51" s="44">
        <v>101</v>
      </c>
      <c r="O51" s="44">
        <v>147</v>
      </c>
      <c r="P51" s="44">
        <v>205</v>
      </c>
      <c r="Q51" s="44">
        <v>231</v>
      </c>
      <c r="R51" s="44">
        <v>229</v>
      </c>
      <c r="S51" s="44">
        <v>251</v>
      </c>
      <c r="T51" s="33" t="s">
        <v>276</v>
      </c>
    </row>
    <row r="52" spans="1:20" ht="19.2" x14ac:dyDescent="0.3">
      <c r="A52" s="22" t="s">
        <v>133</v>
      </c>
      <c r="B52" s="44"/>
      <c r="C52" s="44"/>
      <c r="D52" s="44"/>
      <c r="E52" s="45"/>
      <c r="F52" s="44"/>
      <c r="G52" s="45"/>
      <c r="H52" s="44"/>
      <c r="I52" s="44"/>
      <c r="J52" s="44"/>
      <c r="K52" s="45"/>
      <c r="L52" s="45"/>
      <c r="M52" s="45"/>
      <c r="N52" s="44"/>
      <c r="O52" s="44"/>
      <c r="P52" s="44"/>
      <c r="Q52" s="44"/>
      <c r="R52" s="44"/>
      <c r="S52" s="44"/>
      <c r="T52" s="33" t="s">
        <v>133</v>
      </c>
    </row>
    <row r="53" spans="1:20" ht="19.2" x14ac:dyDescent="0.3">
      <c r="A53" s="23" t="s">
        <v>48</v>
      </c>
      <c r="B53" s="24" t="s">
        <v>284</v>
      </c>
      <c r="C53" s="24" t="s">
        <v>285</v>
      </c>
      <c r="D53" s="24" t="s">
        <v>286</v>
      </c>
      <c r="E53" s="25">
        <v>2112</v>
      </c>
      <c r="F53" s="24" t="s">
        <v>287</v>
      </c>
      <c r="G53" s="25">
        <v>2579</v>
      </c>
      <c r="H53" s="24">
        <v>760</v>
      </c>
      <c r="I53" s="24">
        <v>868</v>
      </c>
      <c r="J53" s="24" t="s">
        <v>288</v>
      </c>
      <c r="K53" s="25">
        <v>1050</v>
      </c>
      <c r="L53" s="24" t="s">
        <v>289</v>
      </c>
      <c r="M53" s="25">
        <v>1094</v>
      </c>
      <c r="N53" s="24">
        <v>6</v>
      </c>
      <c r="O53" s="24">
        <v>21</v>
      </c>
      <c r="P53" s="24">
        <v>30</v>
      </c>
      <c r="Q53" s="24">
        <v>32</v>
      </c>
      <c r="R53" s="24">
        <v>32</v>
      </c>
      <c r="S53" s="24">
        <v>37</v>
      </c>
      <c r="T53" s="34" t="s">
        <v>48</v>
      </c>
    </row>
    <row r="54" spans="1:20" ht="19.2" x14ac:dyDescent="0.3">
      <c r="A54" s="23" t="s">
        <v>290</v>
      </c>
      <c r="B54" s="24">
        <v>138</v>
      </c>
      <c r="C54" s="24">
        <v>159</v>
      </c>
      <c r="D54" s="24">
        <v>189</v>
      </c>
      <c r="E54" s="24">
        <v>208</v>
      </c>
      <c r="F54" s="24">
        <v>209</v>
      </c>
      <c r="G54" s="24">
        <v>211</v>
      </c>
      <c r="H54" s="24">
        <v>91</v>
      </c>
      <c r="I54" s="24">
        <v>125</v>
      </c>
      <c r="J54" s="24">
        <v>165</v>
      </c>
      <c r="K54" s="24">
        <v>163</v>
      </c>
      <c r="L54" s="24">
        <v>163</v>
      </c>
      <c r="M54" s="24">
        <v>170</v>
      </c>
      <c r="N54" s="24" t="s">
        <v>222</v>
      </c>
      <c r="O54" s="24">
        <v>5</v>
      </c>
      <c r="P54" s="24">
        <v>8</v>
      </c>
      <c r="Q54" s="24">
        <v>8</v>
      </c>
      <c r="R54" s="24">
        <v>10</v>
      </c>
      <c r="S54" s="24">
        <v>10</v>
      </c>
      <c r="T54" s="34" t="s">
        <v>290</v>
      </c>
    </row>
    <row r="55" spans="1:20" ht="19.2" x14ac:dyDescent="0.3">
      <c r="A55" s="23" t="s">
        <v>291</v>
      </c>
      <c r="B55" s="46">
        <v>686</v>
      </c>
      <c r="C55" s="46">
        <v>935</v>
      </c>
      <c r="D55" s="46">
        <v>983</v>
      </c>
      <c r="E55" s="46">
        <v>990</v>
      </c>
      <c r="F55" s="46">
        <v>994</v>
      </c>
      <c r="G55" s="46">
        <v>975</v>
      </c>
      <c r="H55" s="46">
        <v>454</v>
      </c>
      <c r="I55" s="46">
        <v>491</v>
      </c>
      <c r="J55" s="46">
        <v>511</v>
      </c>
      <c r="K55" s="46">
        <v>514</v>
      </c>
      <c r="L55" s="46">
        <v>515</v>
      </c>
      <c r="M55" s="46">
        <v>518</v>
      </c>
      <c r="N55" s="46">
        <v>15</v>
      </c>
      <c r="O55" s="46">
        <v>15</v>
      </c>
      <c r="P55" s="46">
        <v>20</v>
      </c>
      <c r="Q55" s="46">
        <v>16</v>
      </c>
      <c r="R55" s="46">
        <v>16</v>
      </c>
      <c r="S55" s="46">
        <v>17</v>
      </c>
      <c r="T55" s="34" t="s">
        <v>291</v>
      </c>
    </row>
    <row r="56" spans="1:20" x14ac:dyDescent="0.3">
      <c r="A56" s="23" t="s">
        <v>292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34" t="s">
        <v>292</v>
      </c>
    </row>
    <row r="57" spans="1:20" ht="19.2" x14ac:dyDescent="0.3">
      <c r="A57" s="23" t="s">
        <v>293</v>
      </c>
      <c r="B57" s="46">
        <v>264</v>
      </c>
      <c r="C57" s="46">
        <v>303</v>
      </c>
      <c r="D57" s="46">
        <v>311</v>
      </c>
      <c r="E57" s="46">
        <v>314</v>
      </c>
      <c r="F57" s="46">
        <v>315</v>
      </c>
      <c r="G57" s="46">
        <v>320</v>
      </c>
      <c r="H57" s="46">
        <v>210</v>
      </c>
      <c r="I57" s="46">
        <v>223</v>
      </c>
      <c r="J57" s="46">
        <v>272</v>
      </c>
      <c r="K57" s="46">
        <v>275</v>
      </c>
      <c r="L57" s="46">
        <v>275</v>
      </c>
      <c r="M57" s="46">
        <v>279</v>
      </c>
      <c r="N57" s="46">
        <v>9</v>
      </c>
      <c r="O57" s="46">
        <v>10</v>
      </c>
      <c r="P57" s="46">
        <v>15</v>
      </c>
      <c r="Q57" s="46">
        <v>15</v>
      </c>
      <c r="R57" s="46">
        <v>15</v>
      </c>
      <c r="S57" s="46">
        <v>15</v>
      </c>
      <c r="T57" s="34" t="s">
        <v>293</v>
      </c>
    </row>
    <row r="58" spans="1:20" x14ac:dyDescent="0.3">
      <c r="A58" s="23" t="s">
        <v>292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34" t="s">
        <v>292</v>
      </c>
    </row>
    <row r="59" spans="1:20" ht="19.2" x14ac:dyDescent="0.3">
      <c r="A59" s="23" t="s">
        <v>294</v>
      </c>
      <c r="B59" s="46">
        <v>482</v>
      </c>
      <c r="C59" s="46">
        <v>571</v>
      </c>
      <c r="D59" s="46">
        <v>535</v>
      </c>
      <c r="E59" s="46">
        <v>706</v>
      </c>
      <c r="F59" s="46">
        <v>734</v>
      </c>
      <c r="G59" s="46">
        <v>742</v>
      </c>
      <c r="H59" s="46">
        <v>386</v>
      </c>
      <c r="I59" s="46">
        <v>430</v>
      </c>
      <c r="J59" s="46">
        <v>453</v>
      </c>
      <c r="K59" s="46">
        <v>430</v>
      </c>
      <c r="L59" s="46">
        <v>441</v>
      </c>
      <c r="M59" s="46">
        <v>444</v>
      </c>
      <c r="N59" s="46">
        <v>14</v>
      </c>
      <c r="O59" s="46">
        <v>18</v>
      </c>
      <c r="P59" s="46">
        <v>25</v>
      </c>
      <c r="Q59" s="46">
        <v>26</v>
      </c>
      <c r="R59" s="46">
        <v>26</v>
      </c>
      <c r="S59" s="46">
        <v>26</v>
      </c>
      <c r="T59" s="34" t="s">
        <v>294</v>
      </c>
    </row>
    <row r="60" spans="1:20" ht="19.2" x14ac:dyDescent="0.3">
      <c r="A60" s="23" t="s">
        <v>295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34" t="s">
        <v>295</v>
      </c>
    </row>
    <row r="61" spans="1:20" ht="19.2" x14ac:dyDescent="0.3">
      <c r="A61" s="23" t="s">
        <v>296</v>
      </c>
      <c r="B61" s="24">
        <v>694</v>
      </c>
      <c r="C61" s="24">
        <v>695</v>
      </c>
      <c r="D61" s="24" t="s">
        <v>297</v>
      </c>
      <c r="E61" s="25">
        <v>1128</v>
      </c>
      <c r="F61" s="24" t="s">
        <v>298</v>
      </c>
      <c r="G61" s="25">
        <v>1291</v>
      </c>
      <c r="H61" s="24">
        <v>471</v>
      </c>
      <c r="I61" s="24">
        <v>489</v>
      </c>
      <c r="J61" s="24">
        <v>582</v>
      </c>
      <c r="K61" s="24">
        <v>634</v>
      </c>
      <c r="L61" s="24">
        <v>671</v>
      </c>
      <c r="M61" s="24">
        <v>785</v>
      </c>
      <c r="N61" s="24">
        <v>1</v>
      </c>
      <c r="O61" s="24">
        <v>7</v>
      </c>
      <c r="P61" s="24">
        <v>13</v>
      </c>
      <c r="Q61" s="24">
        <v>24</v>
      </c>
      <c r="R61" s="24">
        <v>14</v>
      </c>
      <c r="S61" s="24">
        <v>26</v>
      </c>
      <c r="T61" s="34" t="s">
        <v>296</v>
      </c>
    </row>
    <row r="62" spans="1:20" ht="19.8" thickBot="1" x14ac:dyDescent="0.35">
      <c r="A62" s="29" t="s">
        <v>53</v>
      </c>
      <c r="B62" s="30" t="s">
        <v>299</v>
      </c>
      <c r="C62" s="30" t="s">
        <v>300</v>
      </c>
      <c r="D62" s="30" t="s">
        <v>301</v>
      </c>
      <c r="E62" s="31">
        <v>2948</v>
      </c>
      <c r="F62" s="30" t="s">
        <v>302</v>
      </c>
      <c r="G62" s="31">
        <v>2917</v>
      </c>
      <c r="H62" s="30" t="s">
        <v>303</v>
      </c>
      <c r="I62" s="30" t="s">
        <v>304</v>
      </c>
      <c r="J62" s="30" t="s">
        <v>267</v>
      </c>
      <c r="K62" s="31">
        <v>1184</v>
      </c>
      <c r="L62" s="30" t="s">
        <v>305</v>
      </c>
      <c r="M62" s="31">
        <v>1214</v>
      </c>
      <c r="N62" s="30">
        <v>56</v>
      </c>
      <c r="O62" s="30">
        <v>71</v>
      </c>
      <c r="P62" s="30">
        <v>94</v>
      </c>
      <c r="Q62" s="30">
        <v>110</v>
      </c>
      <c r="R62" s="30">
        <v>116</v>
      </c>
      <c r="S62" s="30">
        <v>120</v>
      </c>
      <c r="T62" s="37" t="s">
        <v>53</v>
      </c>
    </row>
    <row r="63" spans="1:20" ht="19.2" x14ac:dyDescent="0.3">
      <c r="A63" s="22" t="s">
        <v>306</v>
      </c>
      <c r="B63" s="48" t="s">
        <v>307</v>
      </c>
      <c r="C63" s="48" t="s">
        <v>308</v>
      </c>
      <c r="D63" s="48" t="s">
        <v>309</v>
      </c>
      <c r="E63" s="49">
        <v>33575</v>
      </c>
      <c r="F63" s="49">
        <v>33639</v>
      </c>
      <c r="G63" s="49">
        <v>33749</v>
      </c>
      <c r="H63" s="48" t="s">
        <v>310</v>
      </c>
      <c r="I63" s="48" t="s">
        <v>311</v>
      </c>
      <c r="J63" s="48" t="s">
        <v>312</v>
      </c>
      <c r="K63" s="49">
        <v>16949</v>
      </c>
      <c r="L63" s="49">
        <v>17027</v>
      </c>
      <c r="M63" s="49">
        <v>17047</v>
      </c>
      <c r="N63" s="48">
        <v>913</v>
      </c>
      <c r="O63" s="48" t="s">
        <v>313</v>
      </c>
      <c r="P63" s="48" t="s">
        <v>151</v>
      </c>
      <c r="Q63" s="49">
        <v>1478</v>
      </c>
      <c r="R63" s="49">
        <v>1519</v>
      </c>
      <c r="S63" s="49">
        <v>1533</v>
      </c>
      <c r="T63" s="33" t="s">
        <v>306</v>
      </c>
    </row>
    <row r="64" spans="1:20" ht="19.2" x14ac:dyDescent="0.3">
      <c r="A64" s="22" t="s">
        <v>133</v>
      </c>
      <c r="B64" s="44"/>
      <c r="C64" s="44"/>
      <c r="D64" s="44"/>
      <c r="E64" s="45"/>
      <c r="F64" s="45"/>
      <c r="G64" s="45"/>
      <c r="H64" s="44"/>
      <c r="I64" s="44"/>
      <c r="J64" s="44"/>
      <c r="K64" s="45"/>
      <c r="L64" s="45"/>
      <c r="M64" s="45"/>
      <c r="N64" s="44"/>
      <c r="O64" s="44"/>
      <c r="P64" s="44"/>
      <c r="Q64" s="45"/>
      <c r="R64" s="45"/>
      <c r="S64" s="45"/>
      <c r="T64" s="33" t="s">
        <v>133</v>
      </c>
    </row>
    <row r="65" spans="1:20" ht="28.8" x14ac:dyDescent="0.3">
      <c r="A65" s="23" t="s">
        <v>54</v>
      </c>
      <c r="B65" s="24" t="s">
        <v>314</v>
      </c>
      <c r="C65" s="24" t="s">
        <v>315</v>
      </c>
      <c r="D65" s="24" t="s">
        <v>316</v>
      </c>
      <c r="E65" s="25">
        <v>6952</v>
      </c>
      <c r="F65" s="24" t="s">
        <v>317</v>
      </c>
      <c r="G65" s="25">
        <v>7023</v>
      </c>
      <c r="H65" s="24" t="s">
        <v>318</v>
      </c>
      <c r="I65" s="24" t="s">
        <v>319</v>
      </c>
      <c r="J65" s="24" t="s">
        <v>320</v>
      </c>
      <c r="K65" s="25">
        <v>2635</v>
      </c>
      <c r="L65" s="24">
        <v>2675</v>
      </c>
      <c r="M65" s="25">
        <v>2687</v>
      </c>
      <c r="N65" s="24">
        <v>138</v>
      </c>
      <c r="O65" s="24">
        <v>190</v>
      </c>
      <c r="P65" s="24">
        <v>218</v>
      </c>
      <c r="Q65" s="24">
        <v>215</v>
      </c>
      <c r="R65" s="24">
        <v>215</v>
      </c>
      <c r="S65" s="24">
        <v>218</v>
      </c>
      <c r="T65" s="34" t="s">
        <v>54</v>
      </c>
    </row>
    <row r="66" spans="1:20" ht="19.2" x14ac:dyDescent="0.3">
      <c r="A66" s="23" t="s">
        <v>55</v>
      </c>
      <c r="B66" s="24">
        <v>954</v>
      </c>
      <c r="C66" s="24" t="s">
        <v>321</v>
      </c>
      <c r="D66" s="24">
        <v>995</v>
      </c>
      <c r="E66" s="25">
        <v>1001</v>
      </c>
      <c r="F66" s="24" t="s">
        <v>322</v>
      </c>
      <c r="G66" s="25">
        <v>1002</v>
      </c>
      <c r="H66" s="24">
        <v>400</v>
      </c>
      <c r="I66" s="24">
        <v>387</v>
      </c>
      <c r="J66" s="24">
        <v>386</v>
      </c>
      <c r="K66" s="24">
        <v>388</v>
      </c>
      <c r="L66" s="24">
        <v>391</v>
      </c>
      <c r="M66" s="24">
        <v>391</v>
      </c>
      <c r="N66" s="24">
        <v>30</v>
      </c>
      <c r="O66" s="24">
        <v>34</v>
      </c>
      <c r="P66" s="24">
        <v>37</v>
      </c>
      <c r="Q66" s="24">
        <v>41</v>
      </c>
      <c r="R66" s="24">
        <v>42</v>
      </c>
      <c r="S66" s="24">
        <v>42</v>
      </c>
      <c r="T66" s="34" t="s">
        <v>55</v>
      </c>
    </row>
    <row r="67" spans="1:20" ht="19.2" x14ac:dyDescent="0.3">
      <c r="A67" s="23" t="s">
        <v>56</v>
      </c>
      <c r="B67" s="24" t="s">
        <v>195</v>
      </c>
      <c r="C67" s="24" t="s">
        <v>323</v>
      </c>
      <c r="D67" s="24" t="s">
        <v>324</v>
      </c>
      <c r="E67" s="25">
        <v>1141</v>
      </c>
      <c r="F67" s="24" t="s">
        <v>325</v>
      </c>
      <c r="G67" s="25">
        <v>1110</v>
      </c>
      <c r="H67" s="24">
        <v>560</v>
      </c>
      <c r="I67" s="24">
        <v>547</v>
      </c>
      <c r="J67" s="24">
        <v>514</v>
      </c>
      <c r="K67" s="24">
        <v>512</v>
      </c>
      <c r="L67" s="24">
        <v>511</v>
      </c>
      <c r="M67" s="24">
        <v>492</v>
      </c>
      <c r="N67" s="24">
        <v>23</v>
      </c>
      <c r="O67" s="24">
        <v>26</v>
      </c>
      <c r="P67" s="24">
        <v>30</v>
      </c>
      <c r="Q67" s="24">
        <v>34</v>
      </c>
      <c r="R67" s="24">
        <v>35</v>
      </c>
      <c r="S67" s="24">
        <v>36</v>
      </c>
      <c r="T67" s="34" t="s">
        <v>56</v>
      </c>
    </row>
    <row r="68" spans="1:20" ht="19.2" x14ac:dyDescent="0.3">
      <c r="A68" s="23" t="s">
        <v>57</v>
      </c>
      <c r="B68" s="24" t="s">
        <v>326</v>
      </c>
      <c r="C68" s="24" t="s">
        <v>327</v>
      </c>
      <c r="D68" s="24" t="s">
        <v>328</v>
      </c>
      <c r="E68" s="25">
        <v>3623</v>
      </c>
      <c r="F68" s="24" t="s">
        <v>329</v>
      </c>
      <c r="G68" s="25">
        <v>3664</v>
      </c>
      <c r="H68" s="24" t="s">
        <v>330</v>
      </c>
      <c r="I68" s="24" t="s">
        <v>331</v>
      </c>
      <c r="J68" s="24" t="s">
        <v>332</v>
      </c>
      <c r="K68" s="25">
        <v>2036</v>
      </c>
      <c r="L68" s="24">
        <v>2061</v>
      </c>
      <c r="M68" s="25">
        <v>2083</v>
      </c>
      <c r="N68" s="24">
        <v>143</v>
      </c>
      <c r="O68" s="24">
        <v>184</v>
      </c>
      <c r="P68" s="24">
        <v>249</v>
      </c>
      <c r="Q68" s="24">
        <v>263</v>
      </c>
      <c r="R68" s="24">
        <v>281</v>
      </c>
      <c r="S68" s="24">
        <v>293</v>
      </c>
      <c r="T68" s="34" t="s">
        <v>57</v>
      </c>
    </row>
    <row r="69" spans="1:20" ht="19.2" x14ac:dyDescent="0.3">
      <c r="A69" s="23" t="s">
        <v>58</v>
      </c>
      <c r="B69" s="24" t="s">
        <v>333</v>
      </c>
      <c r="C69" s="24" t="s">
        <v>334</v>
      </c>
      <c r="D69" s="24" t="s">
        <v>335</v>
      </c>
      <c r="E69" s="25">
        <v>1371</v>
      </c>
      <c r="F69" s="24" t="s">
        <v>336</v>
      </c>
      <c r="G69" s="25">
        <v>1310</v>
      </c>
      <c r="H69" s="24" t="s">
        <v>337</v>
      </c>
      <c r="I69" s="24">
        <v>809</v>
      </c>
      <c r="J69" s="24">
        <v>995</v>
      </c>
      <c r="K69" s="25">
        <v>1009</v>
      </c>
      <c r="L69" s="24">
        <v>1021</v>
      </c>
      <c r="M69" s="25">
        <v>1018</v>
      </c>
      <c r="N69" s="24">
        <v>55</v>
      </c>
      <c r="O69" s="24">
        <v>70</v>
      </c>
      <c r="P69" s="24">
        <v>104</v>
      </c>
      <c r="Q69" s="24">
        <v>106</v>
      </c>
      <c r="R69" s="24">
        <v>106</v>
      </c>
      <c r="S69" s="24">
        <v>104</v>
      </c>
      <c r="T69" s="34" t="s">
        <v>58</v>
      </c>
    </row>
    <row r="70" spans="1:20" ht="19.2" x14ac:dyDescent="0.3">
      <c r="A70" s="23" t="s">
        <v>59</v>
      </c>
      <c r="B70" s="24" t="s">
        <v>338</v>
      </c>
      <c r="C70" s="24" t="s">
        <v>339</v>
      </c>
      <c r="D70" s="24" t="s">
        <v>340</v>
      </c>
      <c r="E70" s="25">
        <v>2442</v>
      </c>
      <c r="F70" s="24" t="s">
        <v>341</v>
      </c>
      <c r="G70" s="25">
        <v>2365</v>
      </c>
      <c r="H70" s="24">
        <v>714</v>
      </c>
      <c r="I70" s="24">
        <v>745</v>
      </c>
      <c r="J70" s="24">
        <v>775</v>
      </c>
      <c r="K70" s="24">
        <v>775</v>
      </c>
      <c r="L70" s="24">
        <v>770</v>
      </c>
      <c r="M70" s="24">
        <v>762</v>
      </c>
      <c r="N70" s="24">
        <v>60</v>
      </c>
      <c r="O70" s="24">
        <v>70</v>
      </c>
      <c r="P70" s="24">
        <v>84</v>
      </c>
      <c r="Q70" s="24">
        <v>86</v>
      </c>
      <c r="R70" s="24">
        <v>86</v>
      </c>
      <c r="S70" s="24">
        <v>86</v>
      </c>
      <c r="T70" s="34" t="s">
        <v>59</v>
      </c>
    </row>
    <row r="71" spans="1:20" ht="19.2" x14ac:dyDescent="0.3">
      <c r="A71" s="23" t="s">
        <v>60</v>
      </c>
      <c r="B71" s="24" t="s">
        <v>342</v>
      </c>
      <c r="C71" s="24" t="s">
        <v>343</v>
      </c>
      <c r="D71" s="24" t="s">
        <v>344</v>
      </c>
      <c r="E71" s="25">
        <v>2622</v>
      </c>
      <c r="F71" s="24" t="s">
        <v>345</v>
      </c>
      <c r="G71" s="25">
        <v>2689</v>
      </c>
      <c r="H71" s="24" t="s">
        <v>346</v>
      </c>
      <c r="I71" s="24" t="s">
        <v>347</v>
      </c>
      <c r="J71" s="24" t="s">
        <v>267</v>
      </c>
      <c r="K71" s="25">
        <v>1222</v>
      </c>
      <c r="L71" s="24">
        <v>1234</v>
      </c>
      <c r="M71" s="25">
        <v>1249</v>
      </c>
      <c r="N71" s="24">
        <v>68</v>
      </c>
      <c r="O71" s="24">
        <v>64</v>
      </c>
      <c r="P71" s="24">
        <v>74</v>
      </c>
      <c r="Q71" s="24">
        <v>74</v>
      </c>
      <c r="R71" s="24">
        <v>76</v>
      </c>
      <c r="S71" s="24">
        <v>76</v>
      </c>
      <c r="T71" s="34" t="s">
        <v>60</v>
      </c>
    </row>
    <row r="72" spans="1:20" ht="19.2" x14ac:dyDescent="0.3">
      <c r="A72" s="23" t="s">
        <v>61</v>
      </c>
      <c r="B72" s="24" t="s">
        <v>321</v>
      </c>
      <c r="C72" s="24" t="s">
        <v>348</v>
      </c>
      <c r="D72" s="24" t="s">
        <v>349</v>
      </c>
      <c r="E72" s="25">
        <v>1071</v>
      </c>
      <c r="F72" s="24">
        <v>938</v>
      </c>
      <c r="G72" s="24">
        <v>951</v>
      </c>
      <c r="H72" s="24" t="s">
        <v>350</v>
      </c>
      <c r="I72" s="24">
        <v>849</v>
      </c>
      <c r="J72" s="24">
        <v>823</v>
      </c>
      <c r="K72" s="24">
        <v>816</v>
      </c>
      <c r="L72" s="24">
        <v>838</v>
      </c>
      <c r="M72" s="24">
        <v>823</v>
      </c>
      <c r="N72" s="24">
        <v>24</v>
      </c>
      <c r="O72" s="24">
        <v>30</v>
      </c>
      <c r="P72" s="24">
        <v>32</v>
      </c>
      <c r="Q72" s="24">
        <v>40</v>
      </c>
      <c r="R72" s="24">
        <v>41</v>
      </c>
      <c r="S72" s="24">
        <v>42</v>
      </c>
      <c r="T72" s="34" t="s">
        <v>61</v>
      </c>
    </row>
    <row r="73" spans="1:20" ht="19.2" x14ac:dyDescent="0.3">
      <c r="A73" s="23" t="s">
        <v>62</v>
      </c>
      <c r="B73" s="24" t="s">
        <v>351</v>
      </c>
      <c r="C73" s="24" t="s">
        <v>352</v>
      </c>
      <c r="D73" s="24" t="s">
        <v>353</v>
      </c>
      <c r="E73" s="25">
        <v>2979</v>
      </c>
      <c r="F73" s="24" t="s">
        <v>354</v>
      </c>
      <c r="G73" s="25">
        <v>2973</v>
      </c>
      <c r="H73" s="24" t="s">
        <v>355</v>
      </c>
      <c r="I73" s="24" t="s">
        <v>356</v>
      </c>
      <c r="J73" s="24" t="s">
        <v>357</v>
      </c>
      <c r="K73" s="25">
        <v>1834</v>
      </c>
      <c r="L73" s="24">
        <v>1822</v>
      </c>
      <c r="M73" s="25">
        <v>1810</v>
      </c>
      <c r="N73" s="24">
        <v>105</v>
      </c>
      <c r="O73" s="24">
        <v>164</v>
      </c>
      <c r="P73" s="24">
        <v>223</v>
      </c>
      <c r="Q73" s="24">
        <v>220</v>
      </c>
      <c r="R73" s="24">
        <v>230</v>
      </c>
      <c r="S73" s="24">
        <v>228</v>
      </c>
      <c r="T73" s="34" t="s">
        <v>62</v>
      </c>
    </row>
    <row r="74" spans="1:20" ht="19.2" x14ac:dyDescent="0.3">
      <c r="A74" s="23" t="s">
        <v>63</v>
      </c>
      <c r="B74" s="24" t="s">
        <v>358</v>
      </c>
      <c r="C74" s="24" t="s">
        <v>359</v>
      </c>
      <c r="D74" s="24" t="s">
        <v>360</v>
      </c>
      <c r="E74" s="25">
        <v>2639</v>
      </c>
      <c r="F74" s="24" t="s">
        <v>361</v>
      </c>
      <c r="G74" s="25">
        <v>2611</v>
      </c>
      <c r="H74" s="24" t="s">
        <v>182</v>
      </c>
      <c r="I74" s="24" t="s">
        <v>362</v>
      </c>
      <c r="J74" s="24" t="s">
        <v>363</v>
      </c>
      <c r="K74" s="25">
        <v>1201</v>
      </c>
      <c r="L74" s="24">
        <v>1202</v>
      </c>
      <c r="M74" s="25">
        <v>1206</v>
      </c>
      <c r="N74" s="24">
        <v>60</v>
      </c>
      <c r="O74" s="24">
        <v>57</v>
      </c>
      <c r="P74" s="24">
        <v>59</v>
      </c>
      <c r="Q74" s="24">
        <v>60</v>
      </c>
      <c r="R74" s="24">
        <v>60</v>
      </c>
      <c r="S74" s="24">
        <v>63</v>
      </c>
      <c r="T74" s="34" t="s">
        <v>63</v>
      </c>
    </row>
    <row r="75" spans="1:20" ht="19.2" x14ac:dyDescent="0.3">
      <c r="A75" s="23" t="s">
        <v>64</v>
      </c>
      <c r="B75" s="24" t="s">
        <v>364</v>
      </c>
      <c r="C75" s="24" t="s">
        <v>365</v>
      </c>
      <c r="D75" s="24" t="s">
        <v>366</v>
      </c>
      <c r="E75" s="25">
        <v>2368</v>
      </c>
      <c r="F75" s="24" t="s">
        <v>367</v>
      </c>
      <c r="G75" s="25">
        <v>2399</v>
      </c>
      <c r="H75" s="24">
        <v>822</v>
      </c>
      <c r="I75" s="24">
        <v>879</v>
      </c>
      <c r="J75" s="24">
        <v>887</v>
      </c>
      <c r="K75" s="24">
        <v>887</v>
      </c>
      <c r="L75" s="24">
        <v>885</v>
      </c>
      <c r="M75" s="24">
        <v>884</v>
      </c>
      <c r="N75" s="24">
        <v>65</v>
      </c>
      <c r="O75" s="24">
        <v>71</v>
      </c>
      <c r="P75" s="24">
        <v>72</v>
      </c>
      <c r="Q75" s="24">
        <v>72</v>
      </c>
      <c r="R75" s="24">
        <v>71</v>
      </c>
      <c r="S75" s="24">
        <v>72</v>
      </c>
      <c r="T75" s="34" t="s">
        <v>64</v>
      </c>
    </row>
    <row r="76" spans="1:20" ht="19.2" x14ac:dyDescent="0.3">
      <c r="A76" s="23" t="s">
        <v>65</v>
      </c>
      <c r="B76" s="24" t="s">
        <v>368</v>
      </c>
      <c r="C76" s="24" t="s">
        <v>369</v>
      </c>
      <c r="D76" s="24" t="s">
        <v>370</v>
      </c>
      <c r="E76" s="25">
        <v>2644</v>
      </c>
      <c r="F76" s="24" t="s">
        <v>371</v>
      </c>
      <c r="G76" s="25">
        <v>2692</v>
      </c>
      <c r="H76" s="24" t="s">
        <v>372</v>
      </c>
      <c r="I76" s="24" t="s">
        <v>373</v>
      </c>
      <c r="J76" s="24" t="s">
        <v>374</v>
      </c>
      <c r="K76" s="25">
        <v>1526</v>
      </c>
      <c r="L76" s="24">
        <v>1529</v>
      </c>
      <c r="M76" s="25">
        <v>1536</v>
      </c>
      <c r="N76" s="24">
        <v>59</v>
      </c>
      <c r="O76" s="24">
        <v>95</v>
      </c>
      <c r="P76" s="24">
        <v>120</v>
      </c>
      <c r="Q76" s="24">
        <v>132</v>
      </c>
      <c r="R76" s="24">
        <v>136</v>
      </c>
      <c r="S76" s="24">
        <v>137</v>
      </c>
      <c r="T76" s="34" t="s">
        <v>65</v>
      </c>
    </row>
    <row r="77" spans="1:20" ht="19.2" x14ac:dyDescent="0.3">
      <c r="A77" s="23" t="s">
        <v>66</v>
      </c>
      <c r="B77" s="24" t="s">
        <v>375</v>
      </c>
      <c r="C77" s="24" t="s">
        <v>376</v>
      </c>
      <c r="D77" s="24" t="s">
        <v>377</v>
      </c>
      <c r="E77" s="25">
        <v>1731</v>
      </c>
      <c r="F77" s="24" t="s">
        <v>172</v>
      </c>
      <c r="G77" s="25">
        <v>1977</v>
      </c>
      <c r="H77" s="24" t="s">
        <v>378</v>
      </c>
      <c r="I77" s="24" t="s">
        <v>379</v>
      </c>
      <c r="J77" s="24" t="s">
        <v>142</v>
      </c>
      <c r="K77" s="25">
        <v>1374</v>
      </c>
      <c r="L77" s="24">
        <v>1364</v>
      </c>
      <c r="M77" s="25">
        <v>1379</v>
      </c>
      <c r="N77" s="24">
        <v>50</v>
      </c>
      <c r="O77" s="24">
        <v>64</v>
      </c>
      <c r="P77" s="24">
        <v>80</v>
      </c>
      <c r="Q77" s="24">
        <v>88</v>
      </c>
      <c r="R77" s="24">
        <v>91</v>
      </c>
      <c r="S77" s="24">
        <v>85</v>
      </c>
      <c r="T77" s="34" t="s">
        <v>66</v>
      </c>
    </row>
    <row r="78" spans="1:20" ht="19.2" x14ac:dyDescent="0.3">
      <c r="A78" s="23" t="s">
        <v>67</v>
      </c>
      <c r="B78" s="24" t="s">
        <v>380</v>
      </c>
      <c r="C78" s="24" t="s">
        <v>381</v>
      </c>
      <c r="D78" s="24" t="s">
        <v>382</v>
      </c>
      <c r="E78" s="24">
        <v>991</v>
      </c>
      <c r="F78" s="24">
        <v>976</v>
      </c>
      <c r="G78" s="24">
        <v>983</v>
      </c>
      <c r="H78" s="24">
        <v>768</v>
      </c>
      <c r="I78" s="24">
        <v>718</v>
      </c>
      <c r="J78" s="24">
        <v>740</v>
      </c>
      <c r="K78" s="24">
        <v>734</v>
      </c>
      <c r="L78" s="24">
        <v>724</v>
      </c>
      <c r="M78" s="24">
        <v>727</v>
      </c>
      <c r="N78" s="24">
        <v>33</v>
      </c>
      <c r="O78" s="24">
        <v>41</v>
      </c>
      <c r="P78" s="24">
        <v>46</v>
      </c>
      <c r="Q78" s="24">
        <v>47</v>
      </c>
      <c r="R78" s="24">
        <v>49</v>
      </c>
      <c r="S78" s="24">
        <v>51</v>
      </c>
      <c r="T78" s="34" t="s">
        <v>67</v>
      </c>
    </row>
    <row r="79" spans="1:20" x14ac:dyDescent="0.3">
      <c r="A79" s="22" t="s">
        <v>383</v>
      </c>
      <c r="B79" s="44" t="s">
        <v>384</v>
      </c>
      <c r="C79" s="44" t="s">
        <v>385</v>
      </c>
      <c r="D79" s="44" t="s">
        <v>386</v>
      </c>
      <c r="E79" s="45">
        <v>12571</v>
      </c>
      <c r="F79" s="45">
        <v>12809</v>
      </c>
      <c r="G79" s="45">
        <v>13060</v>
      </c>
      <c r="H79" s="44" t="s">
        <v>387</v>
      </c>
      <c r="I79" s="44" t="s">
        <v>388</v>
      </c>
      <c r="J79" s="44" t="s">
        <v>389</v>
      </c>
      <c r="K79" s="45">
        <v>7646</v>
      </c>
      <c r="L79" s="45">
        <v>7728</v>
      </c>
      <c r="M79" s="45">
        <v>7710</v>
      </c>
      <c r="N79" s="44">
        <v>571</v>
      </c>
      <c r="O79" s="44">
        <v>587</v>
      </c>
      <c r="P79" s="44">
        <v>622</v>
      </c>
      <c r="Q79" s="44">
        <v>645</v>
      </c>
      <c r="R79" s="44">
        <v>663</v>
      </c>
      <c r="S79" s="44">
        <v>679</v>
      </c>
      <c r="T79" s="33" t="s">
        <v>383</v>
      </c>
    </row>
    <row r="80" spans="1:20" ht="19.2" x14ac:dyDescent="0.3">
      <c r="A80" s="22" t="s">
        <v>133</v>
      </c>
      <c r="B80" s="44"/>
      <c r="C80" s="44"/>
      <c r="D80" s="44"/>
      <c r="E80" s="45"/>
      <c r="F80" s="45"/>
      <c r="G80" s="45"/>
      <c r="H80" s="44"/>
      <c r="I80" s="44"/>
      <c r="J80" s="44"/>
      <c r="K80" s="45"/>
      <c r="L80" s="45"/>
      <c r="M80" s="45"/>
      <c r="N80" s="44"/>
      <c r="O80" s="44"/>
      <c r="P80" s="44"/>
      <c r="Q80" s="44"/>
      <c r="R80" s="44"/>
      <c r="S80" s="44"/>
      <c r="T80" s="33" t="s">
        <v>133</v>
      </c>
    </row>
    <row r="81" spans="1:20" ht="19.2" x14ac:dyDescent="0.3">
      <c r="A81" s="23" t="s">
        <v>390</v>
      </c>
      <c r="B81" s="24" t="s">
        <v>391</v>
      </c>
      <c r="C81" s="24" t="s">
        <v>392</v>
      </c>
      <c r="D81" s="24" t="s">
        <v>393</v>
      </c>
      <c r="E81" s="25">
        <v>1360</v>
      </c>
      <c r="F81" s="24" t="s">
        <v>394</v>
      </c>
      <c r="G81" s="25">
        <v>1318</v>
      </c>
      <c r="H81" s="24">
        <v>746</v>
      </c>
      <c r="I81" s="24">
        <v>744</v>
      </c>
      <c r="J81" s="24">
        <v>747</v>
      </c>
      <c r="K81" s="24">
        <v>759</v>
      </c>
      <c r="L81" s="24">
        <v>727</v>
      </c>
      <c r="M81" s="24">
        <v>713</v>
      </c>
      <c r="N81" s="24">
        <v>5</v>
      </c>
      <c r="O81" s="24">
        <v>10</v>
      </c>
      <c r="P81" s="24">
        <v>12</v>
      </c>
      <c r="Q81" s="24">
        <v>13</v>
      </c>
      <c r="R81" s="24">
        <v>13</v>
      </c>
      <c r="S81" s="24">
        <v>15</v>
      </c>
      <c r="T81" s="34" t="s">
        <v>390</v>
      </c>
    </row>
    <row r="82" spans="1:20" ht="19.2" x14ac:dyDescent="0.3">
      <c r="A82" s="23" t="s">
        <v>68</v>
      </c>
      <c r="B82" s="24" t="s">
        <v>395</v>
      </c>
      <c r="C82" s="24" t="s">
        <v>396</v>
      </c>
      <c r="D82" s="24" t="s">
        <v>397</v>
      </c>
      <c r="E82" s="25">
        <v>4046</v>
      </c>
      <c r="F82" s="24" t="s">
        <v>398</v>
      </c>
      <c r="G82" s="25">
        <v>4156</v>
      </c>
      <c r="H82" s="24" t="s">
        <v>192</v>
      </c>
      <c r="I82" s="24" t="s">
        <v>399</v>
      </c>
      <c r="J82" s="24" t="s">
        <v>400</v>
      </c>
      <c r="K82" s="25">
        <v>2694</v>
      </c>
      <c r="L82" s="24">
        <v>2770</v>
      </c>
      <c r="M82" s="25">
        <v>2710</v>
      </c>
      <c r="N82" s="24">
        <v>262</v>
      </c>
      <c r="O82" s="24">
        <v>268</v>
      </c>
      <c r="P82" s="24">
        <v>247</v>
      </c>
      <c r="Q82" s="24">
        <v>254</v>
      </c>
      <c r="R82" s="24">
        <v>265</v>
      </c>
      <c r="S82" s="24">
        <v>275</v>
      </c>
      <c r="T82" s="34" t="s">
        <v>68</v>
      </c>
    </row>
    <row r="83" spans="1:20" ht="19.2" x14ac:dyDescent="0.3">
      <c r="A83" s="23" t="s">
        <v>69</v>
      </c>
      <c r="B83" s="24" t="s">
        <v>369</v>
      </c>
      <c r="C83" s="24" t="s">
        <v>352</v>
      </c>
      <c r="D83" s="25">
        <v>3645</v>
      </c>
      <c r="E83" s="25">
        <v>3781</v>
      </c>
      <c r="F83" s="24" t="s">
        <v>401</v>
      </c>
      <c r="G83" s="25">
        <v>4119</v>
      </c>
      <c r="H83" s="24" t="s">
        <v>402</v>
      </c>
      <c r="I83" s="24" t="s">
        <v>403</v>
      </c>
      <c r="J83" s="24" t="s">
        <v>404</v>
      </c>
      <c r="K83" s="25">
        <v>2323</v>
      </c>
      <c r="L83" s="24">
        <v>2346</v>
      </c>
      <c r="M83" s="25">
        <v>2371</v>
      </c>
      <c r="N83" s="24">
        <v>191</v>
      </c>
      <c r="O83" s="24">
        <v>226</v>
      </c>
      <c r="P83" s="24">
        <v>261</v>
      </c>
      <c r="Q83" s="24">
        <v>275</v>
      </c>
      <c r="R83" s="24">
        <v>285</v>
      </c>
      <c r="S83" s="24">
        <v>288</v>
      </c>
      <c r="T83" s="34" t="s">
        <v>69</v>
      </c>
    </row>
    <row r="84" spans="1:20" ht="19.2" x14ac:dyDescent="0.3">
      <c r="A84" s="26" t="s">
        <v>220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35" t="s">
        <v>220</v>
      </c>
    </row>
    <row r="85" spans="1:20" ht="28.8" x14ac:dyDescent="0.3">
      <c r="A85" s="28" t="s">
        <v>405</v>
      </c>
      <c r="B85" s="46">
        <v>632</v>
      </c>
      <c r="C85" s="46">
        <v>881</v>
      </c>
      <c r="D85" s="46" t="s">
        <v>161</v>
      </c>
      <c r="E85" s="47">
        <v>1233</v>
      </c>
      <c r="F85" s="46" t="s">
        <v>406</v>
      </c>
      <c r="G85" s="47">
        <v>1413</v>
      </c>
      <c r="H85" s="46" t="s">
        <v>382</v>
      </c>
      <c r="I85" s="46">
        <v>915</v>
      </c>
      <c r="J85" s="46">
        <v>960</v>
      </c>
      <c r="K85" s="46">
        <v>972</v>
      </c>
      <c r="L85" s="46">
        <v>998</v>
      </c>
      <c r="M85" s="47">
        <v>1002</v>
      </c>
      <c r="N85" s="46">
        <v>100</v>
      </c>
      <c r="O85" s="46">
        <v>117</v>
      </c>
      <c r="P85" s="46">
        <v>134</v>
      </c>
      <c r="Q85" s="46">
        <v>141</v>
      </c>
      <c r="R85" s="46">
        <v>148</v>
      </c>
      <c r="S85" s="46">
        <v>149</v>
      </c>
      <c r="T85" s="36" t="s">
        <v>405</v>
      </c>
    </row>
    <row r="86" spans="1:20" ht="28.8" x14ac:dyDescent="0.3">
      <c r="A86" s="28" t="s">
        <v>407</v>
      </c>
      <c r="B86" s="46"/>
      <c r="C86" s="46"/>
      <c r="D86" s="46"/>
      <c r="E86" s="47"/>
      <c r="F86" s="46"/>
      <c r="G86" s="47"/>
      <c r="H86" s="46"/>
      <c r="I86" s="46"/>
      <c r="J86" s="46"/>
      <c r="K86" s="46"/>
      <c r="L86" s="46"/>
      <c r="M86" s="47"/>
      <c r="N86" s="46"/>
      <c r="O86" s="46"/>
      <c r="P86" s="46"/>
      <c r="Q86" s="46"/>
      <c r="R86" s="46"/>
      <c r="S86" s="46"/>
      <c r="T86" s="36" t="s">
        <v>407</v>
      </c>
    </row>
    <row r="87" spans="1:20" ht="38.4" x14ac:dyDescent="0.3">
      <c r="A87" s="28" t="s">
        <v>408</v>
      </c>
      <c r="B87" s="24">
        <v>174</v>
      </c>
      <c r="C87" s="24">
        <v>237</v>
      </c>
      <c r="D87" s="24">
        <v>295</v>
      </c>
      <c r="E87" s="24">
        <v>320</v>
      </c>
      <c r="F87" s="24">
        <v>337</v>
      </c>
      <c r="G87" s="24">
        <v>342</v>
      </c>
      <c r="H87" s="24">
        <v>386</v>
      </c>
      <c r="I87" s="24">
        <v>418</v>
      </c>
      <c r="J87" s="24">
        <v>464</v>
      </c>
      <c r="K87" s="24">
        <v>475</v>
      </c>
      <c r="L87" s="24">
        <v>475</v>
      </c>
      <c r="M87" s="24">
        <v>475</v>
      </c>
      <c r="N87" s="24">
        <v>32</v>
      </c>
      <c r="O87" s="24">
        <v>43</v>
      </c>
      <c r="P87" s="24">
        <v>63</v>
      </c>
      <c r="Q87" s="24">
        <v>68</v>
      </c>
      <c r="R87" s="24">
        <v>69</v>
      </c>
      <c r="S87" s="24">
        <v>71</v>
      </c>
      <c r="T87" s="36" t="s">
        <v>408</v>
      </c>
    </row>
    <row r="88" spans="1:20" ht="19.2" x14ac:dyDescent="0.3">
      <c r="A88" s="28" t="s">
        <v>69</v>
      </c>
      <c r="B88" s="46" t="s">
        <v>409</v>
      </c>
      <c r="C88" s="46" t="s">
        <v>410</v>
      </c>
      <c r="D88" s="47">
        <v>2191</v>
      </c>
      <c r="E88" s="47">
        <v>2228</v>
      </c>
      <c r="F88" s="46" t="s">
        <v>411</v>
      </c>
      <c r="G88" s="47">
        <v>2364</v>
      </c>
      <c r="H88" s="46" t="s">
        <v>157</v>
      </c>
      <c r="I88" s="46" t="s">
        <v>412</v>
      </c>
      <c r="J88" s="46">
        <v>863</v>
      </c>
      <c r="K88" s="46">
        <v>876</v>
      </c>
      <c r="L88" s="46">
        <v>873</v>
      </c>
      <c r="M88" s="46">
        <v>894</v>
      </c>
      <c r="N88" s="46">
        <v>59</v>
      </c>
      <c r="O88" s="46">
        <v>66</v>
      </c>
      <c r="P88" s="46">
        <v>64</v>
      </c>
      <c r="Q88" s="46">
        <v>66</v>
      </c>
      <c r="R88" s="46">
        <v>68</v>
      </c>
      <c r="S88" s="46">
        <v>68</v>
      </c>
      <c r="T88" s="36" t="s">
        <v>69</v>
      </c>
    </row>
    <row r="89" spans="1:20" ht="28.8" x14ac:dyDescent="0.3">
      <c r="A89" s="28" t="s">
        <v>413</v>
      </c>
      <c r="B89" s="46"/>
      <c r="C89" s="46"/>
      <c r="D89" s="47"/>
      <c r="E89" s="47"/>
      <c r="F89" s="46"/>
      <c r="G89" s="47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36" t="s">
        <v>413</v>
      </c>
    </row>
    <row r="90" spans="1:20" ht="19.2" x14ac:dyDescent="0.3">
      <c r="A90" s="23" t="s">
        <v>72</v>
      </c>
      <c r="B90" s="24" t="s">
        <v>135</v>
      </c>
      <c r="C90" s="24" t="s">
        <v>414</v>
      </c>
      <c r="D90" s="24" t="s">
        <v>415</v>
      </c>
      <c r="E90" s="25">
        <v>3384</v>
      </c>
      <c r="F90" s="24" t="s">
        <v>416</v>
      </c>
      <c r="G90" s="25">
        <v>3467</v>
      </c>
      <c r="H90" s="24" t="s">
        <v>417</v>
      </c>
      <c r="I90" s="24" t="s">
        <v>418</v>
      </c>
      <c r="J90" s="24" t="s">
        <v>419</v>
      </c>
      <c r="K90" s="25">
        <v>1870</v>
      </c>
      <c r="L90" s="24">
        <v>1885</v>
      </c>
      <c r="M90" s="25">
        <v>1916</v>
      </c>
      <c r="N90" s="24">
        <v>113</v>
      </c>
      <c r="O90" s="24">
        <v>83</v>
      </c>
      <c r="P90" s="24">
        <v>102</v>
      </c>
      <c r="Q90" s="24">
        <v>103</v>
      </c>
      <c r="R90" s="24">
        <v>100</v>
      </c>
      <c r="S90" s="24">
        <v>101</v>
      </c>
      <c r="T90" s="34" t="s">
        <v>72</v>
      </c>
    </row>
    <row r="91" spans="1:20" x14ac:dyDescent="0.3">
      <c r="A91" s="22" t="s">
        <v>420</v>
      </c>
      <c r="B91" s="44" t="s">
        <v>421</v>
      </c>
      <c r="C91" s="44" t="s">
        <v>422</v>
      </c>
      <c r="D91" s="44" t="s">
        <v>423</v>
      </c>
      <c r="E91" s="45">
        <v>19053</v>
      </c>
      <c r="F91" s="45">
        <v>18952</v>
      </c>
      <c r="G91" s="45">
        <v>19146</v>
      </c>
      <c r="H91" s="44" t="s">
        <v>424</v>
      </c>
      <c r="I91" s="44" t="s">
        <v>425</v>
      </c>
      <c r="J91" s="44" t="s">
        <v>426</v>
      </c>
      <c r="K91" s="45">
        <v>9547</v>
      </c>
      <c r="L91" s="45">
        <v>9695</v>
      </c>
      <c r="M91" s="45">
        <v>9759</v>
      </c>
      <c r="N91" s="44">
        <v>508</v>
      </c>
      <c r="O91" s="44">
        <v>596</v>
      </c>
      <c r="P91" s="44">
        <v>640</v>
      </c>
      <c r="Q91" s="44">
        <v>676</v>
      </c>
      <c r="R91" s="44">
        <v>697</v>
      </c>
      <c r="S91" s="44">
        <v>713</v>
      </c>
      <c r="T91" s="33" t="s">
        <v>420</v>
      </c>
    </row>
    <row r="92" spans="1:20" ht="19.2" x14ac:dyDescent="0.3">
      <c r="A92" s="22" t="s">
        <v>133</v>
      </c>
      <c r="B92" s="44"/>
      <c r="C92" s="44"/>
      <c r="D92" s="44"/>
      <c r="E92" s="45"/>
      <c r="F92" s="45"/>
      <c r="G92" s="45"/>
      <c r="H92" s="44"/>
      <c r="I92" s="44"/>
      <c r="J92" s="44"/>
      <c r="K92" s="45"/>
      <c r="L92" s="45"/>
      <c r="M92" s="45"/>
      <c r="N92" s="44"/>
      <c r="O92" s="44"/>
      <c r="P92" s="44"/>
      <c r="Q92" s="44"/>
      <c r="R92" s="44"/>
      <c r="S92" s="44"/>
      <c r="T92" s="33" t="s">
        <v>133</v>
      </c>
    </row>
    <row r="93" spans="1:20" ht="19.2" x14ac:dyDescent="0.3">
      <c r="A93" s="23" t="s">
        <v>73</v>
      </c>
      <c r="B93" s="24">
        <v>164</v>
      </c>
      <c r="C93" s="24">
        <v>175</v>
      </c>
      <c r="D93" s="24">
        <v>183</v>
      </c>
      <c r="E93" s="24">
        <v>185</v>
      </c>
      <c r="F93" s="24">
        <v>181</v>
      </c>
      <c r="G93" s="24">
        <v>199</v>
      </c>
      <c r="H93" s="24">
        <v>121</v>
      </c>
      <c r="I93" s="24">
        <v>131</v>
      </c>
      <c r="J93" s="24">
        <v>140</v>
      </c>
      <c r="K93" s="24">
        <v>141</v>
      </c>
      <c r="L93" s="24">
        <v>147</v>
      </c>
      <c r="M93" s="24">
        <v>150</v>
      </c>
      <c r="N93" s="24">
        <v>1</v>
      </c>
      <c r="O93" s="24">
        <v>1</v>
      </c>
      <c r="P93" s="24">
        <v>2</v>
      </c>
      <c r="Q93" s="24">
        <v>2</v>
      </c>
      <c r="R93" s="24">
        <v>2</v>
      </c>
      <c r="S93" s="24">
        <v>2</v>
      </c>
      <c r="T93" s="34" t="s">
        <v>73</v>
      </c>
    </row>
    <row r="94" spans="1:20" ht="19.2" x14ac:dyDescent="0.3">
      <c r="A94" s="23" t="s">
        <v>74</v>
      </c>
      <c r="B94" s="24">
        <v>365</v>
      </c>
      <c r="C94" s="24">
        <v>466</v>
      </c>
      <c r="D94" s="24">
        <v>481</v>
      </c>
      <c r="E94" s="24">
        <v>507</v>
      </c>
      <c r="F94" s="24">
        <v>433</v>
      </c>
      <c r="G94" s="24">
        <v>391</v>
      </c>
      <c r="H94" s="24">
        <v>199</v>
      </c>
      <c r="I94" s="24">
        <v>185</v>
      </c>
      <c r="J94" s="24">
        <v>214</v>
      </c>
      <c r="K94" s="24">
        <v>236</v>
      </c>
      <c r="L94" s="24">
        <v>240</v>
      </c>
      <c r="M94" s="24">
        <v>259</v>
      </c>
      <c r="N94" s="24">
        <v>6</v>
      </c>
      <c r="O94" s="24">
        <v>3</v>
      </c>
      <c r="P94" s="24">
        <v>4</v>
      </c>
      <c r="Q94" s="24">
        <v>4</v>
      </c>
      <c r="R94" s="24">
        <v>4</v>
      </c>
      <c r="S94" s="24">
        <v>8</v>
      </c>
      <c r="T94" s="34" t="s">
        <v>74</v>
      </c>
    </row>
    <row r="95" spans="1:20" ht="19.2" x14ac:dyDescent="0.3">
      <c r="A95" s="23" t="s">
        <v>75</v>
      </c>
      <c r="B95" s="24">
        <v>480</v>
      </c>
      <c r="C95" s="24">
        <v>571</v>
      </c>
      <c r="D95" s="24">
        <v>591</v>
      </c>
      <c r="E95" s="24">
        <v>596</v>
      </c>
      <c r="F95" s="24">
        <v>588</v>
      </c>
      <c r="G95" s="24">
        <v>600</v>
      </c>
      <c r="H95" s="24">
        <v>257</v>
      </c>
      <c r="I95" s="24">
        <v>270</v>
      </c>
      <c r="J95" s="24">
        <v>272</v>
      </c>
      <c r="K95" s="24">
        <v>274</v>
      </c>
      <c r="L95" s="24">
        <v>277</v>
      </c>
      <c r="M95" s="24">
        <v>282</v>
      </c>
      <c r="N95" s="24">
        <v>27</v>
      </c>
      <c r="O95" s="24">
        <v>28</v>
      </c>
      <c r="P95" s="24">
        <v>30</v>
      </c>
      <c r="Q95" s="24">
        <v>30</v>
      </c>
      <c r="R95" s="24">
        <v>30</v>
      </c>
      <c r="S95" s="24">
        <v>30</v>
      </c>
      <c r="T95" s="34" t="s">
        <v>75</v>
      </c>
    </row>
    <row r="96" spans="1:20" ht="19.2" x14ac:dyDescent="0.3">
      <c r="A96" s="23" t="s">
        <v>76</v>
      </c>
      <c r="B96" s="24" t="s">
        <v>427</v>
      </c>
      <c r="C96" s="24" t="s">
        <v>428</v>
      </c>
      <c r="D96" s="24" t="s">
        <v>429</v>
      </c>
      <c r="E96" s="25">
        <v>3121</v>
      </c>
      <c r="F96" s="24" t="s">
        <v>430</v>
      </c>
      <c r="G96" s="25">
        <v>3162</v>
      </c>
      <c r="H96" s="24" t="s">
        <v>431</v>
      </c>
      <c r="I96" s="24" t="s">
        <v>432</v>
      </c>
      <c r="J96" s="24" t="s">
        <v>433</v>
      </c>
      <c r="K96" s="25">
        <v>1686</v>
      </c>
      <c r="L96" s="24">
        <v>1714</v>
      </c>
      <c r="M96" s="25">
        <v>1723</v>
      </c>
      <c r="N96" s="24">
        <v>51</v>
      </c>
      <c r="O96" s="24">
        <v>64</v>
      </c>
      <c r="P96" s="24">
        <v>84</v>
      </c>
      <c r="Q96" s="24">
        <v>95</v>
      </c>
      <c r="R96" s="24">
        <v>96</v>
      </c>
      <c r="S96" s="24">
        <v>100</v>
      </c>
      <c r="T96" s="34" t="s">
        <v>76</v>
      </c>
    </row>
    <row r="97" spans="1:20" ht="19.2" x14ac:dyDescent="0.3">
      <c r="A97" s="23" t="s">
        <v>77</v>
      </c>
      <c r="B97" s="24" t="s">
        <v>434</v>
      </c>
      <c r="C97" s="24" t="s">
        <v>435</v>
      </c>
      <c r="D97" s="24" t="s">
        <v>436</v>
      </c>
      <c r="E97" s="25">
        <v>2943</v>
      </c>
      <c r="F97" s="24" t="s">
        <v>437</v>
      </c>
      <c r="G97" s="25">
        <v>3024</v>
      </c>
      <c r="H97" s="24" t="s">
        <v>438</v>
      </c>
      <c r="I97" s="24" t="s">
        <v>439</v>
      </c>
      <c r="J97" s="24" t="s">
        <v>440</v>
      </c>
      <c r="K97" s="25">
        <v>1569</v>
      </c>
      <c r="L97" s="24">
        <v>1587</v>
      </c>
      <c r="M97" s="25">
        <v>1581</v>
      </c>
      <c r="N97" s="24">
        <v>86</v>
      </c>
      <c r="O97" s="24">
        <v>104</v>
      </c>
      <c r="P97" s="24">
        <v>105</v>
      </c>
      <c r="Q97" s="24">
        <v>120</v>
      </c>
      <c r="R97" s="24">
        <v>126</v>
      </c>
      <c r="S97" s="24">
        <v>127</v>
      </c>
      <c r="T97" s="34" t="s">
        <v>77</v>
      </c>
    </row>
    <row r="98" spans="1:20" ht="19.2" x14ac:dyDescent="0.3">
      <c r="A98" s="23" t="s">
        <v>78</v>
      </c>
      <c r="B98" s="24" t="s">
        <v>441</v>
      </c>
      <c r="C98" s="24" t="s">
        <v>442</v>
      </c>
      <c r="D98" s="24" t="s">
        <v>443</v>
      </c>
      <c r="E98" s="25">
        <v>1890</v>
      </c>
      <c r="F98" s="24" t="s">
        <v>444</v>
      </c>
      <c r="G98" s="25">
        <v>1937</v>
      </c>
      <c r="H98" s="24" t="s">
        <v>445</v>
      </c>
      <c r="I98" s="24" t="s">
        <v>446</v>
      </c>
      <c r="J98" s="24" t="s">
        <v>447</v>
      </c>
      <c r="K98" s="25">
        <v>1340</v>
      </c>
      <c r="L98" s="24">
        <v>1367</v>
      </c>
      <c r="M98" s="25">
        <v>1387</v>
      </c>
      <c r="N98" s="24">
        <v>71</v>
      </c>
      <c r="O98" s="24">
        <v>81</v>
      </c>
      <c r="P98" s="24">
        <v>88</v>
      </c>
      <c r="Q98" s="24">
        <v>92</v>
      </c>
      <c r="R98" s="24">
        <v>94</v>
      </c>
      <c r="S98" s="24">
        <v>97</v>
      </c>
      <c r="T98" s="34" t="s">
        <v>78</v>
      </c>
    </row>
    <row r="99" spans="1:20" ht="19.2" x14ac:dyDescent="0.3">
      <c r="A99" s="23" t="s">
        <v>79</v>
      </c>
      <c r="B99" s="24" t="s">
        <v>448</v>
      </c>
      <c r="C99" s="24" t="s">
        <v>449</v>
      </c>
      <c r="D99" s="24" t="s">
        <v>450</v>
      </c>
      <c r="E99" s="25">
        <v>4117</v>
      </c>
      <c r="F99" s="24" t="s">
        <v>451</v>
      </c>
      <c r="G99" s="25">
        <v>4028</v>
      </c>
      <c r="H99" s="24" t="s">
        <v>452</v>
      </c>
      <c r="I99" s="24" t="s">
        <v>348</v>
      </c>
      <c r="J99" s="24" t="s">
        <v>453</v>
      </c>
      <c r="K99" s="25">
        <v>1130</v>
      </c>
      <c r="L99" s="24">
        <v>1156</v>
      </c>
      <c r="M99" s="25">
        <v>1157</v>
      </c>
      <c r="N99" s="24">
        <v>111</v>
      </c>
      <c r="O99" s="24">
        <v>132</v>
      </c>
      <c r="P99" s="24">
        <v>124</v>
      </c>
      <c r="Q99" s="24">
        <v>122</v>
      </c>
      <c r="R99" s="24">
        <v>132</v>
      </c>
      <c r="S99" s="24">
        <v>132</v>
      </c>
      <c r="T99" s="34" t="s">
        <v>79</v>
      </c>
    </row>
    <row r="100" spans="1:20" ht="19.2" x14ac:dyDescent="0.3">
      <c r="A100" s="23" t="s">
        <v>80</v>
      </c>
      <c r="B100" s="24" t="s">
        <v>454</v>
      </c>
      <c r="C100" s="24" t="s">
        <v>455</v>
      </c>
      <c r="D100" s="24" t="s">
        <v>456</v>
      </c>
      <c r="E100" s="25">
        <v>2183</v>
      </c>
      <c r="F100" s="24" t="s">
        <v>457</v>
      </c>
      <c r="G100" s="25">
        <v>2235</v>
      </c>
      <c r="H100" s="24" t="s">
        <v>458</v>
      </c>
      <c r="I100" s="24" t="s">
        <v>459</v>
      </c>
      <c r="J100" s="24" t="s">
        <v>460</v>
      </c>
      <c r="K100" s="25">
        <v>1372</v>
      </c>
      <c r="L100" s="24">
        <v>1406</v>
      </c>
      <c r="M100" s="25">
        <v>1436</v>
      </c>
      <c r="N100" s="24">
        <v>66</v>
      </c>
      <c r="O100" s="24">
        <v>84</v>
      </c>
      <c r="P100" s="24">
        <v>98</v>
      </c>
      <c r="Q100" s="24">
        <v>105</v>
      </c>
      <c r="R100" s="24">
        <v>107</v>
      </c>
      <c r="S100" s="24">
        <v>110</v>
      </c>
      <c r="T100" s="34" t="s">
        <v>80</v>
      </c>
    </row>
    <row r="101" spans="1:20" ht="19.2" x14ac:dyDescent="0.3">
      <c r="A101" s="23" t="s">
        <v>81</v>
      </c>
      <c r="B101" s="24" t="s">
        <v>461</v>
      </c>
      <c r="C101" s="24" t="s">
        <v>462</v>
      </c>
      <c r="D101" s="24" t="s">
        <v>463</v>
      </c>
      <c r="E101" s="25">
        <v>2638</v>
      </c>
      <c r="F101" s="24" t="s">
        <v>361</v>
      </c>
      <c r="G101" s="25">
        <v>2665</v>
      </c>
      <c r="H101" s="24" t="s">
        <v>458</v>
      </c>
      <c r="I101" s="24" t="s">
        <v>130</v>
      </c>
      <c r="J101" s="24" t="s">
        <v>464</v>
      </c>
      <c r="K101" s="25">
        <v>1206</v>
      </c>
      <c r="L101" s="24">
        <v>1204</v>
      </c>
      <c r="M101" s="25">
        <v>1186</v>
      </c>
      <c r="N101" s="24">
        <v>67</v>
      </c>
      <c r="O101" s="24">
        <v>71</v>
      </c>
      <c r="P101" s="24">
        <v>72</v>
      </c>
      <c r="Q101" s="24">
        <v>73</v>
      </c>
      <c r="R101" s="24">
        <v>73</v>
      </c>
      <c r="S101" s="24">
        <v>75</v>
      </c>
      <c r="T101" s="34" t="s">
        <v>81</v>
      </c>
    </row>
    <row r="102" spans="1:20" ht="19.2" x14ac:dyDescent="0.3">
      <c r="A102" s="23" t="s">
        <v>82</v>
      </c>
      <c r="B102" s="24">
        <v>592</v>
      </c>
      <c r="C102" s="24">
        <v>730</v>
      </c>
      <c r="D102" s="24">
        <v>846</v>
      </c>
      <c r="E102" s="24">
        <v>873</v>
      </c>
      <c r="F102" s="24">
        <v>878</v>
      </c>
      <c r="G102" s="24">
        <v>905</v>
      </c>
      <c r="H102" s="24">
        <v>476</v>
      </c>
      <c r="I102" s="24">
        <v>469</v>
      </c>
      <c r="J102" s="24">
        <v>581</v>
      </c>
      <c r="K102" s="24">
        <v>593</v>
      </c>
      <c r="L102" s="24">
        <v>597</v>
      </c>
      <c r="M102" s="24">
        <v>598</v>
      </c>
      <c r="N102" s="24">
        <v>22</v>
      </c>
      <c r="O102" s="24">
        <v>28</v>
      </c>
      <c r="P102" s="24">
        <v>33</v>
      </c>
      <c r="Q102" s="24">
        <v>33</v>
      </c>
      <c r="R102" s="24">
        <v>33</v>
      </c>
      <c r="S102" s="24">
        <v>32</v>
      </c>
      <c r="T102" s="34" t="s">
        <v>82</v>
      </c>
    </row>
    <row r="103" spans="1:20" ht="19.2" x14ac:dyDescent="0.3">
      <c r="A103" s="22" t="s">
        <v>465</v>
      </c>
      <c r="B103" s="44" t="s">
        <v>466</v>
      </c>
      <c r="C103" s="44" t="s">
        <v>467</v>
      </c>
      <c r="D103" s="44" t="s">
        <v>468</v>
      </c>
      <c r="E103" s="45">
        <v>8086</v>
      </c>
      <c r="F103" s="45">
        <v>8256</v>
      </c>
      <c r="G103" s="45">
        <v>8411</v>
      </c>
      <c r="H103" s="44" t="s">
        <v>469</v>
      </c>
      <c r="I103" s="44" t="s">
        <v>470</v>
      </c>
      <c r="J103" s="44" t="s">
        <v>471</v>
      </c>
      <c r="K103" s="45">
        <v>5158</v>
      </c>
      <c r="L103" s="45">
        <v>5175</v>
      </c>
      <c r="M103" s="45">
        <v>5304</v>
      </c>
      <c r="N103" s="44">
        <v>220</v>
      </c>
      <c r="O103" s="44">
        <v>256</v>
      </c>
      <c r="P103" s="44">
        <v>297</v>
      </c>
      <c r="Q103" s="44">
        <v>305</v>
      </c>
      <c r="R103" s="44">
        <v>304</v>
      </c>
      <c r="S103" s="44">
        <v>302</v>
      </c>
      <c r="T103" s="33" t="s">
        <v>465</v>
      </c>
    </row>
    <row r="104" spans="1:20" ht="19.2" x14ac:dyDescent="0.3">
      <c r="A104" s="22" t="s">
        <v>133</v>
      </c>
      <c r="B104" s="44"/>
      <c r="C104" s="44"/>
      <c r="D104" s="44"/>
      <c r="E104" s="45"/>
      <c r="F104" s="45"/>
      <c r="G104" s="45"/>
      <c r="H104" s="44"/>
      <c r="I104" s="44"/>
      <c r="J104" s="44"/>
      <c r="K104" s="45"/>
      <c r="L104" s="45"/>
      <c r="M104" s="45"/>
      <c r="N104" s="44"/>
      <c r="O104" s="44"/>
      <c r="P104" s="44"/>
      <c r="Q104" s="44"/>
      <c r="R104" s="44"/>
      <c r="S104" s="44"/>
      <c r="T104" s="33" t="s">
        <v>133</v>
      </c>
    </row>
    <row r="105" spans="1:20" ht="19.2" x14ac:dyDescent="0.3">
      <c r="A105" s="23" t="s">
        <v>83</v>
      </c>
      <c r="B105" s="24">
        <v>827</v>
      </c>
      <c r="C105" s="24">
        <v>992</v>
      </c>
      <c r="D105" s="24" t="s">
        <v>472</v>
      </c>
      <c r="E105" s="25">
        <v>1081</v>
      </c>
      <c r="F105" s="24" t="s">
        <v>473</v>
      </c>
      <c r="G105" s="25">
        <v>1141</v>
      </c>
      <c r="H105" s="24">
        <v>466</v>
      </c>
      <c r="I105" s="24">
        <v>515</v>
      </c>
      <c r="J105" s="24">
        <v>537</v>
      </c>
      <c r="K105" s="24">
        <v>550</v>
      </c>
      <c r="L105" s="24">
        <v>563</v>
      </c>
      <c r="M105" s="24">
        <v>576</v>
      </c>
      <c r="N105" s="24">
        <v>11</v>
      </c>
      <c r="O105" s="24">
        <v>15</v>
      </c>
      <c r="P105" s="24">
        <v>15</v>
      </c>
      <c r="Q105" s="24">
        <v>16</v>
      </c>
      <c r="R105" s="24">
        <v>17</v>
      </c>
      <c r="S105" s="24">
        <v>17</v>
      </c>
      <c r="T105" s="34" t="s">
        <v>83</v>
      </c>
    </row>
    <row r="106" spans="1:20" ht="28.8" x14ac:dyDescent="0.3">
      <c r="A106" s="23" t="s">
        <v>84</v>
      </c>
      <c r="B106" s="24">
        <v>499</v>
      </c>
      <c r="C106" s="24">
        <v>548</v>
      </c>
      <c r="D106" s="24">
        <v>561</v>
      </c>
      <c r="E106" s="24">
        <v>564</v>
      </c>
      <c r="F106" s="24">
        <v>564</v>
      </c>
      <c r="G106" s="24">
        <v>568</v>
      </c>
      <c r="H106" s="24">
        <v>771</v>
      </c>
      <c r="I106" s="24">
        <v>834</v>
      </c>
      <c r="J106" s="24">
        <v>867</v>
      </c>
      <c r="K106" s="24">
        <v>867</v>
      </c>
      <c r="L106" s="24">
        <v>874</v>
      </c>
      <c r="M106" s="24">
        <v>874</v>
      </c>
      <c r="N106" s="24">
        <v>50</v>
      </c>
      <c r="O106" s="24">
        <v>51</v>
      </c>
      <c r="P106" s="24">
        <v>52</v>
      </c>
      <c r="Q106" s="24">
        <v>52</v>
      </c>
      <c r="R106" s="24">
        <v>53</v>
      </c>
      <c r="S106" s="24">
        <v>54</v>
      </c>
      <c r="T106" s="34" t="s">
        <v>84</v>
      </c>
    </row>
    <row r="107" spans="1:20" ht="19.2" x14ac:dyDescent="0.3">
      <c r="A107" s="23" t="s">
        <v>85</v>
      </c>
      <c r="B107" s="24" t="s">
        <v>474</v>
      </c>
      <c r="C107" s="24" t="s">
        <v>475</v>
      </c>
      <c r="D107" s="24">
        <v>699</v>
      </c>
      <c r="E107" s="24">
        <v>699</v>
      </c>
      <c r="F107" s="24">
        <v>774</v>
      </c>
      <c r="G107" s="24">
        <v>809</v>
      </c>
      <c r="H107" s="24">
        <v>760</v>
      </c>
      <c r="I107" s="24">
        <v>757</v>
      </c>
      <c r="J107" s="24">
        <v>675</v>
      </c>
      <c r="K107" s="24">
        <v>708</v>
      </c>
      <c r="L107" s="24">
        <v>681</v>
      </c>
      <c r="M107" s="24">
        <v>720</v>
      </c>
      <c r="N107" s="24">
        <v>26</v>
      </c>
      <c r="O107" s="24">
        <v>31</v>
      </c>
      <c r="P107" s="24">
        <v>25</v>
      </c>
      <c r="Q107" s="24">
        <v>25</v>
      </c>
      <c r="R107" s="24">
        <v>25</v>
      </c>
      <c r="S107" s="24">
        <v>24</v>
      </c>
      <c r="T107" s="34" t="s">
        <v>85</v>
      </c>
    </row>
    <row r="108" spans="1:20" ht="19.2" x14ac:dyDescent="0.3">
      <c r="A108" s="23" t="s">
        <v>86</v>
      </c>
      <c r="B108" s="24">
        <v>270</v>
      </c>
      <c r="C108" s="24">
        <v>283</v>
      </c>
      <c r="D108" s="24">
        <v>292</v>
      </c>
      <c r="E108" s="24">
        <v>295</v>
      </c>
      <c r="F108" s="24">
        <v>304</v>
      </c>
      <c r="G108" s="24">
        <v>319</v>
      </c>
      <c r="H108" s="24">
        <v>221</v>
      </c>
      <c r="I108" s="24">
        <v>193</v>
      </c>
      <c r="J108" s="24">
        <v>188</v>
      </c>
      <c r="K108" s="24">
        <v>187</v>
      </c>
      <c r="L108" s="24">
        <v>188</v>
      </c>
      <c r="M108" s="24">
        <v>191</v>
      </c>
      <c r="N108" s="24">
        <v>5</v>
      </c>
      <c r="O108" s="24">
        <v>7</v>
      </c>
      <c r="P108" s="24">
        <v>8</v>
      </c>
      <c r="Q108" s="24">
        <v>9</v>
      </c>
      <c r="R108" s="24">
        <v>10</v>
      </c>
      <c r="S108" s="24">
        <v>9</v>
      </c>
      <c r="T108" s="34" t="s">
        <v>86</v>
      </c>
    </row>
    <row r="109" spans="1:20" ht="19.2" x14ac:dyDescent="0.3">
      <c r="A109" s="23" t="s">
        <v>87</v>
      </c>
      <c r="B109" s="24" t="s">
        <v>476</v>
      </c>
      <c r="C109" s="24" t="s">
        <v>477</v>
      </c>
      <c r="D109" s="24" t="s">
        <v>478</v>
      </c>
      <c r="E109" s="25">
        <v>1573</v>
      </c>
      <c r="F109" s="24" t="s">
        <v>479</v>
      </c>
      <c r="G109" s="25">
        <v>1749</v>
      </c>
      <c r="H109" s="24" t="s">
        <v>480</v>
      </c>
      <c r="I109" s="24" t="s">
        <v>481</v>
      </c>
      <c r="J109" s="24" t="s">
        <v>482</v>
      </c>
      <c r="K109" s="25">
        <v>1148</v>
      </c>
      <c r="L109" s="24">
        <v>1130</v>
      </c>
      <c r="M109" s="25">
        <v>1160</v>
      </c>
      <c r="N109" s="24">
        <v>44</v>
      </c>
      <c r="O109" s="24">
        <v>51</v>
      </c>
      <c r="P109" s="24">
        <v>65</v>
      </c>
      <c r="Q109" s="24">
        <v>68</v>
      </c>
      <c r="R109" s="24">
        <v>71</v>
      </c>
      <c r="S109" s="24">
        <v>72</v>
      </c>
      <c r="T109" s="34" t="s">
        <v>87</v>
      </c>
    </row>
    <row r="110" spans="1:20" ht="19.2" x14ac:dyDescent="0.3">
      <c r="A110" s="23" t="s">
        <v>88</v>
      </c>
      <c r="B110" s="24" t="s">
        <v>483</v>
      </c>
      <c r="C110" s="24" t="s">
        <v>484</v>
      </c>
      <c r="D110" s="24" t="s">
        <v>485</v>
      </c>
      <c r="E110" s="25">
        <v>1605</v>
      </c>
      <c r="F110" s="24" t="s">
        <v>486</v>
      </c>
      <c r="G110" s="25">
        <v>1598</v>
      </c>
      <c r="H110" s="24">
        <v>503</v>
      </c>
      <c r="I110" s="24">
        <v>547</v>
      </c>
      <c r="J110" s="24">
        <v>555</v>
      </c>
      <c r="K110" s="24">
        <v>556</v>
      </c>
      <c r="L110" s="24">
        <v>583</v>
      </c>
      <c r="M110" s="24">
        <v>591</v>
      </c>
      <c r="N110" s="24">
        <v>46</v>
      </c>
      <c r="O110" s="24">
        <v>63</v>
      </c>
      <c r="P110" s="24">
        <v>70</v>
      </c>
      <c r="Q110" s="24">
        <v>71</v>
      </c>
      <c r="R110" s="24">
        <v>65</v>
      </c>
      <c r="S110" s="24">
        <v>65</v>
      </c>
      <c r="T110" s="34" t="s">
        <v>88</v>
      </c>
    </row>
    <row r="111" spans="1:20" ht="19.2" x14ac:dyDescent="0.3">
      <c r="A111" s="23" t="s">
        <v>89</v>
      </c>
      <c r="B111" s="24" t="s">
        <v>487</v>
      </c>
      <c r="C111" s="24" t="s">
        <v>488</v>
      </c>
      <c r="D111" s="24" t="s">
        <v>489</v>
      </c>
      <c r="E111" s="25">
        <v>1279</v>
      </c>
      <c r="F111" s="24" t="s">
        <v>490</v>
      </c>
      <c r="G111" s="25">
        <v>1297</v>
      </c>
      <c r="H111" s="24">
        <v>573</v>
      </c>
      <c r="I111" s="24">
        <v>563</v>
      </c>
      <c r="J111" s="24">
        <v>564</v>
      </c>
      <c r="K111" s="24">
        <v>565</v>
      </c>
      <c r="L111" s="24">
        <v>569</v>
      </c>
      <c r="M111" s="24">
        <v>568</v>
      </c>
      <c r="N111" s="24">
        <v>10</v>
      </c>
      <c r="O111" s="24">
        <v>12</v>
      </c>
      <c r="P111" s="24">
        <v>18</v>
      </c>
      <c r="Q111" s="24">
        <v>18</v>
      </c>
      <c r="R111" s="24">
        <v>18</v>
      </c>
      <c r="S111" s="24">
        <v>18</v>
      </c>
      <c r="T111" s="34" t="s">
        <v>89</v>
      </c>
    </row>
    <row r="112" spans="1:20" ht="19.2" x14ac:dyDescent="0.3">
      <c r="A112" s="23" t="s">
        <v>90</v>
      </c>
      <c r="B112" s="24">
        <v>104</v>
      </c>
      <c r="C112" s="24">
        <v>133</v>
      </c>
      <c r="D112" s="24">
        <v>189</v>
      </c>
      <c r="E112" s="24">
        <v>194</v>
      </c>
      <c r="F112" s="24">
        <v>176</v>
      </c>
      <c r="G112" s="24">
        <v>172</v>
      </c>
      <c r="H112" s="24">
        <v>120</v>
      </c>
      <c r="I112" s="24">
        <v>125</v>
      </c>
      <c r="J112" s="24">
        <v>115</v>
      </c>
      <c r="K112" s="24">
        <v>112</v>
      </c>
      <c r="L112" s="24">
        <v>109</v>
      </c>
      <c r="M112" s="24">
        <v>130</v>
      </c>
      <c r="N112" s="24">
        <v>9</v>
      </c>
      <c r="O112" s="24">
        <v>6</v>
      </c>
      <c r="P112" s="24">
        <v>8</v>
      </c>
      <c r="Q112" s="24">
        <v>10</v>
      </c>
      <c r="R112" s="24">
        <v>10</v>
      </c>
      <c r="S112" s="24">
        <v>10</v>
      </c>
      <c r="T112" s="34" t="s">
        <v>90</v>
      </c>
    </row>
    <row r="113" spans="1:20" ht="19.2" x14ac:dyDescent="0.3">
      <c r="A113" s="23" t="s">
        <v>91</v>
      </c>
      <c r="B113" s="24">
        <v>390</v>
      </c>
      <c r="C113" s="24">
        <v>438</v>
      </c>
      <c r="D113" s="24">
        <v>561</v>
      </c>
      <c r="E113" s="24">
        <v>561</v>
      </c>
      <c r="F113" s="24">
        <v>513</v>
      </c>
      <c r="G113" s="24">
        <v>502</v>
      </c>
      <c r="H113" s="24">
        <v>302</v>
      </c>
      <c r="I113" s="24">
        <v>239</v>
      </c>
      <c r="J113" s="24">
        <v>283</v>
      </c>
      <c r="K113" s="24">
        <v>301</v>
      </c>
      <c r="L113" s="24">
        <v>317</v>
      </c>
      <c r="M113" s="24">
        <v>332</v>
      </c>
      <c r="N113" s="24">
        <v>12</v>
      </c>
      <c r="O113" s="24">
        <v>12</v>
      </c>
      <c r="P113" s="24">
        <v>28</v>
      </c>
      <c r="Q113" s="24">
        <v>27</v>
      </c>
      <c r="R113" s="24">
        <v>27</v>
      </c>
      <c r="S113" s="24">
        <v>25</v>
      </c>
      <c r="T113" s="34" t="s">
        <v>91</v>
      </c>
    </row>
    <row r="114" spans="1:20" ht="28.8" x14ac:dyDescent="0.3">
      <c r="A114" s="23" t="s">
        <v>92</v>
      </c>
      <c r="B114" s="24">
        <v>204</v>
      </c>
      <c r="C114" s="24">
        <v>271</v>
      </c>
      <c r="D114" s="24">
        <v>210</v>
      </c>
      <c r="E114" s="24">
        <v>220</v>
      </c>
      <c r="F114" s="24">
        <v>233</v>
      </c>
      <c r="G114" s="24">
        <v>239</v>
      </c>
      <c r="H114" s="24">
        <v>108</v>
      </c>
      <c r="I114" s="24">
        <v>106</v>
      </c>
      <c r="J114" s="24">
        <v>110</v>
      </c>
      <c r="K114" s="24">
        <v>110</v>
      </c>
      <c r="L114" s="24">
        <v>107</v>
      </c>
      <c r="M114" s="24">
        <v>108</v>
      </c>
      <c r="N114" s="24">
        <v>3</v>
      </c>
      <c r="O114" s="24">
        <v>3</v>
      </c>
      <c r="P114" s="24">
        <v>3</v>
      </c>
      <c r="Q114" s="24">
        <v>4</v>
      </c>
      <c r="R114" s="24">
        <v>4</v>
      </c>
      <c r="S114" s="24">
        <v>4</v>
      </c>
      <c r="T114" s="34" t="s">
        <v>92</v>
      </c>
    </row>
    <row r="115" spans="1:20" ht="28.8" x14ac:dyDescent="0.3">
      <c r="A115" s="23" t="s">
        <v>93</v>
      </c>
      <c r="B115" s="24">
        <v>5</v>
      </c>
      <c r="C115" s="24">
        <v>9</v>
      </c>
      <c r="D115" s="24">
        <v>13</v>
      </c>
      <c r="E115" s="24">
        <v>15</v>
      </c>
      <c r="F115" s="24">
        <v>17</v>
      </c>
      <c r="G115" s="24">
        <v>17</v>
      </c>
      <c r="H115" s="24">
        <v>56</v>
      </c>
      <c r="I115" s="24">
        <v>52</v>
      </c>
      <c r="J115" s="24">
        <v>54</v>
      </c>
      <c r="K115" s="24">
        <v>54</v>
      </c>
      <c r="L115" s="24">
        <v>54</v>
      </c>
      <c r="M115" s="24">
        <v>54</v>
      </c>
      <c r="N115" s="24">
        <v>4</v>
      </c>
      <c r="O115" s="24">
        <v>5</v>
      </c>
      <c r="P115" s="24">
        <v>5</v>
      </c>
      <c r="Q115" s="24">
        <v>5</v>
      </c>
      <c r="R115" s="24">
        <v>4</v>
      </c>
      <c r="S115" s="24">
        <v>4</v>
      </c>
      <c r="T115" s="34" t="s">
        <v>93</v>
      </c>
    </row>
  </sheetData>
  <mergeCells count="258">
    <mergeCell ref="A1:A3"/>
    <mergeCell ref="B1:G1"/>
    <mergeCell ref="B2:G2"/>
    <mergeCell ref="G5:G6"/>
    <mergeCell ref="B25:B26"/>
    <mergeCell ref="C25:C26"/>
    <mergeCell ref="D25:D26"/>
    <mergeCell ref="B5:B6"/>
    <mergeCell ref="C5:C6"/>
    <mergeCell ref="D5:D6"/>
    <mergeCell ref="E5:E6"/>
    <mergeCell ref="F5:F6"/>
    <mergeCell ref="C32:C33"/>
    <mergeCell ref="D32:D33"/>
    <mergeCell ref="E32:E33"/>
    <mergeCell ref="F32:F33"/>
    <mergeCell ref="G32:G33"/>
    <mergeCell ref="E25:E26"/>
    <mergeCell ref="F25:F26"/>
    <mergeCell ref="G25:G26"/>
    <mergeCell ref="B32:B33"/>
    <mergeCell ref="G41:G42"/>
    <mergeCell ref="B51:B52"/>
    <mergeCell ref="C51:C52"/>
    <mergeCell ref="D51:D52"/>
    <mergeCell ref="B41:B42"/>
    <mergeCell ref="C41:C42"/>
    <mergeCell ref="D41:D42"/>
    <mergeCell ref="E41:E42"/>
    <mergeCell ref="F41:F42"/>
    <mergeCell ref="C55:C56"/>
    <mergeCell ref="D55:D56"/>
    <mergeCell ref="E55:E56"/>
    <mergeCell ref="F55:F56"/>
    <mergeCell ref="G55:G56"/>
    <mergeCell ref="E51:E52"/>
    <mergeCell ref="F51:F52"/>
    <mergeCell ref="G51:G52"/>
    <mergeCell ref="B55:B56"/>
    <mergeCell ref="E59:E60"/>
    <mergeCell ref="F59:F60"/>
    <mergeCell ref="G59:G60"/>
    <mergeCell ref="G57:G58"/>
    <mergeCell ref="B59:B60"/>
    <mergeCell ref="C59:C60"/>
    <mergeCell ref="D59:D60"/>
    <mergeCell ref="B57:B58"/>
    <mergeCell ref="C57:C58"/>
    <mergeCell ref="D57:D58"/>
    <mergeCell ref="E57:E58"/>
    <mergeCell ref="F57:F58"/>
    <mergeCell ref="G63:G64"/>
    <mergeCell ref="B79:B80"/>
    <mergeCell ref="C79:C80"/>
    <mergeCell ref="D79:D80"/>
    <mergeCell ref="B63:B64"/>
    <mergeCell ref="C63:C64"/>
    <mergeCell ref="D63:D64"/>
    <mergeCell ref="E63:E64"/>
    <mergeCell ref="F63:F64"/>
    <mergeCell ref="C85:C86"/>
    <mergeCell ref="D85:D86"/>
    <mergeCell ref="E85:E86"/>
    <mergeCell ref="F85:F86"/>
    <mergeCell ref="G85:G86"/>
    <mergeCell ref="E79:E80"/>
    <mergeCell ref="F79:F80"/>
    <mergeCell ref="G79:G80"/>
    <mergeCell ref="B85:B86"/>
    <mergeCell ref="G88:G89"/>
    <mergeCell ref="B91:B92"/>
    <mergeCell ref="C91:C92"/>
    <mergeCell ref="D91:D92"/>
    <mergeCell ref="B88:B89"/>
    <mergeCell ref="C88:C89"/>
    <mergeCell ref="D88:D89"/>
    <mergeCell ref="E88:E89"/>
    <mergeCell ref="F88:F89"/>
    <mergeCell ref="C103:C104"/>
    <mergeCell ref="D103:D104"/>
    <mergeCell ref="E103:E104"/>
    <mergeCell ref="F103:F104"/>
    <mergeCell ref="G103:G104"/>
    <mergeCell ref="E91:E92"/>
    <mergeCell ref="F91:F92"/>
    <mergeCell ref="G91:G92"/>
    <mergeCell ref="B103:B104"/>
    <mergeCell ref="O5:O6"/>
    <mergeCell ref="P5:P6"/>
    <mergeCell ref="Q5:Q6"/>
    <mergeCell ref="R5:R6"/>
    <mergeCell ref="S5:S6"/>
    <mergeCell ref="H25:H26"/>
    <mergeCell ref="I25:I26"/>
    <mergeCell ref="J25:J26"/>
    <mergeCell ref="K25:K26"/>
    <mergeCell ref="L25:L26"/>
    <mergeCell ref="H5:H6"/>
    <mergeCell ref="I5:I6"/>
    <mergeCell ref="J5:J6"/>
    <mergeCell ref="K5:K6"/>
    <mergeCell ref="L5:L6"/>
    <mergeCell ref="M5:M6"/>
    <mergeCell ref="N5:N6"/>
    <mergeCell ref="S25:S26"/>
    <mergeCell ref="M25:M26"/>
    <mergeCell ref="N25:N26"/>
    <mergeCell ref="O25:O26"/>
    <mergeCell ref="P25:P26"/>
    <mergeCell ref="Q25:Q26"/>
    <mergeCell ref="R25:R26"/>
    <mergeCell ref="Q32:Q33"/>
    <mergeCell ref="R32:R33"/>
    <mergeCell ref="S32:S33"/>
    <mergeCell ref="H41:H42"/>
    <mergeCell ref="I41:I42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S41:S42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H51:H52"/>
    <mergeCell ref="I51:I52"/>
    <mergeCell ref="J51:J52"/>
    <mergeCell ref="K51:K52"/>
    <mergeCell ref="L51:L52"/>
    <mergeCell ref="S51:S52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M51:M52"/>
    <mergeCell ref="N51:N52"/>
    <mergeCell ref="O51:O52"/>
    <mergeCell ref="P51:P52"/>
    <mergeCell ref="Q51:Q52"/>
    <mergeCell ref="R51:R52"/>
    <mergeCell ref="H59:H60"/>
    <mergeCell ref="I59:I60"/>
    <mergeCell ref="J59:J60"/>
    <mergeCell ref="K59:K60"/>
    <mergeCell ref="L59:L60"/>
    <mergeCell ref="Q55:Q56"/>
    <mergeCell ref="R55:R56"/>
    <mergeCell ref="S55:S56"/>
    <mergeCell ref="H57:H58"/>
    <mergeCell ref="I57:I58"/>
    <mergeCell ref="J57:J58"/>
    <mergeCell ref="K57:K58"/>
    <mergeCell ref="L57:L58"/>
    <mergeCell ref="M57:M58"/>
    <mergeCell ref="N57:N58"/>
    <mergeCell ref="S59:S60"/>
    <mergeCell ref="M59:M60"/>
    <mergeCell ref="N59:N60"/>
    <mergeCell ref="O59:O60"/>
    <mergeCell ref="P59:P60"/>
    <mergeCell ref="Q59:Q60"/>
    <mergeCell ref="R59:R60"/>
    <mergeCell ref="O57:O58"/>
    <mergeCell ref="P57:P58"/>
    <mergeCell ref="Q57:Q58"/>
    <mergeCell ref="R57:R58"/>
    <mergeCell ref="S57:S58"/>
    <mergeCell ref="N88:N89"/>
    <mergeCell ref="O88:O89"/>
    <mergeCell ref="P88:P89"/>
    <mergeCell ref="Q88:Q89"/>
    <mergeCell ref="R88:R89"/>
    <mergeCell ref="S88:S89"/>
    <mergeCell ref="Q63:Q64"/>
    <mergeCell ref="R63:R64"/>
    <mergeCell ref="S63:S64"/>
    <mergeCell ref="N63:N64"/>
    <mergeCell ref="O63:O64"/>
    <mergeCell ref="P63:P64"/>
    <mergeCell ref="H88:H89"/>
    <mergeCell ref="I88:I89"/>
    <mergeCell ref="J88:J89"/>
    <mergeCell ref="K88:K89"/>
    <mergeCell ref="L88:L89"/>
    <mergeCell ref="M88:M89"/>
    <mergeCell ref="N91:N92"/>
    <mergeCell ref="O91:O92"/>
    <mergeCell ref="P91:P92"/>
    <mergeCell ref="Q91:Q92"/>
    <mergeCell ref="R91:R92"/>
    <mergeCell ref="S91:S92"/>
    <mergeCell ref="H91:H92"/>
    <mergeCell ref="I91:I92"/>
    <mergeCell ref="J91:J92"/>
    <mergeCell ref="K91:K92"/>
    <mergeCell ref="L91:L92"/>
    <mergeCell ref="M91:M92"/>
    <mergeCell ref="H63:H64"/>
    <mergeCell ref="I63:I64"/>
    <mergeCell ref="J63:J64"/>
    <mergeCell ref="K63:K64"/>
    <mergeCell ref="L63:L64"/>
    <mergeCell ref="M63:M64"/>
    <mergeCell ref="H79:H80"/>
    <mergeCell ref="I79:I80"/>
    <mergeCell ref="J79:J80"/>
    <mergeCell ref="K79:K80"/>
    <mergeCell ref="L79:L80"/>
    <mergeCell ref="M79:M80"/>
    <mergeCell ref="K85:K86"/>
    <mergeCell ref="L85:L86"/>
    <mergeCell ref="M85:M86"/>
    <mergeCell ref="N79:N80"/>
    <mergeCell ref="O79:O80"/>
    <mergeCell ref="P79:P80"/>
    <mergeCell ref="Q79:Q80"/>
    <mergeCell ref="R79:R80"/>
    <mergeCell ref="S79:S80"/>
    <mergeCell ref="H1:M2"/>
    <mergeCell ref="N1:S2"/>
    <mergeCell ref="T1:T3"/>
    <mergeCell ref="N103:N104"/>
    <mergeCell ref="O103:O104"/>
    <mergeCell ref="P103:P104"/>
    <mergeCell ref="Q103:Q104"/>
    <mergeCell ref="R103:R104"/>
    <mergeCell ref="S103:S104"/>
    <mergeCell ref="H103:H104"/>
    <mergeCell ref="I103:I104"/>
    <mergeCell ref="J103:J104"/>
    <mergeCell ref="K103:K104"/>
    <mergeCell ref="L103:L104"/>
    <mergeCell ref="M103:M104"/>
    <mergeCell ref="N85:N86"/>
    <mergeCell ref="O85:O86"/>
    <mergeCell ref="P85:P86"/>
    <mergeCell ref="Q85:Q86"/>
    <mergeCell ref="R85:R86"/>
    <mergeCell ref="S85:S86"/>
    <mergeCell ref="H85:H86"/>
    <mergeCell ref="I85:I86"/>
    <mergeCell ref="J85:J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9940-5F89-4C18-9DE0-6A3CE4384BFB}">
  <dimension ref="A1:J83"/>
  <sheetViews>
    <sheetView workbookViewId="0">
      <selection activeCell="A83" sqref="A1:A83"/>
    </sheetView>
  </sheetViews>
  <sheetFormatPr defaultRowHeight="14.4" x14ac:dyDescent="0.3"/>
  <sheetData>
    <row r="1" spans="1:10" ht="79.8" x14ac:dyDescent="0.3">
      <c r="A1" s="8" t="s">
        <v>9</v>
      </c>
      <c r="B1" s="2" t="s">
        <v>0</v>
      </c>
      <c r="C1" s="2" t="s">
        <v>10</v>
      </c>
      <c r="D1" s="2" t="s">
        <v>2</v>
      </c>
      <c r="E1" s="2" t="s">
        <v>3</v>
      </c>
      <c r="F1" s="2" t="s">
        <v>11</v>
      </c>
      <c r="I1" s="14" t="s">
        <v>94</v>
      </c>
      <c r="J1" s="14" t="s">
        <v>95</v>
      </c>
    </row>
    <row r="2" spans="1:10" ht="34.200000000000003" x14ac:dyDescent="0.3">
      <c r="A2" s="9" t="s">
        <v>12</v>
      </c>
      <c r="B2" s="10">
        <v>152</v>
      </c>
      <c r="C2" s="11">
        <f>IFERROR(VLOOKUP($A2,'[1]спортивные сооружния'!A4:G112,7,FALSE)/'[1]Экономические факторы'!E2*100,0)</f>
        <v>41.533950822949286</v>
      </c>
      <c r="D2" s="11">
        <f>VLOOKUP($A2,[1]библиотеки!A4:N116,14,FALSE)/'[1]Экономические факторы'!G2*1000</f>
        <v>497.10135270207235</v>
      </c>
      <c r="E2" s="10">
        <f>VLOOKUP($A2,[1]Газеты!$A$3:$G$111,7,FALSE)</f>
        <v>852</v>
      </c>
      <c r="F2" s="11">
        <f>'[1]Культурные факторы'!F2/'[1]Экономические факторы'!G2*1000</f>
        <v>39.648164190044646</v>
      </c>
      <c r="I2" t="s">
        <v>96</v>
      </c>
      <c r="J2">
        <v>10</v>
      </c>
    </row>
    <row r="3" spans="1:10" ht="22.8" x14ac:dyDescent="0.3">
      <c r="A3" s="9" t="s">
        <v>13</v>
      </c>
      <c r="B3" s="10">
        <v>173</v>
      </c>
      <c r="C3" s="11">
        <f>IFERROR(VLOOKUP($A3,'[1]спортивные сооружния'!A5:G113,7,FALSE)/'[1]Экономические факторы'!E3*100,0)</f>
        <v>54.989495798319318</v>
      </c>
      <c r="D3" s="11">
        <f>VLOOKUP($A3,[1]библиотеки!A5:N117,14,FALSE)/'[1]Экономические факторы'!G3*1000</f>
        <v>426.2955182072829</v>
      </c>
      <c r="E3" s="10">
        <f>VLOOKUP($A3,[1]Газеты!$A$3:$G$111,7,FALSE)</f>
        <v>234</v>
      </c>
      <c r="F3" s="11">
        <f>'[1]Культурные факторы'!F3/'[1]Экономические факторы'!G3*1000</f>
        <v>28.974089635854341</v>
      </c>
      <c r="I3" t="s">
        <v>97</v>
      </c>
      <c r="J3">
        <v>12</v>
      </c>
    </row>
    <row r="4" spans="1:10" ht="34.200000000000003" x14ac:dyDescent="0.3">
      <c r="A4" s="9" t="s">
        <v>14</v>
      </c>
      <c r="B4" s="10">
        <v>78</v>
      </c>
      <c r="C4" s="11">
        <f>IFERROR(VLOOKUP($A4,'[1]спортивные сооружния'!A6:G114,7,FALSE)/'[1]Экономические факторы'!E4*100,0)</f>
        <v>62.203221619970996</v>
      </c>
      <c r="D4" s="11">
        <f>VLOOKUP($A4,[1]библиотеки!A6:N118,14,FALSE)/'[1]Экономические факторы'!G4*1000</f>
        <v>383.99877853271244</v>
      </c>
      <c r="E4" s="10">
        <f>VLOOKUP($A4,[1]Газеты!$A$3:$G$111,7,FALSE)</f>
        <v>552</v>
      </c>
      <c r="F4" s="11">
        <f>'[1]Культурные факторы'!F4/'[1]Экономические факторы'!G4*1000</f>
        <v>35.34620963432323</v>
      </c>
      <c r="I4" t="s">
        <v>98</v>
      </c>
      <c r="J4">
        <v>20</v>
      </c>
    </row>
    <row r="5" spans="1:10" ht="34.200000000000003" x14ac:dyDescent="0.3">
      <c r="A5" s="9" t="s">
        <v>15</v>
      </c>
      <c r="B5" s="10">
        <v>228</v>
      </c>
      <c r="C5" s="11">
        <f>IFERROR(VLOOKUP($A5,'[1]спортивные сооружния'!A7:G115,7,FALSE)/'[1]Экономические факторы'!E5*100,0)</f>
        <v>22.961203483768806</v>
      </c>
      <c r="D5" s="11">
        <f>VLOOKUP($A5,[1]библиотеки!A7:N119,14,FALSE)/'[1]Экономические факторы'!G5*1000</f>
        <v>342.2187032638339</v>
      </c>
      <c r="E5" s="10">
        <f>VLOOKUP($A5,[1]Газеты!$A$3:$G$111,7,FALSE)</f>
        <v>480</v>
      </c>
      <c r="F5" s="11">
        <f>'[1]Культурные факторы'!F5/'[1]Экономические факторы'!G5*1000</f>
        <v>30.526964018650482</v>
      </c>
    </row>
    <row r="6" spans="1:10" ht="34.200000000000003" x14ac:dyDescent="0.3">
      <c r="A6" s="9" t="s">
        <v>16</v>
      </c>
      <c r="B6" s="10">
        <v>350</v>
      </c>
      <c r="C6" s="11">
        <f>IFERROR(VLOOKUP($A6,'[1]спортивные сооружния'!A8:G116,7,FALSE)/'[1]Экономические факторы'!E6*100,0)</f>
        <v>33.072083011369905</v>
      </c>
      <c r="D6" s="11">
        <f>VLOOKUP($A6,[1]библиотеки!A8:N120,14,FALSE)/'[1]Экономические факторы'!G6*1000</f>
        <v>428.30334474003757</v>
      </c>
      <c r="E6" s="10">
        <f>VLOOKUP($A6,[1]Газеты!$A$3:$G$111,7,FALSE)</f>
        <v>321</v>
      </c>
      <c r="F6" s="11">
        <f>'[1]Культурные факторы'!F6/'[1]Экономические факторы'!G6*1000</f>
        <v>28.038414836074619</v>
      </c>
    </row>
    <row r="7" spans="1:10" ht="22.8" x14ac:dyDescent="0.3">
      <c r="A7" s="9" t="s">
        <v>17</v>
      </c>
      <c r="B7" s="10">
        <v>205</v>
      </c>
      <c r="C7" s="11">
        <f>IFERROR(VLOOKUP($A7,'[1]спортивные сооружния'!A9:G117,7,FALSE)/'[1]Экономические факторы'!E7*100,0)</f>
        <v>41.838262822912768</v>
      </c>
      <c r="D7" s="11">
        <f>VLOOKUP($A7,[1]библиотеки!A9:N121,14,FALSE)/'[1]Экономические факторы'!G7*1000</f>
        <v>535.38000748783224</v>
      </c>
      <c r="E7" s="10">
        <f>VLOOKUP($A7,[1]Газеты!$A$3:$G$111,7,FALSE)</f>
        <v>622</v>
      </c>
      <c r="F7" s="11">
        <f>'[1]Культурные факторы'!F7/'[1]Экономические факторы'!G7*1000</f>
        <v>25.271433919880192</v>
      </c>
    </row>
    <row r="8" spans="1:10" ht="34.200000000000003" x14ac:dyDescent="0.3">
      <c r="A8" s="9" t="s">
        <v>18</v>
      </c>
      <c r="B8" s="10">
        <v>257</v>
      </c>
      <c r="C8" s="11">
        <f>IFERROR(VLOOKUP($A8,'[1]спортивные сооружния'!A10:G118,7,FALSE)/'[1]Экономические факторы'!E8*100,0)</f>
        <v>63.782447466007433</v>
      </c>
      <c r="D8" s="11">
        <f>VLOOKUP($A8,[1]библиотеки!A10:N122,14,FALSE)/'[1]Экономические факторы'!G8*1000</f>
        <v>762.84654776620175</v>
      </c>
      <c r="E8" s="10">
        <f>VLOOKUP($A8,[1]Газеты!$A$3:$G$111,7,FALSE)</f>
        <v>386</v>
      </c>
      <c r="F8" s="11">
        <f>'[1]Культурные факторы'!F8/'[1]Экономические факторы'!G8*1000</f>
        <v>44.32279710400848</v>
      </c>
    </row>
    <row r="9" spans="1:10" ht="22.8" x14ac:dyDescent="0.3">
      <c r="A9" s="9" t="s">
        <v>19</v>
      </c>
      <c r="B9" s="10">
        <v>234</v>
      </c>
      <c r="C9" s="11">
        <f>IFERROR(VLOOKUP($A9,'[1]спортивные сооружния'!A11:G119,7,FALSE)/'[1]Экономические факторы'!E9*100,0)</f>
        <v>25.450089546611366</v>
      </c>
      <c r="D9" s="11">
        <f>VLOOKUP($A9,[1]библиотеки!A11:N123,14,FALSE)/'[1]Экономические факторы'!G9*1000</f>
        <v>503.34621547742478</v>
      </c>
      <c r="E9" s="10">
        <f>VLOOKUP($A9,[1]Газеты!$A$3:$G$111,7,FALSE)</f>
        <v>394</v>
      </c>
      <c r="F9" s="11">
        <f>'[1]Культурные факторы'!F9/'[1]Экономические факторы'!G9*1000</f>
        <v>27.335281364878874</v>
      </c>
    </row>
    <row r="10" spans="1:10" ht="22.8" x14ac:dyDescent="0.3">
      <c r="A10" s="9" t="s">
        <v>20</v>
      </c>
      <c r="B10" s="10">
        <v>200</v>
      </c>
      <c r="C10" s="11">
        <f>IFERROR(VLOOKUP($A10,'[1]спортивные сооружния'!A12:G120,7,FALSE)/'[1]Экономические факторы'!E10*100,0)</f>
        <v>47.299113141628602</v>
      </c>
      <c r="D10" s="11">
        <f>VLOOKUP($A10,[1]библиотеки!A12:N124,14,FALSE)/'[1]Экономические факторы'!G10*1000</f>
        <v>443.42918570276805</v>
      </c>
      <c r="E10" s="10">
        <f>VLOOKUP($A10,[1]Газеты!$A$3:$G$111,7,FALSE)</f>
        <v>132</v>
      </c>
      <c r="F10" s="11">
        <f>'[1]Культурные факторы'!F10/'[1]Экономические факторы'!G10*1000</f>
        <v>39.236764310669173</v>
      </c>
    </row>
    <row r="11" spans="1:10" ht="22.8" x14ac:dyDescent="0.3">
      <c r="A11" s="9" t="s">
        <v>21</v>
      </c>
      <c r="B11" s="10">
        <v>104</v>
      </c>
      <c r="C11" s="11">
        <f>IFERROR(VLOOKUP($A11,'[1]спортивные сооружния'!A13:G121,7,FALSE)/'[1]Экономические факторы'!E11*100,0)</f>
        <v>60.423288985470393</v>
      </c>
      <c r="D11" s="11">
        <f>VLOOKUP($A11,[1]библиотеки!A13:N125,14,FALSE)/'[1]Экономические факторы'!G11*1000</f>
        <v>171.65050339255373</v>
      </c>
      <c r="E11" s="10">
        <f>VLOOKUP($A11,[1]Газеты!$A$3:$G$111,7,FALSE)</f>
        <v>198</v>
      </c>
      <c r="F11" s="11">
        <f>'[1]Культурные факторы'!F11/'[1]Экономические факторы'!G11*1000</f>
        <v>12.113786367366755</v>
      </c>
    </row>
    <row r="12" spans="1:10" ht="22.8" x14ac:dyDescent="0.3">
      <c r="A12" s="9" t="s">
        <v>22</v>
      </c>
      <c r="B12" s="10">
        <v>327</v>
      </c>
      <c r="C12" s="11">
        <f>IFERROR(VLOOKUP($A12,'[1]спортивные сооружния'!A14:G122,7,FALSE)/'[1]Экономические факторы'!E12*100,0)</f>
        <v>10.700361010830326</v>
      </c>
      <c r="D12" s="11">
        <f>VLOOKUP($A12,[1]библиотеки!A14:N126,14,FALSE)/'[1]Экономические факторы'!G12*1000</f>
        <v>405.77617328519852</v>
      </c>
      <c r="E12" s="10">
        <f>VLOOKUP($A12,[1]Газеты!$A$3:$G$111,7,FALSE)</f>
        <v>188</v>
      </c>
      <c r="F12" s="11">
        <f>'[1]Культурные факторы'!F12/'[1]Экономические факторы'!G12*1000</f>
        <v>34.223826714801447</v>
      </c>
    </row>
    <row r="13" spans="1:10" ht="22.8" x14ac:dyDescent="0.3">
      <c r="A13" s="9" t="s">
        <v>23</v>
      </c>
      <c r="B13" s="10">
        <v>264</v>
      </c>
      <c r="C13" s="11">
        <f>IFERROR(VLOOKUP($A13,'[1]спортивные сооружния'!A15:G123,7,FALSE)/'[1]Экономические факторы'!E13*100,0)</f>
        <v>47.569765292921829</v>
      </c>
      <c r="D13" s="11">
        <f>VLOOKUP($A13,[1]библиотеки!A15:N127,14,FALSE)/'[1]Экономические факторы'!G13*1000</f>
        <v>502.67972648309001</v>
      </c>
      <c r="E13" s="10">
        <f>VLOOKUP($A13,[1]Газеты!$A$3:$G$111,7,FALSE)</f>
        <v>408</v>
      </c>
      <c r="F13" s="11">
        <f>'[1]Культурные факторы'!F13/'[1]Экономические факторы'!G13*1000</f>
        <v>19.127702827573462</v>
      </c>
    </row>
    <row r="14" spans="1:10" ht="34.200000000000003" x14ac:dyDescent="0.3">
      <c r="A14" s="9" t="s">
        <v>24</v>
      </c>
      <c r="B14" s="10">
        <v>169</v>
      </c>
      <c r="C14" s="11">
        <f>IFERROR(VLOOKUP($A14,'[1]спортивные сооружния'!A16:G124,7,FALSE)/'[1]Экономические факторы'!E14*100,0)</f>
        <v>138.33333333333331</v>
      </c>
      <c r="D14" s="11">
        <f>VLOOKUP($A14,[1]библиотеки!A16:N128,14,FALSE)/'[1]Экономические факторы'!G14*1000</f>
        <v>512.73148148148152</v>
      </c>
      <c r="E14" s="10">
        <f>VLOOKUP($A14,[1]Газеты!$A$3:$G$111,7,FALSE)</f>
        <v>2592</v>
      </c>
      <c r="F14" s="11">
        <f>'[1]Культурные факторы'!F14/'[1]Экономические факторы'!G14*1000</f>
        <v>16.203703703703702</v>
      </c>
    </row>
    <row r="15" spans="1:10" ht="34.200000000000003" x14ac:dyDescent="0.3">
      <c r="A15" s="9" t="s">
        <v>25</v>
      </c>
      <c r="B15" s="10">
        <v>255</v>
      </c>
      <c r="C15" s="11">
        <f>IFERROR(VLOOKUP($A15,'[1]спортивные сооружния'!A17:G125,7,FALSE)/'[1]Экономические факторы'!E15*100,0)</f>
        <v>75.760744536233403</v>
      </c>
      <c r="D15" s="11">
        <f>VLOOKUP($A15,[1]библиотеки!A17:N129,14,FALSE)/'[1]Экономические факторы'!G15*1000</f>
        <v>529.1226602530586</v>
      </c>
      <c r="E15" s="10">
        <f>VLOOKUP($A15,[1]Газеты!$A$3:$G$111,7,FALSE)</f>
        <v>154</v>
      </c>
      <c r="F15" s="11">
        <f>'[1]Культурные факторы'!F15/'[1]Экономические факторы'!G15*1000</f>
        <v>51.134581198368714</v>
      </c>
    </row>
    <row r="16" spans="1:10" ht="22.8" x14ac:dyDescent="0.3">
      <c r="A16" s="9" t="s">
        <v>26</v>
      </c>
      <c r="B16" s="10">
        <v>350</v>
      </c>
      <c r="C16" s="11">
        <f>IFERROR(VLOOKUP($A16,'[1]спортивные сооружния'!A18:G126,7,FALSE)/'[1]Экономические факторы'!E16*100,0)</f>
        <v>119.31316162373926</v>
      </c>
      <c r="D16" s="11">
        <f>VLOOKUP($A16,[1]библиотеки!A18:N130,14,FALSE)/'[1]Экономические факторы'!G16*1000</f>
        <v>465.94982078853042</v>
      </c>
      <c r="E16" s="10">
        <f>VLOOKUP($A16,[1]Газеты!$A$3:$G$111,7,FALSE)</f>
        <v>307</v>
      </c>
      <c r="F16" s="11">
        <f>'[1]Культурные факторы'!F16/'[1]Экономические факторы'!G16*1000</f>
        <v>46.261565391347837</v>
      </c>
    </row>
    <row r="17" spans="1:6" ht="22.8" x14ac:dyDescent="0.3">
      <c r="A17" s="9" t="s">
        <v>27</v>
      </c>
      <c r="B17" s="10">
        <v>237</v>
      </c>
      <c r="C17" s="11">
        <f>IFERROR(VLOOKUP($A17,'[1]спортивные сооружния'!A19:G127,7,FALSE)/'[1]Экономические факторы'!E17*100,0)</f>
        <v>29.698864795051321</v>
      </c>
      <c r="D17" s="11">
        <f>VLOOKUP($A17,[1]библиотеки!A19:N131,14,FALSE)/'[1]Экономические факторы'!G17*1000</f>
        <v>307.25307592957654</v>
      </c>
      <c r="E17" s="10">
        <f>VLOOKUP($A17,[1]Газеты!$A$3:$G$111,7,FALSE)</f>
        <v>191</v>
      </c>
      <c r="F17" s="11">
        <f>'[1]Культурные факторы'!F17/'[1]Экономические факторы'!G17*1000</f>
        <v>21.276595744680854</v>
      </c>
    </row>
    <row r="18" spans="1:6" ht="34.200000000000003" x14ac:dyDescent="0.3">
      <c r="A18" s="9" t="s">
        <v>28</v>
      </c>
      <c r="B18" s="10">
        <v>287</v>
      </c>
      <c r="C18" s="11">
        <f>IFERROR(VLOOKUP($A18,'[1]спортивные сооружния'!A20:G128,7,FALSE)/'[1]Экономические факторы'!E18*100,0)</f>
        <v>24.385314920848774</v>
      </c>
      <c r="D18" s="11">
        <f>VLOOKUP($A18,[1]библиотеки!A20:N132,14,FALSE)/'[1]Экономические факторы'!G18*1000</f>
        <v>379.75749410575952</v>
      </c>
      <c r="E18" s="10">
        <f>VLOOKUP($A18,[1]Газеты!$A$3:$G$111,7,FALSE)</f>
        <v>509</v>
      </c>
      <c r="F18" s="11">
        <f>'[1]Культурные факторы'!F18/'[1]Экономические факторы'!G18*1000</f>
        <v>38.733580330077466</v>
      </c>
    </row>
    <row r="19" spans="1:6" x14ac:dyDescent="0.3">
      <c r="A19" s="9" t="s">
        <v>29</v>
      </c>
      <c r="B19" s="10">
        <v>538</v>
      </c>
      <c r="C19" s="11">
        <f>IFERROR(VLOOKUP($A19,'[1]спортивные сооружния'!A21:G129,7,FALSE)/'[1]Экономические факторы'!E19*100,0)</f>
        <v>0.573392751220551</v>
      </c>
      <c r="D19" s="11">
        <f>VLOOKUP($A19,[1]библиотеки!A21:N133,14,FALSE)/'[1]Экономические факторы'!G19*1000</f>
        <v>108.82294787753428</v>
      </c>
      <c r="E19" s="10">
        <f>VLOOKUP($A19,[1]Газеты!$A$3:$G$111,7,FALSE)</f>
        <v>2383</v>
      </c>
      <c r="F19" s="11">
        <f>'[1]Культурные факторы'!F19/'[1]Экономические факторы'!G19*1000</f>
        <v>8.3651462379655983E-2</v>
      </c>
    </row>
    <row r="20" spans="1:6" ht="22.8" x14ac:dyDescent="0.3">
      <c r="A20" s="9" t="s">
        <v>30</v>
      </c>
      <c r="B20" s="10">
        <v>375</v>
      </c>
      <c r="C20" s="11">
        <f>IFERROR(VLOOKUP($A20,'[1]спортивные сооружния'!A22:G130,7,FALSE)/'[1]Экономические факторы'!E20*100,0)</f>
        <v>103.35941973659095</v>
      </c>
      <c r="D20" s="11">
        <f>VLOOKUP($A20,[1]библиотеки!A22:N134,14,FALSE)/'[1]Экономические факторы'!G20*1000</f>
        <v>318.76312273334605</v>
      </c>
      <c r="E20" s="10">
        <f>VLOOKUP($A20,[1]Газеты!$A$3:$G$111,7,FALSE)</f>
        <v>564</v>
      </c>
      <c r="F20" s="11">
        <f>'[1]Культурные факторы'!F20/'[1]Экономические факторы'!G20*1000</f>
        <v>8.5894254628745941</v>
      </c>
    </row>
    <row r="21" spans="1:6" ht="22.8" x14ac:dyDescent="0.3">
      <c r="A21" s="9" t="s">
        <v>31</v>
      </c>
      <c r="B21" s="10">
        <v>279</v>
      </c>
      <c r="C21" s="11">
        <f>IFERROR(VLOOKUP($A21,'[1]спортивные сооружния'!A23:G131,7,FALSE)/'[1]Экономические факторы'!E21*100,0)</f>
        <v>404.8848182070497</v>
      </c>
      <c r="D21" s="11">
        <f>VLOOKUP($A21,[1]библиотеки!A23:N135,14,FALSE)/'[1]Экономические факторы'!G21*1000</f>
        <v>480.15542603386064</v>
      </c>
      <c r="E21" s="10">
        <f>VLOOKUP($A21,[1]Газеты!$A$3:$G$111,7,FALSE)</f>
        <v>770</v>
      </c>
      <c r="F21" s="11">
        <f>'[1]Культурные факторы'!F21/'[1]Экономические факторы'!G21*1000</f>
        <v>40.105467665834027</v>
      </c>
    </row>
    <row r="22" spans="1:6" ht="34.200000000000003" x14ac:dyDescent="0.3">
      <c r="A22" s="9" t="s">
        <v>32</v>
      </c>
      <c r="B22" s="10">
        <v>256</v>
      </c>
      <c r="C22" s="11">
        <f>IFERROR(VLOOKUP($A22,'[1]спортивные сооружния'!A24:G132,7,FALSE)/'[1]Экономические факторы'!E22*100,0)</f>
        <v>413.71606051497844</v>
      </c>
      <c r="D22" s="11">
        <f>VLOOKUP($A22,[1]библиотеки!A24:N136,14,FALSE)/'[1]Экономические факторы'!G22*1000</f>
        <v>424.80713355375212</v>
      </c>
      <c r="E22" s="10">
        <f>VLOOKUP($A22,[1]Газеты!$A$3:$G$111,7,FALSE)</f>
        <v>1250</v>
      </c>
      <c r="F22" s="11">
        <f>'[1]Культурные факторы'!F22/'[1]Экономические факторы'!G22*1000</f>
        <v>31.760344654844204</v>
      </c>
    </row>
    <row r="23" spans="1:6" ht="68.400000000000006" x14ac:dyDescent="0.3">
      <c r="A23" s="9" t="s">
        <v>33</v>
      </c>
      <c r="B23" s="10">
        <v>267</v>
      </c>
      <c r="C23" s="11">
        <f>IFERROR(VLOOKUP($A23,'[1]спортивные сооружния'!A25:G133,7,FALSE)/'[1]Экономические факторы'!E23*100,0)</f>
        <v>302.51072287896227</v>
      </c>
      <c r="D23" s="11">
        <f>VLOOKUP($A23,[1]библиотеки!A25:N137,14,FALSE)/'[1]Экономические факторы'!G23*1000</f>
        <v>428.91515848938172</v>
      </c>
      <c r="E23" s="10">
        <f>VLOOKUP($A23,[1]Газеты!$A$3:$G$111,7,FALSE)</f>
        <v>1250</v>
      </c>
      <c r="F23" s="11">
        <f>'[1]Культурные факторы'!F23/'[1]Экономические факторы'!G23*1000</f>
        <v>31.27942253373784</v>
      </c>
    </row>
    <row r="24" spans="1:6" ht="34.200000000000003" x14ac:dyDescent="0.3">
      <c r="A24" s="9" t="s">
        <v>34</v>
      </c>
      <c r="B24" s="10">
        <v>264</v>
      </c>
      <c r="C24" s="11">
        <f>IFERROR(VLOOKUP($A24,'[1]спортивные сооружния'!A26:G134,7,FALSE)/'[1]Экономические факторы'!E24*100,0)</f>
        <v>141.74246477617262</v>
      </c>
      <c r="D24" s="11">
        <f>VLOOKUP($A24,[1]библиотеки!A26:N138,14,FALSE)/'[1]Экономические факторы'!G24*1000</f>
        <v>497.59229534510428</v>
      </c>
      <c r="E24" s="10">
        <f>VLOOKUP($A24,[1]Газеты!$A$3:$G$111,7,FALSE)</f>
        <v>1061</v>
      </c>
      <c r="F24" s="11">
        <f>'[1]Культурные факторы'!F24/'[1]Экономические факторы'!G24*1000</f>
        <v>29.516675584091313</v>
      </c>
    </row>
    <row r="25" spans="1:6" ht="34.200000000000003" x14ac:dyDescent="0.3">
      <c r="A25" s="9" t="s">
        <v>35</v>
      </c>
      <c r="B25" s="10">
        <v>211</v>
      </c>
      <c r="C25" s="11">
        <f>IFERROR(VLOOKUP($A25,'[1]спортивные сооружния'!A27:G135,7,FALSE)/'[1]Экономические факторы'!E25*100,0)</f>
        <v>8.762936454202535</v>
      </c>
      <c r="D25" s="11">
        <f>VLOOKUP($A25,[1]библиотеки!A27:N139,14,FALSE)/'[1]Экономические факторы'!G25*1000</f>
        <v>260.17990134442397</v>
      </c>
      <c r="E25" s="10">
        <f>VLOOKUP($A25,[1]Газеты!$A$3:$G$111,7,FALSE)</f>
        <v>319</v>
      </c>
      <c r="F25" s="11">
        <f>'[1]Культурные факторы'!F25/'[1]Экономические факторы'!G25*1000</f>
        <v>44.588451494341811</v>
      </c>
    </row>
    <row r="26" spans="1:6" ht="34.200000000000003" x14ac:dyDescent="0.3">
      <c r="A26" s="9" t="s">
        <v>36</v>
      </c>
      <c r="B26" s="10">
        <v>126</v>
      </c>
      <c r="C26" s="11">
        <f>IFERROR(VLOOKUP($A26,'[1]спортивные сооружния'!A28:G136,7,FALSE)/'[1]Экономические факторы'!E26*100,0)</f>
        <v>82.424599665978988</v>
      </c>
      <c r="D26" s="11">
        <f>VLOOKUP($A26,[1]библиотеки!A28:N140,14,FALSE)/'[1]Экономические факторы'!G26*1000</f>
        <v>202.86865114451322</v>
      </c>
      <c r="E26" s="10">
        <f>VLOOKUP($A26,[1]Газеты!$A$3:$G$111,7,FALSE)</f>
        <v>130</v>
      </c>
      <c r="F26" s="11">
        <f>'[1]Культурные факторы'!F26/'[1]Экономические факторы'!G26*1000</f>
        <v>29.718046959426268</v>
      </c>
    </row>
    <row r="27" spans="1:6" ht="34.200000000000003" x14ac:dyDescent="0.3">
      <c r="A27" s="9" t="s">
        <v>37</v>
      </c>
      <c r="B27" s="10">
        <v>214</v>
      </c>
      <c r="C27" s="11">
        <f>IFERROR(VLOOKUP($A27,'[1]спортивные сооружния'!A29:G137,7,FALSE)/'[1]Экономические факторы'!E27*100,0)</f>
        <v>132.44972577696527</v>
      </c>
      <c r="D27" s="11">
        <f>VLOOKUP($A27,[1]библиотеки!A29:N141,14,FALSE)/'[1]Экономические факторы'!G27*1000</f>
        <v>612.4314442413164</v>
      </c>
      <c r="E27" s="10">
        <f>VLOOKUP($A27,[1]Газеты!$A$3:$G$111,7,FALSE)</f>
        <v>837</v>
      </c>
      <c r="F27" s="11">
        <f>'[1]Культурные факторы'!F27/'[1]Экономические факторы'!G27*1000</f>
        <v>11.121267519804997</v>
      </c>
    </row>
    <row r="28" spans="1:6" ht="34.200000000000003" x14ac:dyDescent="0.3">
      <c r="A28" s="9" t="s">
        <v>38</v>
      </c>
      <c r="B28" s="10">
        <v>115</v>
      </c>
      <c r="C28" s="11">
        <f>IFERROR(VLOOKUP($A28,'[1]спортивные сооружния'!A30:G138,7,FALSE)/'[1]Экономические факторы'!E28*100,0)</f>
        <v>19.075953797689884</v>
      </c>
      <c r="D28" s="11">
        <f>VLOOKUP($A28,[1]библиотеки!A30:N142,14,FALSE)/'[1]Экономические факторы'!G28*1000</f>
        <v>581.02905145257262</v>
      </c>
      <c r="E28" s="10">
        <f>VLOOKUP($A28,[1]Газеты!$A$3:$G$111,7,FALSE)</f>
        <v>717</v>
      </c>
      <c r="F28" s="11">
        <f>'[1]Культурные факторы'!F28/'[1]Экономические факторы'!G28*1000</f>
        <v>28.701435071753586</v>
      </c>
    </row>
    <row r="29" spans="1:6" ht="22.8" x14ac:dyDescent="0.3">
      <c r="A29" s="9" t="s">
        <v>39</v>
      </c>
      <c r="B29" s="10">
        <v>204</v>
      </c>
      <c r="C29" s="11">
        <f>IFERROR(VLOOKUP($A29,'[1]спортивные сооружния'!A31:G139,7,FALSE)/'[1]Экономические факторы'!E29*100,0)</f>
        <v>66.735501634830499</v>
      </c>
      <c r="D29" s="11">
        <f>VLOOKUP($A29,[1]библиотеки!A31:N143,14,FALSE)/'[1]Экономические факторы'!G29*1000</f>
        <v>323.52435036998793</v>
      </c>
      <c r="E29" s="10">
        <f>VLOOKUP($A29,[1]Газеты!$A$3:$G$111,7,FALSE)</f>
        <v>353</v>
      </c>
      <c r="F29" s="11">
        <f>'[1]Культурные факторы'!F29/'[1]Экономические факторы'!G29*1000</f>
        <v>20.650490449148165</v>
      </c>
    </row>
    <row r="30" spans="1:6" ht="22.8" x14ac:dyDescent="0.3">
      <c r="A30" s="9" t="s">
        <v>40</v>
      </c>
      <c r="B30" s="10">
        <v>822</v>
      </c>
      <c r="C30" s="11">
        <f>IFERROR(VLOOKUP($A30,'[1]спортивные сооружния'!A32:G140,7,FALSE)/'[1]Экономические факторы'!E30*100,0)</f>
        <v>0.22508842759655576</v>
      </c>
      <c r="D30" s="11">
        <f>VLOOKUP($A30,[1]библиотеки!A32:N144,14,FALSE)/'[1]Экономические факторы'!G30*1000</f>
        <v>169.88817035263853</v>
      </c>
      <c r="E30" s="10">
        <f>VLOOKUP($A30,[1]Газеты!$A$3:$G$111,7,FALSE)</f>
        <v>1313</v>
      </c>
      <c r="F30" s="11">
        <f>'[1]Культурные факторы'!F30/'[1]Экономические факторы'!G30*1000</f>
        <v>6.2881846439672735</v>
      </c>
    </row>
    <row r="31" spans="1:6" ht="22.8" x14ac:dyDescent="0.3">
      <c r="A31" s="9" t="s">
        <v>41</v>
      </c>
      <c r="B31" s="10">
        <v>181</v>
      </c>
      <c r="C31" s="11">
        <f>IFERROR(VLOOKUP($A31,'[1]спортивные сооружния'!A33:G141,7,FALSE)/'[1]Экономические факторы'!E31*100,0)</f>
        <v>4.6743907311226529</v>
      </c>
      <c r="D31" s="11">
        <f>VLOOKUP($A31,[1]библиотеки!A33:N145,14,FALSE)/'[1]Экономические факторы'!G31*1000</f>
        <v>359.56851777866564</v>
      </c>
      <c r="E31" s="10">
        <f>VLOOKUP($A31,[1]Газеты!$A$3:$G$111,7,FALSE)</f>
        <v>186</v>
      </c>
      <c r="F31" s="11">
        <f>'[1]Культурные факторы'!F31/'[1]Экономические факторы'!G31*1000</f>
        <v>9.7882540950858967</v>
      </c>
    </row>
    <row r="32" spans="1:6" ht="22.8" x14ac:dyDescent="0.3">
      <c r="A32" s="9" t="s">
        <v>42</v>
      </c>
      <c r="B32" s="10">
        <v>228</v>
      </c>
      <c r="C32" s="11">
        <f>IFERROR(VLOOKUP($A32,'[1]спортивные сооружния'!A34:G142,7,FALSE)/'[1]Экономические факторы'!E32*100,0)</f>
        <v>41.005498821681066</v>
      </c>
      <c r="D32" s="11">
        <f>VLOOKUP($A32,[1]библиотеки!A34:N146,14,FALSE)/'[1]Экономические факторы'!G32*1000</f>
        <v>259.75386226760935</v>
      </c>
      <c r="E32" s="10">
        <f>VLOOKUP($A32,[1]Газеты!$A$3:$G$111,7,FALSE)</f>
        <v>136</v>
      </c>
      <c r="F32" s="11">
        <f>'[1]Культурные факторы'!F32/'[1]Экономические факторы'!G32*1000</f>
        <v>35.454307410316844</v>
      </c>
    </row>
    <row r="33" spans="1:6" ht="34.200000000000003" x14ac:dyDescent="0.3">
      <c r="A33" s="9" t="s">
        <v>43</v>
      </c>
      <c r="B33" s="10">
        <v>103</v>
      </c>
      <c r="C33" s="11">
        <f>IFERROR(VLOOKUP($A33,'[1]спортивные сооружния'!A35:G143,7,FALSE)/'[1]Экономические факторы'!E33*100,0)</f>
        <v>106.13749357106119</v>
      </c>
      <c r="D33" s="11">
        <f>VLOOKUP($A33,[1]библиотеки!A35:N147,14,FALSE)/'[1]Экономические факторы'!G33*1000</f>
        <v>263.84364820846906</v>
      </c>
      <c r="E33" s="10">
        <f>VLOOKUP($A33,[1]Газеты!$A$3:$G$111,7,FALSE)</f>
        <v>230</v>
      </c>
      <c r="F33" s="11">
        <f>'[1]Культурные факторы'!F33/'[1]Экономические факторы'!G33*1000</f>
        <v>32.813303617349561</v>
      </c>
    </row>
    <row r="34" spans="1:6" ht="34.200000000000003" x14ac:dyDescent="0.3">
      <c r="A34" s="9" t="s">
        <v>44</v>
      </c>
      <c r="B34" s="10">
        <v>283</v>
      </c>
      <c r="C34" s="11">
        <f>IFERROR(VLOOKUP($A34,'[1]спортивные сооружния'!A36:G144,7,FALSE)/'[1]Экономические факторы'!E34*100,0)</f>
        <v>41.42011834319527</v>
      </c>
      <c r="D34" s="11">
        <f>VLOOKUP($A34,[1]библиотеки!A36:N148,14,FALSE)/'[1]Экономические факторы'!G34*1000</f>
        <v>427.93744716821641</v>
      </c>
      <c r="E34" s="10">
        <f>VLOOKUP($A34,[1]Газеты!$A$3:$G$111,7,FALSE)</f>
        <v>104</v>
      </c>
      <c r="F34" s="11">
        <f>'[1]Культурные факторы'!F34/'[1]Экономические факторы'!G34*1000</f>
        <v>14.792899408284025</v>
      </c>
    </row>
    <row r="35" spans="1:6" ht="34.200000000000003" x14ac:dyDescent="0.3">
      <c r="A35" s="9" t="s">
        <v>45</v>
      </c>
      <c r="B35" s="10">
        <v>214</v>
      </c>
      <c r="C35" s="11">
        <f>IFERROR(VLOOKUP($A35,'[1]спортивные сооружния'!A37:G145,7,FALSE)/'[1]Экономические факторы'!E35*100,0)</f>
        <v>161.02938180039936</v>
      </c>
      <c r="D35" s="11">
        <f>VLOOKUP($A35,[1]библиотеки!A37:N149,14,FALSE)/'[1]Экономические факторы'!G35*1000</f>
        <v>301.15326622926767</v>
      </c>
      <c r="E35" s="10">
        <f>VLOOKUP($A35,[1]Газеты!$A$3:$G$111,7,FALSE)</f>
        <v>156</v>
      </c>
      <c r="F35" s="11">
        <f>'[1]Культурные факторы'!F35/'[1]Экономические факторы'!G35*1000</f>
        <v>31.908390724968413</v>
      </c>
    </row>
    <row r="36" spans="1:6" ht="22.8" x14ac:dyDescent="0.3">
      <c r="A36" s="9" t="s">
        <v>46</v>
      </c>
      <c r="B36" s="10">
        <v>204</v>
      </c>
      <c r="C36" s="11">
        <f>IFERROR(VLOOKUP($A36,'[1]спортивные сооружния'!A38:G146,7,FALSE)/'[1]Экономические факторы'!E36*100,0)</f>
        <v>136.20710415412401</v>
      </c>
      <c r="D36" s="11">
        <f>VLOOKUP($A36,[1]библиотеки!A38:N150,14,FALSE)/'[1]Экономические факторы'!G36*1000</f>
        <v>416.61649608669478</v>
      </c>
      <c r="E36" s="10">
        <f>VLOOKUP($A36,[1]Газеты!$A$3:$G$111,7,FALSE)</f>
        <v>310</v>
      </c>
      <c r="F36" s="11">
        <f>'[1]Культурные факторы'!F36/'[1]Экономические факторы'!G36*1000</f>
        <v>14.28055388320289</v>
      </c>
    </row>
    <row r="37" spans="1:6" ht="34.200000000000003" x14ac:dyDescent="0.3">
      <c r="A37" s="9" t="s">
        <v>47</v>
      </c>
      <c r="B37" s="10">
        <v>358</v>
      </c>
      <c r="C37" s="11">
        <f>IFERROR(VLOOKUP($A37,'[1]спортивные сооружния'!A39:G147,7,FALSE)/'[1]Экономические факторы'!E37*100,0)</f>
        <v>0.48094050587816178</v>
      </c>
      <c r="D37" s="11">
        <f>VLOOKUP($A37,[1]библиотеки!A39:N151,14,FALSE)/'[1]Экономические факторы'!G37*1000</f>
        <v>267.18916993231204</v>
      </c>
      <c r="E37" s="10">
        <f>VLOOKUP($A37,[1]Газеты!$A$3:$G$111,7,FALSE)</f>
        <v>195</v>
      </c>
      <c r="F37" s="11">
        <f>'[1]Культурные факторы'!F37/'[1]Экономические факторы'!G37*1000</f>
        <v>8.5500534378339861</v>
      </c>
    </row>
    <row r="38" spans="1:6" ht="34.200000000000003" x14ac:dyDescent="0.3">
      <c r="A38" s="9" t="s">
        <v>48</v>
      </c>
      <c r="B38" s="10">
        <v>122</v>
      </c>
      <c r="C38" s="11">
        <f>IFERROR(VLOOKUP($A38,'[1]спортивные сооружния'!A40:G148,7,FALSE)/'[1]Экономические факторы'!E38*100,0)</f>
        <v>20.230802549347196</v>
      </c>
      <c r="D38" s="11">
        <f>VLOOKUP($A38,[1]библиотеки!A40:N152,14,FALSE)/'[1]Экономические факторы'!G38*1000</f>
        <v>286.80155930944869</v>
      </c>
      <c r="E38" s="10">
        <f>VLOOKUP($A38,[1]Газеты!$A$3:$G$111,7,FALSE)</f>
        <v>56</v>
      </c>
      <c r="F38" s="11">
        <f>'[1]Культурные факторы'!F38/'[1]Экономические факторы'!G38*1000</f>
        <v>8.1678113978095404</v>
      </c>
    </row>
    <row r="39" spans="1:6" ht="68.400000000000006" x14ac:dyDescent="0.3">
      <c r="A39" s="12" t="s">
        <v>49</v>
      </c>
      <c r="B39" s="10">
        <v>210</v>
      </c>
      <c r="C39" s="11">
        <f>IFERROR(VLOOKUP($A39,'[1]спортивные сооружния'!A41:G149,7,FALSE)/'[1]Экономические факторы'!E39*100,0)</f>
        <v>15.184980673660961</v>
      </c>
      <c r="D39" s="11">
        <f>VLOOKUP($A39,[1]библиотеки!A41:N153,14,FALSE)/'[1]Экономические факторы'!G39*1000</f>
        <v>278.29928216454999</v>
      </c>
      <c r="E39" s="10">
        <f>VLOOKUP($A39,[1]Газеты!$A$3:$G$111,7,FALSE)</f>
        <v>49</v>
      </c>
      <c r="F39" s="11">
        <f>'[1]Культурные факторы'!F39/'[1]Экономические факторы'!G39*1000</f>
        <v>2.8713418001104363</v>
      </c>
    </row>
    <row r="40" spans="1:6" ht="57" x14ac:dyDescent="0.3">
      <c r="A40" s="9" t="s">
        <v>50</v>
      </c>
      <c r="B40" s="10">
        <v>99</v>
      </c>
      <c r="C40" s="11">
        <f>IFERROR(VLOOKUP($A40,'[1]спортивные сооружния'!A42:G150,7,FALSE)/'[1]Экономические факторы'!E40*100,0)</f>
        <v>12.21439248345078</v>
      </c>
      <c r="D40" s="11">
        <f>VLOOKUP($A40,[1]библиотеки!A42:N154,14,FALSE)/'[1]Экономические факторы'!G40*1000</f>
        <v>439.88896006833227</v>
      </c>
      <c r="E40" s="10">
        <f>VLOOKUP($A40,[1]Газеты!$A$3:$G$111,7,FALSE)</f>
        <v>95</v>
      </c>
      <c r="F40" s="11">
        <f>'[1]Культурные факторы'!F40/'[1]Экономические факторы'!G40*1000</f>
        <v>14.093529788597053</v>
      </c>
    </row>
    <row r="41" spans="1:6" ht="45.6" x14ac:dyDescent="0.3">
      <c r="A41" s="9" t="s">
        <v>51</v>
      </c>
      <c r="B41" s="10">
        <v>317</v>
      </c>
      <c r="C41" s="11">
        <f>IFERROR(VLOOKUP($A41,'[1]спортивные сооружния'!A43:G151,7,FALSE)/'[1]Экономические факторы'!E41*100,0)</f>
        <v>14.140521431727796</v>
      </c>
      <c r="D41" s="11">
        <f>VLOOKUP($A41,[1]библиотеки!A43:N155,14,FALSE)/'[1]Экономические факторы'!G41*1000</f>
        <v>194.43216968625717</v>
      </c>
      <c r="E41" s="10">
        <f>VLOOKUP($A41,[1]Газеты!$A$3:$G$111,7,FALSE)</f>
        <v>85</v>
      </c>
      <c r="F41" s="11">
        <f>'[1]Культурные факторы'!F41/'[1]Экономические факторы'!G41*1000</f>
        <v>24.304021210782146</v>
      </c>
    </row>
    <row r="42" spans="1:6" ht="34.200000000000003" x14ac:dyDescent="0.3">
      <c r="A42" s="9" t="s">
        <v>52</v>
      </c>
      <c r="B42" s="10">
        <v>154</v>
      </c>
      <c r="C42" s="11">
        <f>IFERROR(VLOOKUP($A42,'[1]спортивные сооружния'!A44:G152,7,FALSE)/'[1]Экономические факторы'!E42*100,0)</f>
        <v>13.561723227509818</v>
      </c>
      <c r="D42" s="11">
        <f>VLOOKUP($A42,[1]библиотеки!A44:N156,14,FALSE)/'[1]Экономические факторы'!G42*1000</f>
        <v>227.96058986412518</v>
      </c>
      <c r="E42" s="10">
        <f>VLOOKUP($A42,[1]Газеты!$A$3:$G$111,7,FALSE)</f>
        <v>28</v>
      </c>
      <c r="F42" s="11">
        <f>'[1]Культурные факторы'!F42/'[1]Экономические факторы'!G42*1000</f>
        <v>5.7956082168845375</v>
      </c>
    </row>
    <row r="43" spans="1:6" ht="34.200000000000003" x14ac:dyDescent="0.3">
      <c r="A43" s="9" t="s">
        <v>53</v>
      </c>
      <c r="B43" s="10">
        <v>117</v>
      </c>
      <c r="C43" s="11">
        <f>IFERROR(VLOOKUP($A43,'[1]спортивные сооружния'!A45:G153,7,FALSE)/'[1]Экономические факторы'!E43*100,0)</f>
        <v>91.750112608710722</v>
      </c>
      <c r="D43" s="11">
        <f>VLOOKUP($A43,[1]библиотеки!A45:N157,14,FALSE)/'[1]Экономические факторы'!G43*1000</f>
        <v>345.10238730466722</v>
      </c>
      <c r="E43" s="10">
        <f>VLOOKUP($A43,[1]Газеты!$A$3:$G$111,7,FALSE)</f>
        <v>173</v>
      </c>
      <c r="F43" s="11">
        <f>'[1]Культурные факторы'!F43/'[1]Экономические факторы'!G43*1000</f>
        <v>27.060739406118984</v>
      </c>
    </row>
    <row r="44" spans="1:6" ht="45.6" x14ac:dyDescent="0.3">
      <c r="A44" s="9" t="s">
        <v>54</v>
      </c>
      <c r="B44" s="10">
        <v>257</v>
      </c>
      <c r="C44" s="11">
        <f>IFERROR(VLOOKUP($A44,'[1]спортивные сооружния'!A46:G154,7,FALSE)/'[1]Экономические факторы'!E44*100,0)</f>
        <v>87.899515291686143</v>
      </c>
      <c r="D44" s="11">
        <f>VLOOKUP($A44,[1]библиотеки!A46:N158,14,FALSE)/'[1]Экономические факторы'!G44*1000</f>
        <v>587.30900770120309</v>
      </c>
      <c r="E44" s="10">
        <f>VLOOKUP($A44,[1]Газеты!$A$3:$G$111,7,FALSE)</f>
        <v>278</v>
      </c>
      <c r="F44" s="11">
        <f>'[1]Культурные факторы'!F44/'[1]Экономические факторы'!G44*1000</f>
        <v>42.984031690574021</v>
      </c>
    </row>
    <row r="45" spans="1:6" ht="34.200000000000003" x14ac:dyDescent="0.3">
      <c r="A45" s="9" t="s">
        <v>55</v>
      </c>
      <c r="B45" s="10">
        <v>561</v>
      </c>
      <c r="C45" s="11">
        <f>IFERROR(VLOOKUP($A45,'[1]спортивные сооружния'!A47:G155,7,FALSE)/'[1]Экономические факторы'!E45*100,0)</f>
        <v>27.948641385488205</v>
      </c>
      <c r="D45" s="11">
        <f>VLOOKUP($A45,[1]библиотеки!A47:N159,14,FALSE)/'[1]Экономические факторы'!G45*1000</f>
        <v>473.27560465810694</v>
      </c>
      <c r="E45" s="10">
        <f>VLOOKUP($A45,[1]Газеты!$A$3:$G$111,7,FALSE)</f>
        <v>1618</v>
      </c>
      <c r="F45" s="11">
        <f>'[1]Культурные факторы'!F45/'[1]Экономические факторы'!G45*1000</f>
        <v>32.994923857868024</v>
      </c>
    </row>
    <row r="46" spans="1:6" ht="34.200000000000003" x14ac:dyDescent="0.3">
      <c r="A46" s="9" t="s">
        <v>56</v>
      </c>
      <c r="B46" s="10">
        <v>324</v>
      </c>
      <c r="C46" s="11">
        <f>IFERROR(VLOOKUP($A46,'[1]спортивные сооружния'!A48:G156,7,FALSE)/'[1]Экономические факторы'!E46*100,0)</f>
        <v>20.446533490011753</v>
      </c>
      <c r="D46" s="11">
        <f>VLOOKUP($A46,[1]библиотеки!A48:N160,14,FALSE)/'[1]Экономические факторы'!G46*1000</f>
        <v>531.40096618357495</v>
      </c>
      <c r="E46" s="10">
        <f>VLOOKUP($A46,[1]Газеты!$A$3:$G$111,7,FALSE)</f>
        <v>225</v>
      </c>
      <c r="F46" s="11">
        <f>'[1]Культурные факторы'!F46/'[1]Экономические факторы'!G46*1000</f>
        <v>30.813422117769946</v>
      </c>
    </row>
    <row r="47" spans="1:6" ht="34.200000000000003" x14ac:dyDescent="0.3">
      <c r="A47" s="9" t="s">
        <v>57</v>
      </c>
      <c r="B47" s="10">
        <v>341</v>
      </c>
      <c r="C47" s="11">
        <f>IFERROR(VLOOKUP($A47,'[1]спортивные сооружния'!A49:G157,7,FALSE)/'[1]Экономические факторы'!E47*100,0)</f>
        <v>77.911566325256061</v>
      </c>
      <c r="D47" s="11">
        <f>VLOOKUP($A47,[1]библиотеки!A49:N161,14,FALSE)/'[1]Экономические факторы'!G47*1000</f>
        <v>444.91631276542591</v>
      </c>
      <c r="E47" s="10">
        <f>VLOOKUP($A47,[1]Газеты!$A$3:$G$111,7,FALSE)</f>
        <v>349</v>
      </c>
      <c r="F47" s="11">
        <f>'[1]Культурные факторы'!F47/'[1]Экономические факторы'!G47*1000</f>
        <v>36.722458156382714</v>
      </c>
    </row>
    <row r="48" spans="1:6" ht="45.6" x14ac:dyDescent="0.3">
      <c r="A48" s="9" t="s">
        <v>58</v>
      </c>
      <c r="B48" s="10">
        <v>312</v>
      </c>
      <c r="C48" s="11">
        <f>IFERROR(VLOOKUP($A48,'[1]спортивные сооружния'!A50:G158,7,FALSE)/'[1]Экономические факторы'!E48*100,0)</f>
        <v>73.365398020354121</v>
      </c>
      <c r="D48" s="11">
        <f>VLOOKUP($A48,[1]библиотеки!A50:N162,14,FALSE)/'[1]Экономические факторы'!G48*1000</f>
        <v>443.32915098285241</v>
      </c>
      <c r="E48" s="10">
        <f>VLOOKUP($A48,[1]Газеты!$A$3:$G$111,7,FALSE)</f>
        <v>520</v>
      </c>
      <c r="F48" s="11">
        <f>'[1]Культурные факторы'!F48/'[1]Экономические факторы'!G48*1000</f>
        <v>38.96556531437335</v>
      </c>
    </row>
    <row r="49" spans="1:6" ht="45.6" x14ac:dyDescent="0.3">
      <c r="A49" s="9" t="s">
        <v>59</v>
      </c>
      <c r="B49" s="10">
        <v>388</v>
      </c>
      <c r="C49" s="11">
        <f>IFERROR(VLOOKUP($A49,'[1]спортивные сооружния'!A51:G159,7,FALSE)/'[1]Экономические факторы'!E49*100,0)</f>
        <v>18.815868391740214</v>
      </c>
      <c r="D49" s="11">
        <f>VLOOKUP($A49,[1]библиотеки!A51:N163,14,FALSE)/'[1]Экономические факторы'!G49*1000</f>
        <v>704.30982777825375</v>
      </c>
      <c r="E49" s="10">
        <f>VLOOKUP($A49,[1]Газеты!$A$3:$G$111,7,FALSE)</f>
        <v>509</v>
      </c>
      <c r="F49" s="11">
        <f>'[1]Культурные факторы'!F49/'[1]Экономические факторы'!G49*1000</f>
        <v>27.332704995287468</v>
      </c>
    </row>
    <row r="50" spans="1:6" ht="22.8" x14ac:dyDescent="0.3">
      <c r="A50" s="9" t="s">
        <v>60</v>
      </c>
      <c r="B50" s="10">
        <v>349</v>
      </c>
      <c r="C50" s="11">
        <f>IFERROR(VLOOKUP($A50,'[1]спортивные сооружния'!A52:G160,7,FALSE)/'[1]Экономические факторы'!E50*100,0)</f>
        <v>160.50174327736141</v>
      </c>
      <c r="D50" s="11">
        <f>VLOOKUP($A50,[1]библиотеки!A52:N164,14,FALSE)/'[1]Экономические факторы'!G50*1000</f>
        <v>454.05362080711734</v>
      </c>
      <c r="E50" s="10">
        <f>VLOOKUP($A50,[1]Газеты!$A$3:$G$111,7,FALSE)</f>
        <v>370</v>
      </c>
      <c r="F50" s="11">
        <f>'[1]Культурные факторы'!F50/'[1]Экономические факторы'!G50*1000</f>
        <v>39.113533442872601</v>
      </c>
    </row>
    <row r="51" spans="1:6" ht="22.8" x14ac:dyDescent="0.3">
      <c r="A51" s="9" t="s">
        <v>61</v>
      </c>
      <c r="B51" s="10">
        <v>236</v>
      </c>
      <c r="C51" s="11">
        <f>IFERROR(VLOOKUP($A51,'[1]спортивные сооружния'!A53:G161,7,FALSE)/'[1]Экономические факторы'!E51*100,0)</f>
        <v>255.7394459686698</v>
      </c>
      <c r="D51" s="11">
        <f>VLOOKUP($A51,[1]библиотеки!A53:N165,14,FALSE)/'[1]Экономические факторы'!G51*1000</f>
        <v>734.57828126382867</v>
      </c>
      <c r="E51" s="10">
        <f>VLOOKUP($A51,[1]Газеты!$A$3:$G$111,7,FALSE)</f>
        <v>605</v>
      </c>
      <c r="F51" s="11">
        <f>'[1]Культурные факторы'!F51/'[1]Экономические факторы'!G51*1000</f>
        <v>45.225241171785115</v>
      </c>
    </row>
    <row r="52" spans="1:6" ht="34.200000000000003" x14ac:dyDescent="0.3">
      <c r="A52" s="9" t="s">
        <v>62</v>
      </c>
      <c r="B52" s="10">
        <v>317</v>
      </c>
      <c r="C52" s="11">
        <f>IFERROR(VLOOKUP($A52,'[1]спортивные сооружния'!A54:G162,7,FALSE)/'[1]Экономические факторы'!E52*100,0)</f>
        <v>105.12694833839818</v>
      </c>
      <c r="D52" s="11">
        <f>VLOOKUP($A52,[1]библиотеки!A54:N166,14,FALSE)/'[1]Экономические факторы'!G52*1000</f>
        <v>440.80645688331202</v>
      </c>
      <c r="E52" s="10">
        <f>VLOOKUP($A52,[1]Газеты!$A$3:$G$111,7,FALSE)</f>
        <v>1201</v>
      </c>
      <c r="F52" s="11">
        <f>'[1]Культурные факторы'!F52/'[1]Экономические факторы'!G52*1000</f>
        <v>31.859621605724925</v>
      </c>
    </row>
    <row r="53" spans="1:6" ht="34.200000000000003" x14ac:dyDescent="0.3">
      <c r="A53" s="12" t="s">
        <v>63</v>
      </c>
      <c r="B53" s="10">
        <v>220</v>
      </c>
      <c r="C53" s="11">
        <f>IFERROR(VLOOKUP($A53,'[1]спортивные сооружния'!A55:G163,7,FALSE)/'[1]Экономические факторы'!E53*100,0)</f>
        <v>236.75288456280418</v>
      </c>
      <c r="D53" s="11">
        <f>VLOOKUP($A53,[1]библиотеки!A55:N167,14,FALSE)/'[1]Экономические факторы'!G53*1000</f>
        <v>475.74779898288398</v>
      </c>
      <c r="E53" s="10">
        <f>VLOOKUP($A53,[1]Газеты!$A$3:$G$111,7,FALSE)</f>
        <v>291</v>
      </c>
      <c r="F53" s="11">
        <f>'[1]Культурные факторы'!F53/'[1]Экономические факторы'!G53*1000</f>
        <v>33.630447859134904</v>
      </c>
    </row>
    <row r="54" spans="1:6" ht="22.8" x14ac:dyDescent="0.3">
      <c r="A54" s="12" t="s">
        <v>64</v>
      </c>
      <c r="B54" s="10">
        <v>175</v>
      </c>
      <c r="C54" s="11">
        <f>IFERROR(VLOOKUP($A54,'[1]спортивные сооружния'!A56:G164,7,FALSE)/'[1]Экономические факторы'!E54*100,0)</f>
        <v>87.7760698972575</v>
      </c>
      <c r="D54" s="11">
        <f>VLOOKUP($A54,[1]библиотеки!A56:N168,14,FALSE)/'[1]Экономические факторы'!G54*1000</f>
        <v>491.86958983900979</v>
      </c>
      <c r="E54" s="10">
        <f>VLOOKUP($A54,[1]Газеты!$A$3:$G$111,7,FALSE)</f>
        <v>455</v>
      </c>
      <c r="F54" s="11">
        <f>'[1]Культурные факторы'!F54/'[1]Экономические факторы'!G54*1000</f>
        <v>31.146347382897826</v>
      </c>
    </row>
    <row r="55" spans="1:6" ht="22.8" x14ac:dyDescent="0.3">
      <c r="A55" s="9" t="s">
        <v>65</v>
      </c>
      <c r="B55" s="10">
        <v>277</v>
      </c>
      <c r="C55" s="11">
        <f>IFERROR(VLOOKUP($A55,'[1]спортивные сооружния'!A57:G165,7,FALSE)/'[1]Экономические факторы'!E55*100,0)</f>
        <v>66.832917705735667</v>
      </c>
      <c r="D55" s="11">
        <f>VLOOKUP($A55,[1]библиотеки!A57:N169,14,FALSE)/'[1]Экономические факторы'!G55*1000</f>
        <v>326.10780740456545</v>
      </c>
      <c r="E55" s="10">
        <f>VLOOKUP($A55,[1]Газеты!$A$3:$G$111,7,FALSE)</f>
        <v>285</v>
      </c>
      <c r="F55" s="11">
        <f>'[1]Культурные факторы'!F55/'[1]Экономические факторы'!G55*1000</f>
        <v>29.893215678751837</v>
      </c>
    </row>
    <row r="56" spans="1:6" ht="34.200000000000003" x14ac:dyDescent="0.3">
      <c r="A56" s="9" t="s">
        <v>66</v>
      </c>
      <c r="B56" s="10">
        <v>266</v>
      </c>
      <c r="C56" s="11">
        <f>IFERROR(VLOOKUP($A56,'[1]спортивные сооружния'!A58:G166,7,FALSE)/'[1]Экономические факторы'!E56*100,0)</f>
        <v>101.82793895690089</v>
      </c>
      <c r="D56" s="11">
        <f>VLOOKUP($A56,[1]библиотеки!A58:N170,14,FALSE)/'[1]Экономические факторы'!G56*1000</f>
        <v>384.03488177092072</v>
      </c>
      <c r="E56" s="10">
        <f>VLOOKUP($A56,[1]Газеты!$A$3:$G$111,7,FALSE)</f>
        <v>405</v>
      </c>
      <c r="F56" s="11">
        <f>'[1]Культурные факторы'!F56/'[1]Экономические факторы'!G56*1000</f>
        <v>21.298004360221366</v>
      </c>
    </row>
    <row r="57" spans="1:6" ht="34.200000000000003" x14ac:dyDescent="0.3">
      <c r="A57" s="9" t="s">
        <v>67</v>
      </c>
      <c r="B57" s="10">
        <v>189</v>
      </c>
      <c r="C57" s="11">
        <f>IFERROR(VLOOKUP($A57,'[1]спортивные сооружния'!A59:G167,7,FALSE)/'[1]Экономические факторы'!E57*100,0)</f>
        <v>53.922237380627557</v>
      </c>
      <c r="D57" s="11">
        <f>VLOOKUP($A57,[1]библиотеки!A59:N171,14,FALSE)/'[1]Экономические факторы'!G57*1000</f>
        <v>416.95088676671213</v>
      </c>
      <c r="E57" s="10">
        <f>VLOOKUP($A57,[1]Газеты!$A$3:$G$111,7,FALSE)</f>
        <v>1143</v>
      </c>
      <c r="F57" s="11">
        <f>'[1]Культурные факторы'!F57/'[1]Экономические факторы'!G57*1000</f>
        <v>34.703274215552526</v>
      </c>
    </row>
    <row r="58" spans="1:6" ht="34.200000000000003" x14ac:dyDescent="0.3">
      <c r="A58" s="13" t="s">
        <v>68</v>
      </c>
      <c r="B58" s="10">
        <v>325</v>
      </c>
      <c r="C58" s="11">
        <f>IFERROR(VLOOKUP($A58,'[1]спортивные сооружния'!A60:G168,7,FALSE)/'[1]Экономические факторы'!E58*100,0)</f>
        <v>206.95289743529025</v>
      </c>
      <c r="D58" s="11">
        <f>VLOOKUP($A58,[1]библиотеки!A60:N172,14,FALSE)/'[1]Экономические факторы'!G58*1000</f>
        <v>298.8609183697634</v>
      </c>
      <c r="E58" s="10">
        <f>VLOOKUP($A58,[1]Газеты!$A$3:$G$111,7,FALSE)</f>
        <v>375</v>
      </c>
      <c r="F58" s="11">
        <f>'[1]Культурные факторы'!F58/'[1]Экономические факторы'!G58*1000</f>
        <v>8.6674402633386229</v>
      </c>
    </row>
    <row r="59" spans="1:6" ht="34.200000000000003" x14ac:dyDescent="0.3">
      <c r="A59" s="13" t="s">
        <v>69</v>
      </c>
      <c r="B59" s="10">
        <v>200</v>
      </c>
      <c r="C59" s="11">
        <f>IFERROR(VLOOKUP($A59,'[1]спортивные сооружния'!A61:G169,7,FALSE)/'[1]Экономические факторы'!E59*100,0)</f>
        <v>827.91199753264118</v>
      </c>
      <c r="D59" s="11">
        <f>VLOOKUP($A59,[1]библиотеки!A61:N173,14,FALSE)/'[1]Экономические факторы'!G59*1000</f>
        <v>369.84681813508791</v>
      </c>
      <c r="E59" s="10">
        <f>VLOOKUP($A59,[1]Газеты!$A$3:$G$111,7,FALSE)</f>
        <v>204</v>
      </c>
      <c r="F59" s="11">
        <f>'[1]Культурные факторы'!F59/'[1]Экономические факторы'!G59*1000</f>
        <v>46.314382646242414</v>
      </c>
    </row>
    <row r="60" spans="1:6" ht="68.400000000000006" x14ac:dyDescent="0.3">
      <c r="A60" s="13" t="s">
        <v>70</v>
      </c>
      <c r="B60" s="10">
        <v>162</v>
      </c>
      <c r="C60" s="11">
        <f>IFERROR(VLOOKUP($A60,'[1]спортивные сооружния'!A62:G170,7,FALSE)/'[1]Экономические факторы'!E60*100,0)</f>
        <v>121.58690462657722</v>
      </c>
      <c r="D60" s="11">
        <f>VLOOKUP($A60,[1]библиотеки!A62:N174,14,FALSE)/'[1]Экономические факторы'!G60*1000</f>
        <v>259.17926565874728</v>
      </c>
      <c r="E60" s="10">
        <f>VLOOKUP($A60,[1]Газеты!$A$3:$G$111,7,FALSE)</f>
        <v>222</v>
      </c>
      <c r="F60" s="11">
        <f>'[1]Культурные факторы'!F60/'[1]Экономические факторы'!G60*1000</f>
        <v>27.850403546663635</v>
      </c>
    </row>
    <row r="61" spans="1:6" ht="57" x14ac:dyDescent="0.3">
      <c r="A61" s="9" t="s">
        <v>71</v>
      </c>
      <c r="B61" s="10">
        <v>304</v>
      </c>
      <c r="C61" s="11">
        <f>IFERROR(VLOOKUP($A61,'[1]спортивные сооружния'!A63:G171,7,FALSE)/'[1]Экономические факторы'!E61*100,0)</f>
        <v>178.39544385291569</v>
      </c>
      <c r="D61" s="11">
        <f>VLOOKUP($A61,[1]библиотеки!A63:N175,14,FALSE)/'[1]Экономические факторы'!G61*1000</f>
        <v>506.37612975114519</v>
      </c>
      <c r="E61" s="10">
        <f>VLOOKUP($A61,[1]Газеты!$A$3:$G$111,7,FALSE)</f>
        <v>193</v>
      </c>
      <c r="F61" s="11">
        <f>'[1]Культурные факторы'!F61/'[1]Экономические факторы'!G61*1000</f>
        <v>62.461309892286735</v>
      </c>
    </row>
    <row r="62" spans="1:6" ht="34.200000000000003" x14ac:dyDescent="0.3">
      <c r="A62" s="12" t="s">
        <v>72</v>
      </c>
      <c r="B62" s="10">
        <v>225</v>
      </c>
      <c r="C62" s="11">
        <f>IFERROR(VLOOKUP($A62,'[1]спортивные сооружния'!A64:G172,7,FALSE)/'[1]Экономические факторы'!E62*100,0)</f>
        <v>96.536898521703279</v>
      </c>
      <c r="D62" s="11">
        <f>VLOOKUP($A62,[1]библиотеки!A64:N176,14,FALSE)/'[1]Экономические факторы'!G62*1000</f>
        <v>325.69644855409626</v>
      </c>
      <c r="E62" s="10">
        <f>VLOOKUP($A62,[1]Газеты!$A$3:$G$111,7,FALSE)</f>
        <v>450</v>
      </c>
      <c r="F62" s="11">
        <f>'[1]Культурные факторы'!F62/'[1]Экономические факторы'!G62*1000</f>
        <v>41.256846692973674</v>
      </c>
    </row>
    <row r="63" spans="1:6" ht="22.8" x14ac:dyDescent="0.3">
      <c r="A63" s="9" t="s">
        <v>73</v>
      </c>
      <c r="B63" s="10">
        <v>135</v>
      </c>
      <c r="C63" s="11">
        <f>IFERROR(VLOOKUP($A63,'[1]спортивные сооружния'!A65:G173,7,FALSE)/'[1]Экономические факторы'!E63*100,0)</f>
        <v>352.56166982922201</v>
      </c>
      <c r="D63" s="11">
        <f>VLOOKUP($A63,[1]библиотеки!A65:N177,14,FALSE)/'[1]Экономические факторы'!G63*1000</f>
        <v>569.25996204933585</v>
      </c>
      <c r="E63" s="10">
        <f>VLOOKUP($A63,[1]Газеты!$A$3:$G$111,7,FALSE)</f>
        <v>318</v>
      </c>
      <c r="F63" s="11">
        <f>'[1]Культурные факторы'!F63/'[1]Экономические факторы'!G63*1000</f>
        <v>47.438330170777981</v>
      </c>
    </row>
    <row r="64" spans="1:6" ht="22.8" x14ac:dyDescent="0.3">
      <c r="A64" s="9" t="s">
        <v>74</v>
      </c>
      <c r="B64" s="10">
        <v>420</v>
      </c>
      <c r="C64" s="11">
        <f>IFERROR(VLOOKUP($A64,'[1]спортивные сооружния'!A66:G174,7,FALSE)/'[1]Экономические факторы'!E64*100,0)</f>
        <v>499.55555555555549</v>
      </c>
      <c r="D64" s="11">
        <f>VLOOKUP($A64,[1]библиотеки!A66:N178,14,FALSE)/'[1]Экономические факторы'!G64*1000</f>
        <v>411.85185185185185</v>
      </c>
      <c r="E64" s="10">
        <f>VLOOKUP($A64,[1]Газеты!$A$3:$G$111,7,FALSE)</f>
        <v>73</v>
      </c>
      <c r="F64" s="11">
        <f>'[1]Культурные факторы'!F64/'[1]Экономические факторы'!G64*1000</f>
        <v>49.481481481481481</v>
      </c>
    </row>
    <row r="65" spans="1:6" ht="22.8" x14ac:dyDescent="0.3">
      <c r="A65" s="9" t="s">
        <v>75</v>
      </c>
      <c r="B65" s="10">
        <v>258</v>
      </c>
      <c r="C65" s="11">
        <f>IFERROR(VLOOKUP($A65,'[1]спортивные сооружния'!A67:G175,7,FALSE)/'[1]Экономические факторы'!E65*100,0)</f>
        <v>244.90723210904957</v>
      </c>
      <c r="D65" s="11">
        <f>VLOOKUP($A65,[1]библиотеки!A67:N179,14,FALSE)/'[1]Экономические факторы'!G65*1000</f>
        <v>350.24611889435818</v>
      </c>
      <c r="E65" s="10">
        <f>VLOOKUP($A65,[1]Газеты!$A$3:$G$111,7,FALSE)</f>
        <v>788</v>
      </c>
      <c r="F65" s="11">
        <f>'[1]Культурные факторы'!F65/'[1]Экономические факторы'!G65*1000</f>
        <v>41.461567588034825</v>
      </c>
    </row>
    <row r="66" spans="1:6" ht="22.8" x14ac:dyDescent="0.3">
      <c r="A66" s="9" t="s">
        <v>76</v>
      </c>
      <c r="B66" s="10">
        <v>234</v>
      </c>
      <c r="C66" s="11">
        <f>IFERROR(VLOOKUP($A66,'[1]спортивные сооружния'!A68:G176,7,FALSE)/'[1]Экономические факторы'!E66*100,0)</f>
        <v>389.16465749539071</v>
      </c>
      <c r="D66" s="11">
        <f>VLOOKUP($A66,[1]библиотеки!A68:N180,14,FALSE)/'[1]Экономические факторы'!G66*1000</f>
        <v>439.65394979435536</v>
      </c>
      <c r="E66" s="10">
        <f>VLOOKUP($A66,[1]Газеты!$A$3:$G$111,7,FALSE)</f>
        <v>294</v>
      </c>
      <c r="F66" s="11">
        <f>'[1]Культурные факторы'!F66/'[1]Экономические факторы'!G66*1000</f>
        <v>46.234576655793504</v>
      </c>
    </row>
    <row r="67" spans="1:6" ht="22.8" x14ac:dyDescent="0.3">
      <c r="A67" s="9" t="s">
        <v>77</v>
      </c>
      <c r="B67" s="10">
        <v>385</v>
      </c>
      <c r="C67" s="11">
        <f>IFERROR(VLOOKUP($A67,'[1]спортивные сооружния'!A69:G177,7,FALSE)/'[1]Экономические факторы'!E67*100,0)</f>
        <v>1330.5505779839082</v>
      </c>
      <c r="D67" s="11">
        <f>VLOOKUP($A67,[1]библиотеки!A69:N181,14,FALSE)/'[1]Экономические факторы'!G67*1000</f>
        <v>466.95478022557188</v>
      </c>
      <c r="E67" s="10">
        <f>VLOOKUP($A67,[1]Газеты!$A$3:$G$111,7,FALSE)</f>
        <v>314</v>
      </c>
      <c r="F67" s="11">
        <f>'[1]Культурные факторы'!F67/'[1]Экономические факторы'!G67*1000</f>
        <v>37.735849056603776</v>
      </c>
    </row>
    <row r="68" spans="1:6" ht="22.8" x14ac:dyDescent="0.3">
      <c r="A68" s="9" t="s">
        <v>78</v>
      </c>
      <c r="B68" s="10">
        <v>251</v>
      </c>
      <c r="C68" s="11">
        <f>IFERROR(VLOOKUP($A68,'[1]спортивные сооружния'!A70:G178,7,FALSE)/'[1]Экономические факторы'!E68*100,0)</f>
        <v>797.90602874919546</v>
      </c>
      <c r="D68" s="11">
        <f>VLOOKUP($A68,[1]библиотеки!A70:N182,14,FALSE)/'[1]Экономические факторы'!G68*1000</f>
        <v>311.95022527354644</v>
      </c>
      <c r="E68" s="10">
        <f>VLOOKUP($A68,[1]Газеты!$A$3:$G$111,7,FALSE)</f>
        <v>354</v>
      </c>
      <c r="F68" s="11">
        <f>'[1]Культурные факторы'!F68/'[1]Экономические факторы'!G68*1000</f>
        <v>34.284488307230205</v>
      </c>
    </row>
    <row r="69" spans="1:6" ht="34.200000000000003" x14ac:dyDescent="0.3">
      <c r="A69" s="9" t="s">
        <v>79</v>
      </c>
      <c r="B69" s="10">
        <v>178</v>
      </c>
      <c r="C69" s="11">
        <f>IFERROR(VLOOKUP($A69,'[1]спортивные сооружния'!A71:G179,7,FALSE)/'[1]Экономические факторы'!E69*100,0)</f>
        <v>97.66456019154532</v>
      </c>
      <c r="D69" s="11">
        <f>VLOOKUP($A69,[1]библиотеки!A71:N183,14,FALSE)/'[1]Экономические факторы'!G69*1000</f>
        <v>388.58578325548535</v>
      </c>
      <c r="E69" s="10">
        <f>VLOOKUP($A69,[1]Газеты!$A$3:$G$111,7,FALSE)</f>
        <v>122</v>
      </c>
      <c r="F69" s="11">
        <f>'[1]Культурные факторы'!F69/'[1]Экономические факторы'!G69*1000</f>
        <v>40.781881697217102</v>
      </c>
    </row>
    <row r="70" spans="1:6" ht="34.200000000000003" x14ac:dyDescent="0.3">
      <c r="A70" s="9" t="s">
        <v>80</v>
      </c>
      <c r="B70" s="10">
        <v>394</v>
      </c>
      <c r="C70" s="11">
        <f>IFERROR(VLOOKUP($A70,'[1]спортивные сооружния'!A72:G180,7,FALSE)/'[1]Экономические факторы'!E70*100,0)</f>
        <v>152.97365119196988</v>
      </c>
      <c r="D70" s="11">
        <f>VLOOKUP($A70,[1]библиотеки!A72:N184,14,FALSE)/'[1]Экономические факторы'!G70*1000</f>
        <v>311.88385015235701</v>
      </c>
      <c r="E70" s="10">
        <f>VLOOKUP($A70,[1]Газеты!$A$3:$G$111,7,FALSE)</f>
        <v>363</v>
      </c>
      <c r="F70" s="11">
        <f>'[1]Культурные факторы'!F70/'[1]Экономические факторы'!G70*1000</f>
        <v>38.393977415307404</v>
      </c>
    </row>
    <row r="71" spans="1:6" ht="22.8" x14ac:dyDescent="0.3">
      <c r="A71" s="9" t="s">
        <v>81</v>
      </c>
      <c r="B71" s="10">
        <v>342</v>
      </c>
      <c r="C71" s="11">
        <f>IFERROR(VLOOKUP($A71,'[1]спортивные сооружния'!A73:G181,7,FALSE)/'[1]Экономические факторы'!E71*100,0)</f>
        <v>302.67312029041307</v>
      </c>
      <c r="D71" s="11">
        <f>VLOOKUP($A71,[1]библиотеки!A73:N185,14,FALSE)/'[1]Экономические факторы'!G71*1000</f>
        <v>441.11985039326771</v>
      </c>
      <c r="E71" s="10">
        <f>VLOOKUP($A71,[1]Газеты!$A$3:$G$111,7,FALSE)</f>
        <v>266</v>
      </c>
      <c r="F71" s="11">
        <f>'[1]Культурные факторы'!F71/'[1]Экономические факторы'!G71*1000</f>
        <v>36.961663274847375</v>
      </c>
    </row>
    <row r="72" spans="1:6" ht="22.8" x14ac:dyDescent="0.3">
      <c r="A72" s="9" t="s">
        <v>82</v>
      </c>
      <c r="B72" s="10">
        <v>278</v>
      </c>
      <c r="C72" s="11">
        <f>IFERROR(VLOOKUP($A72,'[1]спортивные сооружния'!A74:G182,7,FALSE)/'[1]Экономические факторы'!E72*100,0)</f>
        <v>421.85163887291537</v>
      </c>
      <c r="D72" s="11">
        <f>VLOOKUP($A72,[1]библиотеки!A74:N186,14,FALSE)/'[1]Экономические факторы'!G72*1000</f>
        <v>415.94786275637335</v>
      </c>
      <c r="E72" s="10">
        <f>VLOOKUP($A72,[1]Газеты!$A$3:$G$111,7,FALSE)</f>
        <v>416</v>
      </c>
      <c r="F72" s="11">
        <f>'[1]Культурные факторы'!F72/'[1]Экономические факторы'!G72*1000</f>
        <v>41.019743147402714</v>
      </c>
    </row>
    <row r="73" spans="1:6" ht="22.8" x14ac:dyDescent="0.3">
      <c r="A73" s="12" t="s">
        <v>83</v>
      </c>
      <c r="B73" s="10">
        <v>263</v>
      </c>
      <c r="C73" s="11">
        <f>IFERROR(VLOOKUP($A73,'[1]спортивные сооружния'!A75:G183,7,FALSE)/'[1]Экономические факторы'!E73*100,0)</f>
        <v>686.7681860273691</v>
      </c>
      <c r="D73" s="11">
        <f>VLOOKUP($A73,[1]библиотеки!A75:N187,14,FALSE)/'[1]Экономические факторы'!G73*1000</f>
        <v>496.96470830332339</v>
      </c>
      <c r="E73" s="10">
        <f>VLOOKUP($A73,[1]Газеты!$A$3:$G$111,7,FALSE)</f>
        <v>342</v>
      </c>
      <c r="F73" s="11">
        <f>'[1]Культурные факторы'!F73/'[1]Экономические факторы'!G73*1000</f>
        <v>32.719415577734331</v>
      </c>
    </row>
    <row r="74" spans="1:6" ht="34.200000000000003" x14ac:dyDescent="0.3">
      <c r="A74" s="9" t="s">
        <v>84</v>
      </c>
      <c r="B74" s="10">
        <v>242</v>
      </c>
      <c r="C74" s="11">
        <f>IFERROR(VLOOKUP($A74,'[1]спортивные сооружния'!A76:G184,7,FALSE)/'[1]Экономические факторы'!E74*100,0)</f>
        <v>7387.8406708595394</v>
      </c>
      <c r="D74" s="11">
        <f>VLOOKUP($A74,[1]библиотеки!A76:N188,14,FALSE)/'[1]Экономические факторы'!G74*1000</f>
        <v>442.24817809723464</v>
      </c>
      <c r="E74" s="10">
        <f>VLOOKUP($A74,[1]Газеты!$A$3:$G$111,7,FALSE)</f>
        <v>135</v>
      </c>
      <c r="F74" s="11">
        <f>'[1]Культурные факторы'!F74/'[1]Экономические факторы'!G74*1000</f>
        <v>34.441449535789154</v>
      </c>
    </row>
    <row r="75" spans="1:6" ht="22.8" x14ac:dyDescent="0.3">
      <c r="A75" s="9" t="s">
        <v>85</v>
      </c>
      <c r="B75" s="10">
        <v>276</v>
      </c>
      <c r="C75" s="11">
        <f>IFERROR(VLOOKUP($A75,'[1]спортивные сооружния'!A77:G185,7,FALSE)/'[1]Экономические факторы'!E75*100,0)</f>
        <v>526.4932954083705</v>
      </c>
      <c r="D75" s="11">
        <f>VLOOKUP($A75,[1]библиотеки!A77:N189,14,FALSE)/'[1]Экономические факторы'!G75*1000</f>
        <v>473.38480292563997</v>
      </c>
      <c r="E75" s="10">
        <f>VLOOKUP($A75,[1]Газеты!$A$3:$G$111,7,FALSE)</f>
        <v>163</v>
      </c>
      <c r="F75" s="11">
        <f>'[1]Культурные факторы'!F75/'[1]Экономические факторы'!G75*1000</f>
        <v>37.789516456724911</v>
      </c>
    </row>
    <row r="76" spans="1:6" ht="22.8" x14ac:dyDescent="0.3">
      <c r="A76" s="9" t="s">
        <v>86</v>
      </c>
      <c r="B76" s="10">
        <v>271</v>
      </c>
      <c r="C76" s="11">
        <f>IFERROR(VLOOKUP($A76,'[1]спортивные сооружния'!A78:G186,7,FALSE)/'[1]Экономические факторы'!E76*100,0)</f>
        <v>160.71304949809627</v>
      </c>
      <c r="D76" s="11">
        <f>VLOOKUP($A76,[1]библиотеки!A78:N190,14,FALSE)/'[1]Экономические факторы'!G76*1000</f>
        <v>526.13361024575977</v>
      </c>
      <c r="E76" s="10">
        <f>VLOOKUP($A76,[1]Газеты!$A$3:$G$111,7,FALSE)</f>
        <v>487</v>
      </c>
      <c r="F76" s="11">
        <f>'[1]Культурные факторы'!F76/'[1]Экономические факторы'!G76*1000</f>
        <v>44.652128764278302</v>
      </c>
    </row>
    <row r="77" spans="1:6" ht="22.8" x14ac:dyDescent="0.3">
      <c r="A77" s="9" t="s">
        <v>87</v>
      </c>
      <c r="B77" s="10">
        <v>318</v>
      </c>
      <c r="C77" s="11">
        <f>IFERROR(VLOOKUP($A77,'[1]спортивные сооружния'!A79:G187,7,FALSE)/'[1]Экономические факторы'!E77*100,0)</f>
        <v>218.82196634189546</v>
      </c>
      <c r="D77" s="11">
        <f>VLOOKUP($A77,[1]библиотеки!A79:N191,14,FALSE)/'[1]Экономические факторы'!G77*1000</f>
        <v>293.95482728077945</v>
      </c>
      <c r="E77" s="10">
        <f>VLOOKUP($A77,[1]Газеты!$A$3:$G$111,7,FALSE)</f>
        <v>150</v>
      </c>
      <c r="F77" s="11">
        <f>'[1]Культурные факторы'!F77/'[1]Экономические факторы'!G77*1000</f>
        <v>51.040744021257751</v>
      </c>
    </row>
    <row r="78" spans="1:6" ht="22.8" x14ac:dyDescent="0.3">
      <c r="A78" s="9" t="s">
        <v>88</v>
      </c>
      <c r="B78" s="10">
        <v>246</v>
      </c>
      <c r="C78" s="11">
        <f>IFERROR(VLOOKUP($A78,'[1]спортивные сооружния'!A80:G188,7,FALSE)/'[1]Экономические факторы'!E78*100,0)</f>
        <v>985.96353962913724</v>
      </c>
      <c r="D78" s="11">
        <f>VLOOKUP($A78,[1]библиотеки!A80:N192,14,FALSE)/'[1]Экономические факторы'!G78*1000</f>
        <v>263.67263907362491</v>
      </c>
      <c r="E78" s="10">
        <f>VLOOKUP($A78,[1]Газеты!$A$3:$G$111,7,FALSE)</f>
        <v>193</v>
      </c>
      <c r="F78" s="11">
        <f>'[1]Культурные факторы'!F78/'[1]Экономические факторы'!G78*1000</f>
        <v>31.531179093967612</v>
      </c>
    </row>
    <row r="79" spans="1:6" ht="22.8" x14ac:dyDescent="0.3">
      <c r="A79" s="9" t="s">
        <v>89</v>
      </c>
      <c r="B79" s="10">
        <v>172</v>
      </c>
      <c r="C79" s="11">
        <f>IFERROR(VLOOKUP($A79,'[1]спортивные сооружния'!A81:G189,7,FALSE)/'[1]Экономические факторы'!E79*100,0)</f>
        <v>1254.4194107452338</v>
      </c>
      <c r="D79" s="11">
        <f>VLOOKUP($A79,[1]библиотеки!A81:N193,14,FALSE)/'[1]Экономические факторы'!G79*1000</f>
        <v>299.9600053326223</v>
      </c>
      <c r="E79" s="10">
        <f>VLOOKUP($A79,[1]Газеты!$A$3:$G$111,7,FALSE)</f>
        <v>208</v>
      </c>
      <c r="F79" s="11">
        <f>'[1]Культурные факторы'!F79/'[1]Экономические факторы'!G79*1000</f>
        <v>26.26316491134515</v>
      </c>
    </row>
    <row r="80" spans="1:6" ht="34.200000000000003" x14ac:dyDescent="0.3">
      <c r="A80" s="9" t="s">
        <v>90</v>
      </c>
      <c r="B80" s="10">
        <v>350</v>
      </c>
      <c r="C80" s="11">
        <f>IFERROR(VLOOKUP($A80,'[1]спортивные сооружния'!A82:G190,7,FALSE)/'[1]Экономические факторы'!E80*100,0)</f>
        <v>346.70164917541229</v>
      </c>
      <c r="D80" s="11">
        <f>VLOOKUP($A80,[1]библиотеки!A82:N194,14,FALSE)/'[1]Экономические факторы'!G80*1000</f>
        <v>562.21889055472263</v>
      </c>
      <c r="E80" s="10">
        <f>VLOOKUP($A80,[1]Газеты!$A$3:$G$111,7,FALSE)</f>
        <v>280</v>
      </c>
      <c r="F80" s="11">
        <f>'[1]Культурные факторы'!F80/'[1]Экономические факторы'!G80*1000</f>
        <v>54.722638680659664</v>
      </c>
    </row>
    <row r="81" spans="1:6" ht="34.200000000000003" x14ac:dyDescent="0.3">
      <c r="A81" s="9" t="s">
        <v>91</v>
      </c>
      <c r="B81" s="10">
        <v>246</v>
      </c>
      <c r="C81" s="11">
        <f>IFERROR(VLOOKUP($A81,'[1]спортивные сооружния'!A83:G191,7,FALSE)/'[1]Экономические факторы'!E81*100,0)</f>
        <v>57.10227272727272</v>
      </c>
      <c r="D81" s="11">
        <f>VLOOKUP($A81,[1]библиотеки!A83:N195,14,FALSE)/'[1]Экономические факторы'!G81*1000</f>
        <v>467.65734265734267</v>
      </c>
      <c r="E81" s="10">
        <f>VLOOKUP($A81,[1]Газеты!$A$3:$G$111,7,FALSE)</f>
        <v>160</v>
      </c>
      <c r="F81" s="11">
        <f>'[1]Культурные факторы'!F81/'[1]Экономические факторы'!G81*1000</f>
        <v>59.659090909090907</v>
      </c>
    </row>
    <row r="82" spans="1:6" ht="34.200000000000003" x14ac:dyDescent="0.3">
      <c r="A82" s="9" t="s">
        <v>92</v>
      </c>
      <c r="B82" s="10">
        <v>138</v>
      </c>
      <c r="C82" s="11">
        <f>IFERROR(VLOOKUP($A82,'[1]спортивные сооружния'!A84:G192,7,FALSE)/'[1]Экономические факторы'!E82*100,0)</f>
        <v>49.794238683127567</v>
      </c>
      <c r="D82" s="11">
        <f>VLOOKUP($A82,[1]библиотеки!A84:N196,14,FALSE)/'[1]Экономические факторы'!G82*1000</f>
        <v>384.08779149519887</v>
      </c>
      <c r="E82" s="10">
        <f>VLOOKUP($A82,[1]Газеты!$A$3:$G$111,7,FALSE)</f>
        <v>173</v>
      </c>
      <c r="F82" s="11">
        <f>'[1]Культурные факторы'!F82/'[1]Экономические факторы'!G82*1000</f>
        <v>56.241426611796975</v>
      </c>
    </row>
    <row r="83" spans="1:6" ht="34.200000000000003" x14ac:dyDescent="0.3">
      <c r="A83" s="12" t="s">
        <v>93</v>
      </c>
      <c r="B83" s="10">
        <v>0</v>
      </c>
      <c r="C83" s="11">
        <f>IFERROR(VLOOKUP($A83,'[1]спортивные сооружния'!A85:G193,7,FALSE)/'[1]Экономические факторы'!E83*100,0)</f>
        <v>0</v>
      </c>
      <c r="D83" s="11">
        <f>VLOOKUP($A83,[1]библиотеки!A85:N197,14,FALSE)/'[1]Экономические факторы'!G83*1000</f>
        <v>541.66666666666663</v>
      </c>
      <c r="E83" s="10">
        <f>VLOOKUP($A83,[1]Газеты!$A$3:$G$111,7,FALSE)</f>
        <v>108</v>
      </c>
      <c r="F83" s="11">
        <f>'[1]Культурные факторы'!F83/'[1]Экономические факторы'!G83*1000</f>
        <v>87.500000000000014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85BA-50B5-424C-A63B-647282E3F9F4}">
  <dimension ref="A1:B9"/>
  <sheetViews>
    <sheetView workbookViewId="0">
      <selection activeCell="C7" sqref="C7"/>
    </sheetView>
  </sheetViews>
  <sheetFormatPr defaultRowHeight="14.4" x14ac:dyDescent="0.3"/>
  <cols>
    <col min="1" max="1" width="29.88671875" customWidth="1"/>
    <col min="2" max="2" width="8.33203125" customWidth="1"/>
  </cols>
  <sheetData>
    <row r="1" spans="1:2" x14ac:dyDescent="0.3">
      <c r="A1" t="s">
        <v>99</v>
      </c>
    </row>
    <row r="2" spans="1:2" x14ac:dyDescent="0.3">
      <c r="A2" t="s">
        <v>104</v>
      </c>
      <c r="B2" s="15">
        <v>7500</v>
      </c>
    </row>
    <row r="3" spans="1:2" x14ac:dyDescent="0.3">
      <c r="A3" t="s">
        <v>105</v>
      </c>
      <c r="B3" s="15">
        <v>7555</v>
      </c>
    </row>
    <row r="4" spans="1:2" x14ac:dyDescent="0.3">
      <c r="A4" t="s">
        <v>106</v>
      </c>
      <c r="B4" s="15">
        <v>4696</v>
      </c>
    </row>
    <row r="5" spans="1:2" x14ac:dyDescent="0.3">
      <c r="A5" t="s">
        <v>107</v>
      </c>
      <c r="B5" s="15">
        <v>3578</v>
      </c>
    </row>
    <row r="6" spans="1:2" x14ac:dyDescent="0.3">
      <c r="A6" t="s">
        <v>100</v>
      </c>
      <c r="B6" s="15">
        <v>6108</v>
      </c>
    </row>
    <row r="7" spans="1:2" x14ac:dyDescent="0.3">
      <c r="A7" t="s">
        <v>101</v>
      </c>
      <c r="B7" s="15">
        <v>4332</v>
      </c>
    </row>
    <row r="8" spans="1:2" x14ac:dyDescent="0.3">
      <c r="A8" t="s">
        <v>102</v>
      </c>
      <c r="B8" s="15">
        <v>5433</v>
      </c>
    </row>
    <row r="9" spans="1:2" x14ac:dyDescent="0.3">
      <c r="A9" t="s">
        <v>103</v>
      </c>
      <c r="B9" s="15">
        <v>6139</v>
      </c>
    </row>
  </sheetData>
  <conditionalFormatting sqref="B2:B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2CA1-142D-40F0-A688-EE48B5554D8D}">
  <dimension ref="A1:B9"/>
  <sheetViews>
    <sheetView workbookViewId="0">
      <selection activeCell="B9" sqref="B9"/>
    </sheetView>
  </sheetViews>
  <sheetFormatPr defaultRowHeight="14.4" x14ac:dyDescent="0.3"/>
  <cols>
    <col min="1" max="1" width="18" bestFit="1" customWidth="1"/>
  </cols>
  <sheetData>
    <row r="1" spans="1:2" x14ac:dyDescent="0.3">
      <c r="A1" t="s">
        <v>496</v>
      </c>
      <c r="B1" t="s">
        <v>497</v>
      </c>
    </row>
    <row r="2" spans="1:2" x14ac:dyDescent="0.3">
      <c r="A2" t="s">
        <v>122</v>
      </c>
      <c r="B2" s="57">
        <v>48554</v>
      </c>
    </row>
    <row r="3" spans="1:2" x14ac:dyDescent="0.3">
      <c r="A3" t="s">
        <v>210</v>
      </c>
      <c r="B3" s="57">
        <v>11688</v>
      </c>
    </row>
    <row r="4" spans="1:2" x14ac:dyDescent="0.3">
      <c r="A4" t="s">
        <v>241</v>
      </c>
      <c r="B4" s="57">
        <v>18019</v>
      </c>
    </row>
    <row r="5" spans="1:2" x14ac:dyDescent="0.3">
      <c r="A5" t="s">
        <v>276</v>
      </c>
      <c r="B5" s="57">
        <v>9035</v>
      </c>
    </row>
    <row r="6" spans="1:2" x14ac:dyDescent="0.3">
      <c r="A6" t="s">
        <v>306</v>
      </c>
      <c r="B6" s="57">
        <v>33749</v>
      </c>
    </row>
    <row r="7" spans="1:2" x14ac:dyDescent="0.3">
      <c r="A7" t="s">
        <v>383</v>
      </c>
      <c r="B7" s="57">
        <v>13060</v>
      </c>
    </row>
    <row r="8" spans="1:2" x14ac:dyDescent="0.3">
      <c r="A8" t="s">
        <v>420</v>
      </c>
      <c r="B8" s="57">
        <v>19146</v>
      </c>
    </row>
    <row r="9" spans="1:2" x14ac:dyDescent="0.3">
      <c r="A9" t="s">
        <v>465</v>
      </c>
      <c r="B9" s="57">
        <v>8411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1A2-3358-4341-8F41-AAD9842E3D21}">
  <dimension ref="A1:I9"/>
  <sheetViews>
    <sheetView workbookViewId="0">
      <selection activeCell="D17" sqref="D17"/>
    </sheetView>
  </sheetViews>
  <sheetFormatPr defaultRowHeight="14.4" x14ac:dyDescent="0.3"/>
  <cols>
    <col min="8" max="8" width="9.88671875" bestFit="1" customWidth="1"/>
  </cols>
  <sheetData>
    <row r="1" spans="1:9" ht="120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3">
      <c r="A2" s="1">
        <v>2023</v>
      </c>
      <c r="B2" s="1">
        <v>284</v>
      </c>
      <c r="C2" s="4">
        <v>11.10496829302337</v>
      </c>
      <c r="D2" s="5">
        <v>50831</v>
      </c>
      <c r="E2" s="1">
        <v>579</v>
      </c>
      <c r="F2" s="6">
        <v>72911.8</v>
      </c>
      <c r="G2" s="5">
        <v>74854</v>
      </c>
      <c r="H2" s="6">
        <v>958811.4</v>
      </c>
      <c r="I2" s="7">
        <v>8.57</v>
      </c>
    </row>
    <row r="3" spans="1:9" x14ac:dyDescent="0.3">
      <c r="A3" s="1">
        <v>2022</v>
      </c>
      <c r="B3" s="1">
        <v>245</v>
      </c>
      <c r="C3" s="4">
        <v>11.143932906968647</v>
      </c>
      <c r="D3" s="1">
        <v>51691</v>
      </c>
      <c r="E3" s="1">
        <v>693</v>
      </c>
      <c r="F3" s="6">
        <v>71216.899999999994</v>
      </c>
      <c r="G3" s="5">
        <v>65338</v>
      </c>
      <c r="H3" s="6">
        <v>830059.8</v>
      </c>
      <c r="I3" s="7">
        <v>8.56</v>
      </c>
    </row>
    <row r="4" spans="1:9" x14ac:dyDescent="0.3">
      <c r="A4" s="1">
        <v>2021</v>
      </c>
      <c r="B4" s="1">
        <v>173</v>
      </c>
      <c r="C4" s="4">
        <v>11.402904202677778</v>
      </c>
      <c r="D4" s="5">
        <v>49672</v>
      </c>
      <c r="E4" s="1">
        <v>817</v>
      </c>
      <c r="F4" s="6">
        <v>70817.899999999994</v>
      </c>
      <c r="G4" s="5">
        <v>57244</v>
      </c>
      <c r="H4" s="6">
        <v>639170</v>
      </c>
      <c r="I4" s="7">
        <v>8.5299999999999994</v>
      </c>
    </row>
    <row r="5" spans="1:9" x14ac:dyDescent="0.3">
      <c r="A5" s="1">
        <v>2020</v>
      </c>
      <c r="B5" s="1">
        <v>109</v>
      </c>
      <c r="C5" s="4">
        <v>12.003605150563864</v>
      </c>
      <c r="D5" s="1">
        <v>44028</v>
      </c>
      <c r="E5" s="1">
        <v>936</v>
      </c>
      <c r="F5" s="6">
        <v>69550.3</v>
      </c>
      <c r="G5" s="5">
        <v>51344</v>
      </c>
      <c r="H5" s="6">
        <v>647708.1</v>
      </c>
      <c r="I5" s="7">
        <v>8.5399999999999991</v>
      </c>
    </row>
    <row r="6" spans="1:9" x14ac:dyDescent="0.3">
      <c r="A6" s="1">
        <v>2019</v>
      </c>
      <c r="B6" s="1">
        <v>280</v>
      </c>
      <c r="C6" s="4">
        <v>11.788836721204234</v>
      </c>
      <c r="D6" s="1">
        <v>50404</v>
      </c>
      <c r="E6" s="1">
        <v>955</v>
      </c>
      <c r="F6" s="6">
        <v>71064.5</v>
      </c>
      <c r="G6" s="5">
        <v>47867</v>
      </c>
      <c r="H6" s="6">
        <v>614333.19999999995</v>
      </c>
      <c r="I6" s="7">
        <v>8.57</v>
      </c>
    </row>
    <row r="7" spans="1:9" x14ac:dyDescent="0.3">
      <c r="A7" s="1">
        <v>2015</v>
      </c>
      <c r="B7" s="1">
        <v>261</v>
      </c>
      <c r="C7" s="4">
        <v>12.752892161625415</v>
      </c>
      <c r="D7" s="1">
        <v>51992</v>
      </c>
      <c r="E7" s="5">
        <v>1382</v>
      </c>
      <c r="F7" s="6">
        <v>72424.899999999994</v>
      </c>
      <c r="G7" s="5">
        <v>34030</v>
      </c>
      <c r="H7" s="6">
        <v>447395.3</v>
      </c>
      <c r="I7" s="7">
        <v>8.57</v>
      </c>
    </row>
    <row r="8" spans="1:9" x14ac:dyDescent="0.3">
      <c r="A8" s="1">
        <v>2010</v>
      </c>
      <c r="B8" s="1">
        <v>217</v>
      </c>
      <c r="C8" s="4">
        <v>13.320267385293809</v>
      </c>
      <c r="D8" s="1">
        <v>55971</v>
      </c>
      <c r="E8" s="5">
        <v>1446</v>
      </c>
      <c r="F8" s="6">
        <v>71493.100000000006</v>
      </c>
      <c r="G8" s="5">
        <v>20952</v>
      </c>
      <c r="H8" s="6">
        <v>263828.59999999998</v>
      </c>
      <c r="I8" s="7">
        <v>8.36</v>
      </c>
    </row>
    <row r="9" spans="1:9" x14ac:dyDescent="0.3">
      <c r="A9" s="1">
        <v>2005</v>
      </c>
      <c r="B9" s="1">
        <v>195</v>
      </c>
      <c r="C9" s="4">
        <v>14.52847049624396</v>
      </c>
      <c r="D9" s="1">
        <v>58088</v>
      </c>
      <c r="E9" s="5">
        <v>1234</v>
      </c>
      <c r="F9" s="1" t="s">
        <v>8</v>
      </c>
      <c r="G9" s="5">
        <v>8555</v>
      </c>
      <c r="H9" s="6">
        <v>125658.7</v>
      </c>
      <c r="I9" s="7">
        <v>8.3800000000000008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FAA4-2F0C-4105-AB23-F5EDDC988F1B}">
  <dimension ref="A1:B83"/>
  <sheetViews>
    <sheetView workbookViewId="0">
      <selection activeCell="M3" sqref="M3"/>
    </sheetView>
  </sheetViews>
  <sheetFormatPr defaultRowHeight="14.4" x14ac:dyDescent="0.3"/>
  <sheetData>
    <row r="1" spans="1:2" ht="79.8" x14ac:dyDescent="0.3">
      <c r="A1" s="8" t="s">
        <v>9</v>
      </c>
      <c r="B1" s="2" t="s">
        <v>10</v>
      </c>
    </row>
    <row r="2" spans="1:2" ht="34.200000000000003" x14ac:dyDescent="0.3">
      <c r="A2" s="9" t="s">
        <v>12</v>
      </c>
      <c r="B2" s="11">
        <v>41.533950822949286</v>
      </c>
    </row>
    <row r="3" spans="1:2" ht="22.8" x14ac:dyDescent="0.3">
      <c r="A3" s="9" t="s">
        <v>13</v>
      </c>
      <c r="B3" s="11">
        <v>54.989495798319318</v>
      </c>
    </row>
    <row r="4" spans="1:2" ht="34.200000000000003" x14ac:dyDescent="0.3">
      <c r="A4" s="9" t="s">
        <v>14</v>
      </c>
      <c r="B4" s="11">
        <v>62.203221619970996</v>
      </c>
    </row>
    <row r="5" spans="1:2" ht="34.200000000000003" x14ac:dyDescent="0.3">
      <c r="A5" s="9" t="s">
        <v>15</v>
      </c>
      <c r="B5" s="11">
        <v>22.961203483768806</v>
      </c>
    </row>
    <row r="6" spans="1:2" ht="34.200000000000003" x14ac:dyDescent="0.3">
      <c r="A6" s="9" t="s">
        <v>16</v>
      </c>
      <c r="B6" s="11">
        <v>33.072083011369905</v>
      </c>
    </row>
    <row r="7" spans="1:2" ht="22.8" x14ac:dyDescent="0.3">
      <c r="A7" s="9" t="s">
        <v>17</v>
      </c>
      <c r="B7" s="11">
        <v>41.838262822912768</v>
      </c>
    </row>
    <row r="8" spans="1:2" ht="34.200000000000003" x14ac:dyDescent="0.3">
      <c r="A8" s="9" t="s">
        <v>18</v>
      </c>
      <c r="B8" s="11">
        <v>63.782447466007433</v>
      </c>
    </row>
    <row r="9" spans="1:2" ht="22.8" x14ac:dyDescent="0.3">
      <c r="A9" s="9" t="s">
        <v>19</v>
      </c>
      <c r="B9" s="11">
        <v>25.450089546611366</v>
      </c>
    </row>
    <row r="10" spans="1:2" ht="22.8" x14ac:dyDescent="0.3">
      <c r="A10" s="9" t="s">
        <v>20</v>
      </c>
      <c r="B10" s="11">
        <v>47.299113141628602</v>
      </c>
    </row>
    <row r="11" spans="1:2" ht="22.8" x14ac:dyDescent="0.3">
      <c r="A11" s="9" t="s">
        <v>21</v>
      </c>
      <c r="B11" s="11">
        <v>60.423288985470393</v>
      </c>
    </row>
    <row r="12" spans="1:2" ht="22.8" x14ac:dyDescent="0.3">
      <c r="A12" s="9" t="s">
        <v>22</v>
      </c>
      <c r="B12" s="11">
        <v>10.700361010830326</v>
      </c>
    </row>
    <row r="13" spans="1:2" ht="22.8" x14ac:dyDescent="0.3">
      <c r="A13" s="9" t="s">
        <v>23</v>
      </c>
      <c r="B13" s="11">
        <v>47.569765292921829</v>
      </c>
    </row>
    <row r="14" spans="1:2" ht="34.200000000000003" x14ac:dyDescent="0.3">
      <c r="A14" s="9" t="s">
        <v>24</v>
      </c>
      <c r="B14" s="11">
        <v>138.33333333333331</v>
      </c>
    </row>
    <row r="15" spans="1:2" ht="34.200000000000003" x14ac:dyDescent="0.3">
      <c r="A15" s="9" t="s">
        <v>25</v>
      </c>
      <c r="B15" s="11">
        <v>75.760744536233403</v>
      </c>
    </row>
    <row r="16" spans="1:2" ht="22.8" x14ac:dyDescent="0.3">
      <c r="A16" s="9" t="s">
        <v>26</v>
      </c>
      <c r="B16" s="11">
        <v>119.31316162373926</v>
      </c>
    </row>
    <row r="17" spans="1:2" ht="22.8" x14ac:dyDescent="0.3">
      <c r="A17" s="9" t="s">
        <v>27</v>
      </c>
      <c r="B17" s="11">
        <v>29.698864795051321</v>
      </c>
    </row>
    <row r="18" spans="1:2" ht="34.200000000000003" x14ac:dyDescent="0.3">
      <c r="A18" s="9" t="s">
        <v>28</v>
      </c>
      <c r="B18" s="11">
        <v>24.385314920848774</v>
      </c>
    </row>
    <row r="19" spans="1:2" x14ac:dyDescent="0.3">
      <c r="A19" s="9" t="s">
        <v>29</v>
      </c>
      <c r="B19" s="11">
        <v>0.573392751220551</v>
      </c>
    </row>
    <row r="20" spans="1:2" ht="22.8" x14ac:dyDescent="0.3">
      <c r="A20" s="9" t="s">
        <v>30</v>
      </c>
      <c r="B20" s="11">
        <v>103.35941973659095</v>
      </c>
    </row>
    <row r="21" spans="1:2" ht="22.8" x14ac:dyDescent="0.3">
      <c r="A21" s="9" t="s">
        <v>31</v>
      </c>
      <c r="B21" s="11">
        <v>404.8848182070497</v>
      </c>
    </row>
    <row r="22" spans="1:2" ht="34.200000000000003" x14ac:dyDescent="0.3">
      <c r="A22" s="9" t="s">
        <v>32</v>
      </c>
      <c r="B22" s="11">
        <v>413.71606051497844</v>
      </c>
    </row>
    <row r="23" spans="1:2" ht="68.400000000000006" x14ac:dyDescent="0.3">
      <c r="A23" s="9" t="s">
        <v>33</v>
      </c>
      <c r="B23" s="11">
        <v>302.51072287896227</v>
      </c>
    </row>
    <row r="24" spans="1:2" ht="34.200000000000003" x14ac:dyDescent="0.3">
      <c r="A24" s="9" t="s">
        <v>34</v>
      </c>
      <c r="B24" s="11">
        <v>141.74246477617262</v>
      </c>
    </row>
    <row r="25" spans="1:2" ht="34.200000000000003" x14ac:dyDescent="0.3">
      <c r="A25" s="9" t="s">
        <v>35</v>
      </c>
      <c r="B25" s="11">
        <v>8.762936454202535</v>
      </c>
    </row>
    <row r="26" spans="1:2" ht="34.200000000000003" x14ac:dyDescent="0.3">
      <c r="A26" s="9" t="s">
        <v>36</v>
      </c>
      <c r="B26" s="11">
        <v>82.424599665978988</v>
      </c>
    </row>
    <row r="27" spans="1:2" ht="34.200000000000003" x14ac:dyDescent="0.3">
      <c r="A27" s="9" t="s">
        <v>37</v>
      </c>
      <c r="B27" s="11">
        <v>132.44972577696527</v>
      </c>
    </row>
    <row r="28" spans="1:2" ht="34.200000000000003" x14ac:dyDescent="0.3">
      <c r="A28" s="9" t="s">
        <v>38</v>
      </c>
      <c r="B28" s="11">
        <v>19.075953797689884</v>
      </c>
    </row>
    <row r="29" spans="1:2" ht="22.8" x14ac:dyDescent="0.3">
      <c r="A29" s="9" t="s">
        <v>39</v>
      </c>
      <c r="B29" s="11">
        <v>66.735501634830499</v>
      </c>
    </row>
    <row r="30" spans="1:2" ht="22.8" x14ac:dyDescent="0.3">
      <c r="A30" s="9" t="s">
        <v>40</v>
      </c>
      <c r="B30" s="11">
        <v>0.22508842759655576</v>
      </c>
    </row>
    <row r="31" spans="1:2" ht="22.8" x14ac:dyDescent="0.3">
      <c r="A31" s="9" t="s">
        <v>41</v>
      </c>
      <c r="B31" s="11">
        <v>4.6743907311226529</v>
      </c>
    </row>
    <row r="32" spans="1:2" ht="22.8" x14ac:dyDescent="0.3">
      <c r="A32" s="9" t="s">
        <v>42</v>
      </c>
      <c r="B32" s="11">
        <v>41.005498821681066</v>
      </c>
    </row>
    <row r="33" spans="1:2" ht="34.200000000000003" x14ac:dyDescent="0.3">
      <c r="A33" s="9" t="s">
        <v>43</v>
      </c>
      <c r="B33" s="11">
        <v>106.13749357106119</v>
      </c>
    </row>
    <row r="34" spans="1:2" ht="34.200000000000003" x14ac:dyDescent="0.3">
      <c r="A34" s="9" t="s">
        <v>44</v>
      </c>
      <c r="B34" s="11">
        <v>41.42011834319527</v>
      </c>
    </row>
    <row r="35" spans="1:2" ht="34.200000000000003" x14ac:dyDescent="0.3">
      <c r="A35" s="9" t="s">
        <v>45</v>
      </c>
      <c r="B35" s="11">
        <v>161.02938180039936</v>
      </c>
    </row>
    <row r="36" spans="1:2" ht="22.8" x14ac:dyDescent="0.3">
      <c r="A36" s="9" t="s">
        <v>46</v>
      </c>
      <c r="B36" s="11">
        <v>136.20710415412401</v>
      </c>
    </row>
    <row r="37" spans="1:2" ht="34.200000000000003" x14ac:dyDescent="0.3">
      <c r="A37" s="9" t="s">
        <v>47</v>
      </c>
      <c r="B37" s="11">
        <v>0.48094050587816178</v>
      </c>
    </row>
    <row r="38" spans="1:2" ht="34.200000000000003" x14ac:dyDescent="0.3">
      <c r="A38" s="9" t="s">
        <v>48</v>
      </c>
      <c r="B38" s="11">
        <v>20.230802549347196</v>
      </c>
    </row>
    <row r="39" spans="1:2" ht="68.400000000000006" x14ac:dyDescent="0.3">
      <c r="A39" s="12" t="s">
        <v>49</v>
      </c>
      <c r="B39" s="11">
        <v>15.184980673660961</v>
      </c>
    </row>
    <row r="40" spans="1:2" ht="57" x14ac:dyDescent="0.3">
      <c r="A40" s="9" t="s">
        <v>50</v>
      </c>
      <c r="B40" s="11">
        <v>12.21439248345078</v>
      </c>
    </row>
    <row r="41" spans="1:2" ht="45.6" x14ac:dyDescent="0.3">
      <c r="A41" s="9" t="s">
        <v>51</v>
      </c>
      <c r="B41" s="11">
        <v>14.140521431727796</v>
      </c>
    </row>
    <row r="42" spans="1:2" ht="34.200000000000003" x14ac:dyDescent="0.3">
      <c r="A42" s="9" t="s">
        <v>52</v>
      </c>
      <c r="B42" s="11">
        <v>13.561723227509818</v>
      </c>
    </row>
    <row r="43" spans="1:2" ht="34.200000000000003" x14ac:dyDescent="0.3">
      <c r="A43" s="9" t="s">
        <v>53</v>
      </c>
      <c r="B43" s="11">
        <v>91.750112608710722</v>
      </c>
    </row>
    <row r="44" spans="1:2" ht="45.6" x14ac:dyDescent="0.3">
      <c r="A44" s="9" t="s">
        <v>54</v>
      </c>
      <c r="B44" s="11">
        <v>87.899515291686143</v>
      </c>
    </row>
    <row r="45" spans="1:2" ht="34.200000000000003" x14ac:dyDescent="0.3">
      <c r="A45" s="9" t="s">
        <v>55</v>
      </c>
      <c r="B45" s="11">
        <v>27.948641385488205</v>
      </c>
    </row>
    <row r="46" spans="1:2" ht="34.200000000000003" x14ac:dyDescent="0.3">
      <c r="A46" s="9" t="s">
        <v>56</v>
      </c>
      <c r="B46" s="11">
        <v>20.446533490011753</v>
      </c>
    </row>
    <row r="47" spans="1:2" ht="34.200000000000003" x14ac:dyDescent="0.3">
      <c r="A47" s="9" t="s">
        <v>57</v>
      </c>
      <c r="B47" s="11">
        <v>77.911566325256061</v>
      </c>
    </row>
    <row r="48" spans="1:2" ht="45.6" x14ac:dyDescent="0.3">
      <c r="A48" s="9" t="s">
        <v>58</v>
      </c>
      <c r="B48" s="11">
        <v>73.365398020354121</v>
      </c>
    </row>
    <row r="49" spans="1:2" ht="45.6" x14ac:dyDescent="0.3">
      <c r="A49" s="9" t="s">
        <v>59</v>
      </c>
      <c r="B49" s="11">
        <v>18.815868391740214</v>
      </c>
    </row>
    <row r="50" spans="1:2" ht="22.8" x14ac:dyDescent="0.3">
      <c r="A50" s="9" t="s">
        <v>60</v>
      </c>
      <c r="B50" s="11">
        <v>160.50174327736141</v>
      </c>
    </row>
    <row r="51" spans="1:2" ht="22.8" x14ac:dyDescent="0.3">
      <c r="A51" s="9" t="s">
        <v>61</v>
      </c>
      <c r="B51" s="11">
        <v>255.7394459686698</v>
      </c>
    </row>
    <row r="52" spans="1:2" ht="34.200000000000003" x14ac:dyDescent="0.3">
      <c r="A52" s="9" t="s">
        <v>62</v>
      </c>
      <c r="B52" s="11">
        <v>105.12694833839818</v>
      </c>
    </row>
    <row r="53" spans="1:2" ht="34.200000000000003" x14ac:dyDescent="0.3">
      <c r="A53" s="12" t="s">
        <v>63</v>
      </c>
      <c r="B53" s="11">
        <v>236.75288456280418</v>
      </c>
    </row>
    <row r="54" spans="1:2" ht="22.8" x14ac:dyDescent="0.3">
      <c r="A54" s="12" t="s">
        <v>64</v>
      </c>
      <c r="B54" s="11">
        <v>87.7760698972575</v>
      </c>
    </row>
    <row r="55" spans="1:2" ht="22.8" x14ac:dyDescent="0.3">
      <c r="A55" s="9" t="s">
        <v>65</v>
      </c>
      <c r="B55" s="11">
        <v>66.832917705735667</v>
      </c>
    </row>
    <row r="56" spans="1:2" ht="34.200000000000003" x14ac:dyDescent="0.3">
      <c r="A56" s="9" t="s">
        <v>66</v>
      </c>
      <c r="B56" s="11">
        <v>101.82793895690089</v>
      </c>
    </row>
    <row r="57" spans="1:2" ht="34.200000000000003" x14ac:dyDescent="0.3">
      <c r="A57" s="9" t="s">
        <v>67</v>
      </c>
      <c r="B57" s="11">
        <v>53.922237380627557</v>
      </c>
    </row>
    <row r="58" spans="1:2" ht="34.200000000000003" x14ac:dyDescent="0.3">
      <c r="A58" s="13" t="s">
        <v>68</v>
      </c>
      <c r="B58" s="11">
        <v>206.95289743529025</v>
      </c>
    </row>
    <row r="59" spans="1:2" ht="34.200000000000003" x14ac:dyDescent="0.3">
      <c r="A59" s="13" t="s">
        <v>69</v>
      </c>
      <c r="B59" s="11">
        <v>827.91199753264118</v>
      </c>
    </row>
    <row r="60" spans="1:2" ht="68.400000000000006" x14ac:dyDescent="0.3">
      <c r="A60" s="13" t="s">
        <v>70</v>
      </c>
      <c r="B60" s="11">
        <v>121.58690462657722</v>
      </c>
    </row>
    <row r="61" spans="1:2" ht="57" x14ac:dyDescent="0.3">
      <c r="A61" s="9" t="s">
        <v>71</v>
      </c>
      <c r="B61" s="11">
        <v>178.39544385291569</v>
      </c>
    </row>
    <row r="62" spans="1:2" ht="34.200000000000003" x14ac:dyDescent="0.3">
      <c r="A62" s="12" t="s">
        <v>72</v>
      </c>
      <c r="B62" s="11">
        <v>96.536898521703279</v>
      </c>
    </row>
    <row r="63" spans="1:2" ht="22.8" x14ac:dyDescent="0.3">
      <c r="A63" s="9" t="s">
        <v>73</v>
      </c>
      <c r="B63" s="11">
        <v>352.56166982922201</v>
      </c>
    </row>
    <row r="64" spans="1:2" ht="22.8" x14ac:dyDescent="0.3">
      <c r="A64" s="9" t="s">
        <v>74</v>
      </c>
      <c r="B64" s="11">
        <v>499.55555555555549</v>
      </c>
    </row>
    <row r="65" spans="1:2" ht="22.8" x14ac:dyDescent="0.3">
      <c r="A65" s="9" t="s">
        <v>75</v>
      </c>
      <c r="B65" s="11">
        <v>244.90723210904957</v>
      </c>
    </row>
    <row r="66" spans="1:2" ht="22.8" x14ac:dyDescent="0.3">
      <c r="A66" s="9" t="s">
        <v>76</v>
      </c>
      <c r="B66" s="11">
        <v>389.16465749539071</v>
      </c>
    </row>
    <row r="67" spans="1:2" ht="22.8" x14ac:dyDescent="0.3">
      <c r="A67" s="9" t="s">
        <v>77</v>
      </c>
      <c r="B67" s="11">
        <v>1330.5505779839082</v>
      </c>
    </row>
    <row r="68" spans="1:2" ht="22.8" x14ac:dyDescent="0.3">
      <c r="A68" s="9" t="s">
        <v>78</v>
      </c>
      <c r="B68" s="11">
        <v>797.90602874919546</v>
      </c>
    </row>
    <row r="69" spans="1:2" ht="34.200000000000003" x14ac:dyDescent="0.3">
      <c r="A69" s="9" t="s">
        <v>79</v>
      </c>
      <c r="B69" s="11">
        <v>97.66456019154532</v>
      </c>
    </row>
    <row r="70" spans="1:2" ht="34.200000000000003" x14ac:dyDescent="0.3">
      <c r="A70" s="9" t="s">
        <v>80</v>
      </c>
      <c r="B70" s="11">
        <v>152.97365119196988</v>
      </c>
    </row>
    <row r="71" spans="1:2" ht="22.8" x14ac:dyDescent="0.3">
      <c r="A71" s="9" t="s">
        <v>81</v>
      </c>
      <c r="B71" s="11">
        <v>302.67312029041307</v>
      </c>
    </row>
    <row r="72" spans="1:2" ht="22.8" x14ac:dyDescent="0.3">
      <c r="A72" s="9" t="s">
        <v>82</v>
      </c>
      <c r="B72" s="11">
        <v>421.85163887291537</v>
      </c>
    </row>
    <row r="73" spans="1:2" ht="22.8" x14ac:dyDescent="0.3">
      <c r="A73" s="12" t="s">
        <v>83</v>
      </c>
      <c r="B73" s="11">
        <v>686.7681860273691</v>
      </c>
    </row>
    <row r="74" spans="1:2" ht="34.200000000000003" x14ac:dyDescent="0.3">
      <c r="A74" s="9" t="s">
        <v>84</v>
      </c>
      <c r="B74" s="11">
        <v>7387.8406708595394</v>
      </c>
    </row>
    <row r="75" spans="1:2" ht="22.8" x14ac:dyDescent="0.3">
      <c r="A75" s="9" t="s">
        <v>85</v>
      </c>
      <c r="B75" s="11">
        <v>526.4932954083705</v>
      </c>
    </row>
    <row r="76" spans="1:2" ht="22.8" x14ac:dyDescent="0.3">
      <c r="A76" s="9" t="s">
        <v>86</v>
      </c>
      <c r="B76" s="11">
        <v>160.71304949809627</v>
      </c>
    </row>
    <row r="77" spans="1:2" ht="22.8" x14ac:dyDescent="0.3">
      <c r="A77" s="9" t="s">
        <v>87</v>
      </c>
      <c r="B77" s="11">
        <v>218.82196634189546</v>
      </c>
    </row>
    <row r="78" spans="1:2" ht="22.8" x14ac:dyDescent="0.3">
      <c r="A78" s="9" t="s">
        <v>88</v>
      </c>
      <c r="B78" s="11">
        <v>985.96353962913724</v>
      </c>
    </row>
    <row r="79" spans="1:2" ht="22.8" x14ac:dyDescent="0.3">
      <c r="A79" s="9" t="s">
        <v>89</v>
      </c>
      <c r="B79" s="11">
        <v>1254.4194107452338</v>
      </c>
    </row>
    <row r="80" spans="1:2" ht="34.200000000000003" x14ac:dyDescent="0.3">
      <c r="A80" s="9" t="s">
        <v>90</v>
      </c>
      <c r="B80" s="11">
        <v>346.70164917541229</v>
      </c>
    </row>
    <row r="81" spans="1:2" ht="34.200000000000003" x14ac:dyDescent="0.3">
      <c r="A81" s="9" t="s">
        <v>91</v>
      </c>
      <c r="B81" s="11">
        <v>57.10227272727272</v>
      </c>
    </row>
    <row r="82" spans="1:2" ht="34.200000000000003" x14ac:dyDescent="0.3">
      <c r="A82" s="9" t="s">
        <v>92</v>
      </c>
      <c r="B82" s="11">
        <v>49.794238683127567</v>
      </c>
    </row>
    <row r="83" spans="1:2" ht="34.200000000000003" x14ac:dyDescent="0.3">
      <c r="A83" s="12" t="s">
        <v>93</v>
      </c>
      <c r="B83" s="11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6287-88EF-4652-9EF2-06A9750FA179}">
  <dimension ref="A1:B11"/>
  <sheetViews>
    <sheetView workbookViewId="0">
      <selection activeCell="E9" sqref="E9"/>
    </sheetView>
  </sheetViews>
  <sheetFormatPr defaultRowHeight="14.4" x14ac:dyDescent="0.3"/>
  <sheetData>
    <row r="1" spans="1:2" ht="57" x14ac:dyDescent="0.3">
      <c r="A1" s="8" t="s">
        <v>9</v>
      </c>
      <c r="B1" s="2" t="s">
        <v>3</v>
      </c>
    </row>
    <row r="2" spans="1:2" ht="34.200000000000003" x14ac:dyDescent="0.3">
      <c r="A2" s="9" t="s">
        <v>24</v>
      </c>
      <c r="B2" s="10">
        <v>2592</v>
      </c>
    </row>
    <row r="3" spans="1:2" x14ac:dyDescent="0.3">
      <c r="A3" s="9" t="s">
        <v>29</v>
      </c>
      <c r="B3" s="10">
        <v>2383</v>
      </c>
    </row>
    <row r="4" spans="1:2" ht="34.200000000000003" x14ac:dyDescent="0.3">
      <c r="A4" s="9" t="s">
        <v>55</v>
      </c>
      <c r="B4" s="10">
        <v>1618</v>
      </c>
    </row>
    <row r="5" spans="1:2" ht="22.8" x14ac:dyDescent="0.3">
      <c r="A5" s="9" t="s">
        <v>40</v>
      </c>
      <c r="B5" s="10">
        <v>1313</v>
      </c>
    </row>
    <row r="6" spans="1:2" ht="34.200000000000003" x14ac:dyDescent="0.3">
      <c r="A6" s="9" t="s">
        <v>32</v>
      </c>
      <c r="B6" s="10">
        <v>1250</v>
      </c>
    </row>
    <row r="7" spans="1:2" ht="68.400000000000006" x14ac:dyDescent="0.3">
      <c r="A7" s="9" t="s">
        <v>33</v>
      </c>
      <c r="B7" s="10">
        <v>1250</v>
      </c>
    </row>
    <row r="8" spans="1:2" ht="34.200000000000003" x14ac:dyDescent="0.3">
      <c r="A8" s="9" t="s">
        <v>62</v>
      </c>
      <c r="B8" s="10">
        <v>1201</v>
      </c>
    </row>
    <row r="9" spans="1:2" ht="34.200000000000003" x14ac:dyDescent="0.3">
      <c r="A9" s="9" t="s">
        <v>67</v>
      </c>
      <c r="B9" s="10">
        <v>1143</v>
      </c>
    </row>
    <row r="10" spans="1:2" ht="34.200000000000003" x14ac:dyDescent="0.3">
      <c r="A10" s="9" t="s">
        <v>34</v>
      </c>
      <c r="B10" s="10">
        <v>1061</v>
      </c>
    </row>
    <row r="11" spans="1:2" ht="34.200000000000003" x14ac:dyDescent="0.3">
      <c r="A11" s="9" t="s">
        <v>12</v>
      </c>
      <c r="B11" s="10">
        <v>852</v>
      </c>
    </row>
  </sheetData>
  <sortState xmlns:xlrd2="http://schemas.microsoft.com/office/spreadsheetml/2017/richdata2" ref="A2:B11">
    <sortCondition descending="1" ref="B1:B11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90CF-E3F9-4FBA-8F5A-FCAC3BB9C47E}">
  <dimension ref="A1:C9"/>
  <sheetViews>
    <sheetView tabSelected="1" workbookViewId="0">
      <selection activeCell="A6" sqref="A6"/>
    </sheetView>
  </sheetViews>
  <sheetFormatPr defaultRowHeight="14.4" x14ac:dyDescent="0.3"/>
  <cols>
    <col min="1" max="1" width="21.33203125" bestFit="1" customWidth="1"/>
  </cols>
  <sheetData>
    <row r="1" spans="1:3" x14ac:dyDescent="0.3">
      <c r="B1">
        <v>2010</v>
      </c>
      <c r="C1">
        <v>2023</v>
      </c>
    </row>
    <row r="2" spans="1:3" x14ac:dyDescent="0.3">
      <c r="A2" t="s">
        <v>104</v>
      </c>
      <c r="B2" t="s">
        <v>123</v>
      </c>
      <c r="C2">
        <v>48554</v>
      </c>
    </row>
    <row r="3" spans="1:3" x14ac:dyDescent="0.3">
      <c r="A3" t="s">
        <v>105</v>
      </c>
      <c r="B3" t="s">
        <v>211</v>
      </c>
      <c r="C3">
        <v>11688</v>
      </c>
    </row>
    <row r="4" spans="1:3" x14ac:dyDescent="0.3">
      <c r="A4" t="s">
        <v>106</v>
      </c>
      <c r="B4" t="s">
        <v>242</v>
      </c>
      <c r="C4">
        <v>18019</v>
      </c>
    </row>
    <row r="5" spans="1:3" x14ac:dyDescent="0.3">
      <c r="A5" t="s">
        <v>107</v>
      </c>
      <c r="B5" t="s">
        <v>277</v>
      </c>
      <c r="C5">
        <v>9035</v>
      </c>
    </row>
    <row r="6" spans="1:3" x14ac:dyDescent="0.3">
      <c r="A6" t="s">
        <v>100</v>
      </c>
      <c r="B6" t="s">
        <v>307</v>
      </c>
      <c r="C6">
        <v>33749</v>
      </c>
    </row>
    <row r="7" spans="1:3" x14ac:dyDescent="0.3">
      <c r="A7" t="s">
        <v>101</v>
      </c>
      <c r="B7" t="s">
        <v>384</v>
      </c>
      <c r="C7">
        <v>13060</v>
      </c>
    </row>
    <row r="8" spans="1:3" x14ac:dyDescent="0.3">
      <c r="A8" t="s">
        <v>102</v>
      </c>
      <c r="B8" t="s">
        <v>421</v>
      </c>
      <c r="C8">
        <v>19146</v>
      </c>
    </row>
    <row r="9" spans="1:3" x14ac:dyDescent="0.3">
      <c r="A9" t="s">
        <v>103</v>
      </c>
      <c r="B9" t="s">
        <v>466</v>
      </c>
      <c r="C9">
        <v>8411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9431-EA76-4A41-9FBC-5C4B03703480}">
  <dimension ref="A1:C86"/>
  <sheetViews>
    <sheetView zoomScale="70" zoomScaleNormal="70" workbookViewId="0">
      <selection sqref="A1:C1"/>
    </sheetView>
  </sheetViews>
  <sheetFormatPr defaultRowHeight="14.4" x14ac:dyDescent="0.3"/>
  <cols>
    <col min="1" max="1" width="22.44140625" customWidth="1"/>
    <col min="2" max="2" width="22.88671875" customWidth="1"/>
  </cols>
  <sheetData>
    <row r="1" spans="1:3" x14ac:dyDescent="0.3">
      <c r="A1" t="s">
        <v>494</v>
      </c>
      <c r="B1" t="s">
        <v>495</v>
      </c>
      <c r="C1" t="s">
        <v>491</v>
      </c>
    </row>
    <row r="2" spans="1:3" x14ac:dyDescent="0.3">
      <c r="A2" t="s">
        <v>102</v>
      </c>
      <c r="B2" t="s">
        <v>73</v>
      </c>
      <c r="C2">
        <v>2</v>
      </c>
    </row>
    <row r="3" spans="1:3" x14ac:dyDescent="0.3">
      <c r="A3" t="s">
        <v>102</v>
      </c>
      <c r="B3" t="s">
        <v>74</v>
      </c>
      <c r="C3">
        <v>8</v>
      </c>
    </row>
    <row r="4" spans="1:3" x14ac:dyDescent="0.3">
      <c r="A4" t="s">
        <v>102</v>
      </c>
      <c r="B4" t="s">
        <v>75</v>
      </c>
      <c r="C4">
        <v>30</v>
      </c>
    </row>
    <row r="5" spans="1:3" x14ac:dyDescent="0.3">
      <c r="A5" t="s">
        <v>102</v>
      </c>
      <c r="B5" t="s">
        <v>76</v>
      </c>
      <c r="C5">
        <v>100</v>
      </c>
    </row>
    <row r="6" spans="1:3" x14ac:dyDescent="0.3">
      <c r="A6" t="s">
        <v>102</v>
      </c>
      <c r="B6" t="s">
        <v>77</v>
      </c>
      <c r="C6">
        <v>127</v>
      </c>
    </row>
    <row r="7" spans="1:3" x14ac:dyDescent="0.3">
      <c r="A7" t="s">
        <v>102</v>
      </c>
      <c r="B7" t="s">
        <v>78</v>
      </c>
      <c r="C7">
        <v>97</v>
      </c>
    </row>
    <row r="8" spans="1:3" x14ac:dyDescent="0.3">
      <c r="A8" t="s">
        <v>102</v>
      </c>
      <c r="B8" t="s">
        <v>79</v>
      </c>
      <c r="C8">
        <v>132</v>
      </c>
    </row>
    <row r="9" spans="1:3" x14ac:dyDescent="0.3">
      <c r="A9" t="s">
        <v>102</v>
      </c>
      <c r="B9" t="s">
        <v>80</v>
      </c>
      <c r="C9">
        <v>110</v>
      </c>
    </row>
    <row r="10" spans="1:3" x14ac:dyDescent="0.3">
      <c r="A10" t="s">
        <v>102</v>
      </c>
      <c r="B10" t="s">
        <v>81</v>
      </c>
      <c r="C10">
        <v>75</v>
      </c>
    </row>
    <row r="11" spans="1:3" x14ac:dyDescent="0.3">
      <c r="A11" t="s">
        <v>102</v>
      </c>
      <c r="B11" t="s">
        <v>82</v>
      </c>
      <c r="C11">
        <v>32</v>
      </c>
    </row>
    <row r="12" spans="1:3" x14ac:dyDescent="0.3">
      <c r="A12" t="s">
        <v>103</v>
      </c>
      <c r="B12" t="s">
        <v>83</v>
      </c>
      <c r="C12">
        <v>17</v>
      </c>
    </row>
    <row r="13" spans="1:3" x14ac:dyDescent="0.3">
      <c r="A13" t="s">
        <v>103</v>
      </c>
      <c r="B13" t="s">
        <v>84</v>
      </c>
      <c r="C13">
        <v>54</v>
      </c>
    </row>
    <row r="14" spans="1:3" x14ac:dyDescent="0.3">
      <c r="A14" t="s">
        <v>103</v>
      </c>
      <c r="B14" t="s">
        <v>85</v>
      </c>
      <c r="C14">
        <v>24</v>
      </c>
    </row>
    <row r="15" spans="1:3" x14ac:dyDescent="0.3">
      <c r="A15" t="s">
        <v>103</v>
      </c>
      <c r="B15" t="s">
        <v>86</v>
      </c>
      <c r="C15">
        <v>9</v>
      </c>
    </row>
    <row r="16" spans="1:3" x14ac:dyDescent="0.3">
      <c r="A16" t="s">
        <v>103</v>
      </c>
      <c r="B16" t="s">
        <v>87</v>
      </c>
      <c r="C16">
        <v>72</v>
      </c>
    </row>
    <row r="17" spans="1:3" x14ac:dyDescent="0.3">
      <c r="A17" t="s">
        <v>103</v>
      </c>
      <c r="B17" t="s">
        <v>88</v>
      </c>
      <c r="C17">
        <v>65</v>
      </c>
    </row>
    <row r="18" spans="1:3" x14ac:dyDescent="0.3">
      <c r="A18" t="s">
        <v>103</v>
      </c>
      <c r="B18" t="s">
        <v>89</v>
      </c>
      <c r="C18">
        <v>18</v>
      </c>
    </row>
    <row r="19" spans="1:3" x14ac:dyDescent="0.3">
      <c r="A19" t="s">
        <v>103</v>
      </c>
      <c r="B19" t="s">
        <v>90</v>
      </c>
      <c r="C19">
        <v>10</v>
      </c>
    </row>
    <row r="20" spans="1:3" x14ac:dyDescent="0.3">
      <c r="A20" t="s">
        <v>103</v>
      </c>
      <c r="B20" t="s">
        <v>91</v>
      </c>
      <c r="C20">
        <v>25</v>
      </c>
    </row>
    <row r="21" spans="1:3" x14ac:dyDescent="0.3">
      <c r="A21" t="s">
        <v>103</v>
      </c>
      <c r="B21" t="s">
        <v>92</v>
      </c>
      <c r="C21">
        <v>4</v>
      </c>
    </row>
    <row r="22" spans="1:3" x14ac:dyDescent="0.3">
      <c r="A22" t="s">
        <v>103</v>
      </c>
      <c r="B22" t="s">
        <v>93</v>
      </c>
      <c r="C22">
        <v>4</v>
      </c>
    </row>
    <row r="23" spans="1:3" x14ac:dyDescent="0.3">
      <c r="A23" t="s">
        <v>105</v>
      </c>
      <c r="B23" t="s">
        <v>30</v>
      </c>
      <c r="C23">
        <v>32</v>
      </c>
    </row>
    <row r="24" spans="1:3" x14ac:dyDescent="0.3">
      <c r="A24" t="s">
        <v>105</v>
      </c>
      <c r="B24" t="s">
        <v>31</v>
      </c>
      <c r="C24">
        <v>43</v>
      </c>
    </row>
    <row r="25" spans="1:3" x14ac:dyDescent="0.3">
      <c r="A25" t="s">
        <v>105</v>
      </c>
      <c r="B25" t="s">
        <v>33</v>
      </c>
      <c r="C25">
        <v>56</v>
      </c>
    </row>
    <row r="26" spans="1:3" x14ac:dyDescent="0.3">
      <c r="A26" t="s">
        <v>105</v>
      </c>
      <c r="B26" t="s">
        <v>221</v>
      </c>
      <c r="C26">
        <v>2</v>
      </c>
    </row>
    <row r="27" spans="1:3" x14ac:dyDescent="0.3">
      <c r="A27" t="s">
        <v>105</v>
      </c>
      <c r="B27" t="s">
        <v>34</v>
      </c>
      <c r="C27">
        <v>62</v>
      </c>
    </row>
    <row r="28" spans="1:3" x14ac:dyDescent="0.3">
      <c r="A28" t="s">
        <v>105</v>
      </c>
      <c r="B28" t="s">
        <v>225</v>
      </c>
      <c r="C28">
        <v>51</v>
      </c>
    </row>
    <row r="29" spans="1:3" x14ac:dyDescent="0.3">
      <c r="A29" t="s">
        <v>105</v>
      </c>
      <c r="B29" t="s">
        <v>36</v>
      </c>
      <c r="C29">
        <v>102</v>
      </c>
    </row>
    <row r="30" spans="1:3" x14ac:dyDescent="0.3">
      <c r="A30" t="s">
        <v>105</v>
      </c>
      <c r="B30" t="s">
        <v>37</v>
      </c>
      <c r="C30">
        <v>45</v>
      </c>
    </row>
    <row r="31" spans="1:3" x14ac:dyDescent="0.3">
      <c r="A31" t="s">
        <v>105</v>
      </c>
      <c r="B31" t="s">
        <v>38</v>
      </c>
      <c r="C31">
        <v>19</v>
      </c>
    </row>
    <row r="32" spans="1:3" x14ac:dyDescent="0.3">
      <c r="A32" t="s">
        <v>105</v>
      </c>
      <c r="B32" t="s">
        <v>39</v>
      </c>
      <c r="C32">
        <v>19</v>
      </c>
    </row>
    <row r="33" spans="1:3" x14ac:dyDescent="0.3">
      <c r="A33" t="s">
        <v>105</v>
      </c>
      <c r="B33" t="s">
        <v>40</v>
      </c>
      <c r="C33">
        <v>421</v>
      </c>
    </row>
    <row r="34" spans="1:3" x14ac:dyDescent="0.3">
      <c r="A34" t="s">
        <v>106</v>
      </c>
      <c r="B34" t="s">
        <v>41</v>
      </c>
      <c r="C34">
        <v>12</v>
      </c>
    </row>
    <row r="35" spans="1:3" x14ac:dyDescent="0.3">
      <c r="A35" t="s">
        <v>106</v>
      </c>
      <c r="B35" t="s">
        <v>249</v>
      </c>
      <c r="C35">
        <v>1</v>
      </c>
    </row>
    <row r="36" spans="1:3" x14ac:dyDescent="0.3">
      <c r="A36" t="s">
        <v>106</v>
      </c>
      <c r="B36" t="s">
        <v>42</v>
      </c>
      <c r="C36">
        <v>28</v>
      </c>
    </row>
    <row r="37" spans="1:3" x14ac:dyDescent="0.3">
      <c r="A37" t="s">
        <v>106</v>
      </c>
      <c r="B37" t="s">
        <v>43</v>
      </c>
      <c r="C37">
        <v>228</v>
      </c>
    </row>
    <row r="38" spans="1:3" x14ac:dyDescent="0.3">
      <c r="A38" t="s">
        <v>106</v>
      </c>
      <c r="B38" t="s">
        <v>44</v>
      </c>
      <c r="C38">
        <v>23</v>
      </c>
    </row>
    <row r="39" spans="1:3" x14ac:dyDescent="0.3">
      <c r="A39" t="s">
        <v>106</v>
      </c>
      <c r="B39" t="s">
        <v>45</v>
      </c>
      <c r="C39">
        <v>66</v>
      </c>
    </row>
    <row r="40" spans="1:3" x14ac:dyDescent="0.3">
      <c r="A40" t="s">
        <v>106</v>
      </c>
      <c r="B40" t="s">
        <v>46</v>
      </c>
      <c r="C40">
        <v>171</v>
      </c>
    </row>
    <row r="41" spans="1:3" x14ac:dyDescent="0.3">
      <c r="A41" t="s">
        <v>106</v>
      </c>
      <c r="B41" t="s">
        <v>47</v>
      </c>
      <c r="C41">
        <v>10</v>
      </c>
    </row>
    <row r="42" spans="1:3" x14ac:dyDescent="0.3">
      <c r="A42" t="s">
        <v>107</v>
      </c>
      <c r="B42" t="s">
        <v>48</v>
      </c>
      <c r="C42">
        <v>37</v>
      </c>
    </row>
    <row r="43" spans="1:3" x14ac:dyDescent="0.3">
      <c r="A43" t="s">
        <v>107</v>
      </c>
      <c r="B43" t="s">
        <v>290</v>
      </c>
      <c r="C43">
        <v>10</v>
      </c>
    </row>
    <row r="44" spans="1:3" x14ac:dyDescent="0.3">
      <c r="A44" t="s">
        <v>107</v>
      </c>
      <c r="B44" t="s">
        <v>49</v>
      </c>
      <c r="C44">
        <v>17</v>
      </c>
    </row>
    <row r="45" spans="1:3" x14ac:dyDescent="0.3">
      <c r="A45" t="s">
        <v>107</v>
      </c>
      <c r="B45" t="s">
        <v>50</v>
      </c>
      <c r="C45">
        <v>15</v>
      </c>
    </row>
    <row r="46" spans="1:3" x14ac:dyDescent="0.3">
      <c r="A46" t="s">
        <v>107</v>
      </c>
      <c r="B46" t="s">
        <v>493</v>
      </c>
      <c r="C46">
        <v>26</v>
      </c>
    </row>
    <row r="47" spans="1:3" x14ac:dyDescent="0.3">
      <c r="A47" t="s">
        <v>107</v>
      </c>
      <c r="B47" t="s">
        <v>296</v>
      </c>
      <c r="C47">
        <v>26</v>
      </c>
    </row>
    <row r="48" spans="1:3" x14ac:dyDescent="0.3">
      <c r="A48" t="s">
        <v>107</v>
      </c>
      <c r="B48" t="s">
        <v>53</v>
      </c>
      <c r="C48">
        <v>120</v>
      </c>
    </row>
    <row r="49" spans="1:3" x14ac:dyDescent="0.3">
      <c r="A49" t="s">
        <v>100</v>
      </c>
      <c r="B49" t="s">
        <v>54</v>
      </c>
      <c r="C49">
        <v>218</v>
      </c>
    </row>
    <row r="50" spans="1:3" x14ac:dyDescent="0.3">
      <c r="A50" t="s">
        <v>100</v>
      </c>
      <c r="B50" t="s">
        <v>55</v>
      </c>
      <c r="C50">
        <v>42</v>
      </c>
    </row>
    <row r="51" spans="1:3" x14ac:dyDescent="0.3">
      <c r="A51" t="s">
        <v>100</v>
      </c>
      <c r="B51" t="s">
        <v>56</v>
      </c>
      <c r="C51">
        <v>36</v>
      </c>
    </row>
    <row r="52" spans="1:3" x14ac:dyDescent="0.3">
      <c r="A52" t="s">
        <v>100</v>
      </c>
      <c r="B52" t="s">
        <v>57</v>
      </c>
      <c r="C52">
        <v>293</v>
      </c>
    </row>
    <row r="53" spans="1:3" x14ac:dyDescent="0.3">
      <c r="A53" t="s">
        <v>100</v>
      </c>
      <c r="B53" t="s">
        <v>58</v>
      </c>
      <c r="C53">
        <v>104</v>
      </c>
    </row>
    <row r="54" spans="1:3" x14ac:dyDescent="0.3">
      <c r="A54" t="s">
        <v>100</v>
      </c>
      <c r="B54" t="s">
        <v>59</v>
      </c>
      <c r="C54">
        <v>86</v>
      </c>
    </row>
    <row r="55" spans="1:3" x14ac:dyDescent="0.3">
      <c r="A55" t="s">
        <v>100</v>
      </c>
      <c r="B55" t="s">
        <v>60</v>
      </c>
      <c r="C55">
        <v>76</v>
      </c>
    </row>
    <row r="56" spans="1:3" x14ac:dyDescent="0.3">
      <c r="A56" t="s">
        <v>100</v>
      </c>
      <c r="B56" t="s">
        <v>61</v>
      </c>
      <c r="C56">
        <v>42</v>
      </c>
    </row>
    <row r="57" spans="1:3" x14ac:dyDescent="0.3">
      <c r="A57" t="s">
        <v>100</v>
      </c>
      <c r="B57" t="s">
        <v>62</v>
      </c>
      <c r="C57">
        <v>228</v>
      </c>
    </row>
    <row r="58" spans="1:3" x14ac:dyDescent="0.3">
      <c r="A58" t="s">
        <v>100</v>
      </c>
      <c r="B58" t="s">
        <v>63</v>
      </c>
      <c r="C58">
        <v>63</v>
      </c>
    </row>
    <row r="59" spans="1:3" x14ac:dyDescent="0.3">
      <c r="A59" t="s">
        <v>100</v>
      </c>
      <c r="B59" t="s">
        <v>64</v>
      </c>
      <c r="C59">
        <v>72</v>
      </c>
    </row>
    <row r="60" spans="1:3" x14ac:dyDescent="0.3">
      <c r="A60" t="s">
        <v>100</v>
      </c>
      <c r="B60" t="s">
        <v>65</v>
      </c>
      <c r="C60">
        <v>137</v>
      </c>
    </row>
    <row r="61" spans="1:3" x14ac:dyDescent="0.3">
      <c r="A61" t="s">
        <v>100</v>
      </c>
      <c r="B61" t="s">
        <v>66</v>
      </c>
      <c r="C61">
        <v>85</v>
      </c>
    </row>
    <row r="62" spans="1:3" x14ac:dyDescent="0.3">
      <c r="A62" t="s">
        <v>100</v>
      </c>
      <c r="B62" t="s">
        <v>67</v>
      </c>
      <c r="C62">
        <v>51</v>
      </c>
    </row>
    <row r="63" spans="1:3" x14ac:dyDescent="0.3">
      <c r="A63" t="s">
        <v>101</v>
      </c>
      <c r="B63" t="s">
        <v>390</v>
      </c>
      <c r="C63">
        <v>15</v>
      </c>
    </row>
    <row r="64" spans="1:3" x14ac:dyDescent="0.3">
      <c r="A64" t="s">
        <v>101</v>
      </c>
      <c r="B64" t="s">
        <v>68</v>
      </c>
      <c r="C64">
        <v>275</v>
      </c>
    </row>
    <row r="65" spans="1:3" x14ac:dyDescent="0.3">
      <c r="A65" t="s">
        <v>101</v>
      </c>
      <c r="B65" t="s">
        <v>71</v>
      </c>
      <c r="C65">
        <v>68</v>
      </c>
    </row>
    <row r="66" spans="1:3" x14ac:dyDescent="0.3">
      <c r="A66" t="s">
        <v>101</v>
      </c>
      <c r="B66" t="s">
        <v>492</v>
      </c>
      <c r="C66">
        <v>149</v>
      </c>
    </row>
    <row r="67" spans="1:3" x14ac:dyDescent="0.3">
      <c r="A67" t="s">
        <v>101</v>
      </c>
      <c r="B67" t="s">
        <v>408</v>
      </c>
      <c r="C67">
        <v>71</v>
      </c>
    </row>
    <row r="68" spans="1:3" x14ac:dyDescent="0.3">
      <c r="A68" t="s">
        <v>101</v>
      </c>
      <c r="B68" t="s">
        <v>72</v>
      </c>
      <c r="C68">
        <v>101</v>
      </c>
    </row>
    <row r="69" spans="1:3" x14ac:dyDescent="0.3">
      <c r="A69" t="s">
        <v>104</v>
      </c>
      <c r="B69" t="s">
        <v>12</v>
      </c>
      <c r="C69">
        <v>149</v>
      </c>
    </row>
    <row r="70" spans="1:3" x14ac:dyDescent="0.3">
      <c r="A70" t="s">
        <v>104</v>
      </c>
      <c r="B70" t="s">
        <v>13</v>
      </c>
      <c r="C70">
        <v>57</v>
      </c>
    </row>
    <row r="71" spans="1:3" x14ac:dyDescent="0.3">
      <c r="A71" t="s">
        <v>104</v>
      </c>
      <c r="B71" t="s">
        <v>14</v>
      </c>
      <c r="C71">
        <v>71</v>
      </c>
    </row>
    <row r="72" spans="1:3" x14ac:dyDescent="0.3">
      <c r="A72" t="s">
        <v>104</v>
      </c>
      <c r="B72" t="s">
        <v>15</v>
      </c>
      <c r="C72">
        <v>72</v>
      </c>
    </row>
    <row r="73" spans="1:3" x14ac:dyDescent="0.3">
      <c r="A73" t="s">
        <v>104</v>
      </c>
      <c r="B73" t="s">
        <v>16</v>
      </c>
      <c r="C73">
        <v>38</v>
      </c>
    </row>
    <row r="74" spans="1:3" x14ac:dyDescent="0.3">
      <c r="A74" t="s">
        <v>104</v>
      </c>
      <c r="B74" t="s">
        <v>17</v>
      </c>
      <c r="C74">
        <v>79</v>
      </c>
    </row>
    <row r="75" spans="1:3" x14ac:dyDescent="0.3">
      <c r="A75" t="s">
        <v>104</v>
      </c>
      <c r="B75" t="s">
        <v>18</v>
      </c>
      <c r="C75">
        <v>33</v>
      </c>
    </row>
    <row r="76" spans="1:3" x14ac:dyDescent="0.3">
      <c r="A76" t="s">
        <v>104</v>
      </c>
      <c r="B76" t="s">
        <v>19</v>
      </c>
      <c r="C76">
        <v>54</v>
      </c>
    </row>
    <row r="77" spans="1:3" x14ac:dyDescent="0.3">
      <c r="A77" t="s">
        <v>104</v>
      </c>
      <c r="B77" t="s">
        <v>20</v>
      </c>
      <c r="C77">
        <v>59</v>
      </c>
    </row>
    <row r="78" spans="1:3" x14ac:dyDescent="0.3">
      <c r="A78" t="s">
        <v>104</v>
      </c>
      <c r="B78" t="s">
        <v>21</v>
      </c>
      <c r="C78">
        <v>381</v>
      </c>
    </row>
    <row r="79" spans="1:3" x14ac:dyDescent="0.3">
      <c r="A79" t="s">
        <v>104</v>
      </c>
      <c r="B79" t="s">
        <v>22</v>
      </c>
      <c r="C79">
        <v>33</v>
      </c>
    </row>
    <row r="80" spans="1:3" x14ac:dyDescent="0.3">
      <c r="A80" t="s">
        <v>104</v>
      </c>
      <c r="B80" t="s">
        <v>23</v>
      </c>
      <c r="C80">
        <v>63</v>
      </c>
    </row>
    <row r="81" spans="1:3" x14ac:dyDescent="0.3">
      <c r="A81" t="s">
        <v>104</v>
      </c>
      <c r="B81" t="s">
        <v>24</v>
      </c>
      <c r="C81">
        <v>66</v>
      </c>
    </row>
    <row r="82" spans="1:3" x14ac:dyDescent="0.3">
      <c r="A82" t="s">
        <v>104</v>
      </c>
      <c r="B82" t="s">
        <v>25</v>
      </c>
      <c r="C82">
        <v>42</v>
      </c>
    </row>
    <row r="83" spans="1:3" x14ac:dyDescent="0.3">
      <c r="A83" t="s">
        <v>104</v>
      </c>
      <c r="B83" t="s">
        <v>26</v>
      </c>
      <c r="C83">
        <v>69</v>
      </c>
    </row>
    <row r="84" spans="1:3" x14ac:dyDescent="0.3">
      <c r="A84" t="s">
        <v>104</v>
      </c>
      <c r="B84" t="s">
        <v>27</v>
      </c>
      <c r="C84">
        <v>49</v>
      </c>
    </row>
    <row r="85" spans="1:3" x14ac:dyDescent="0.3">
      <c r="A85" t="s">
        <v>104</v>
      </c>
      <c r="B85" t="s">
        <v>28</v>
      </c>
      <c r="C85">
        <v>33</v>
      </c>
    </row>
    <row r="86" spans="1:3" x14ac:dyDescent="0.3">
      <c r="A86" t="s">
        <v>104</v>
      </c>
      <c r="B86" t="s">
        <v>29</v>
      </c>
      <c r="C86">
        <v>532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6A5A-1A2B-440E-B0AA-2A128E108410}">
  <dimension ref="A1:C86"/>
  <sheetViews>
    <sheetView zoomScale="85" zoomScaleNormal="85" workbookViewId="0">
      <selection activeCell="D7" sqref="D7"/>
    </sheetView>
  </sheetViews>
  <sheetFormatPr defaultRowHeight="14.4" x14ac:dyDescent="0.3"/>
  <cols>
    <col min="1" max="1" width="21.33203125" bestFit="1" customWidth="1"/>
    <col min="2" max="2" width="33.109375" customWidth="1"/>
    <col min="3" max="3" width="8.5546875" customWidth="1"/>
  </cols>
  <sheetData>
    <row r="1" spans="1:3" x14ac:dyDescent="0.3">
      <c r="A1" t="s">
        <v>494</v>
      </c>
      <c r="B1" t="s">
        <v>495</v>
      </c>
      <c r="C1" t="s">
        <v>491</v>
      </c>
    </row>
    <row r="2" spans="1:3" x14ac:dyDescent="0.3">
      <c r="A2" t="s">
        <v>102</v>
      </c>
      <c r="B2" t="s">
        <v>73</v>
      </c>
      <c r="C2">
        <v>150</v>
      </c>
    </row>
    <row r="3" spans="1:3" x14ac:dyDescent="0.3">
      <c r="A3" t="s">
        <v>102</v>
      </c>
      <c r="B3" t="s">
        <v>74</v>
      </c>
      <c r="C3">
        <v>259</v>
      </c>
    </row>
    <row r="4" spans="1:3" x14ac:dyDescent="0.3">
      <c r="A4" t="s">
        <v>102</v>
      </c>
      <c r="B4" t="s">
        <v>75</v>
      </c>
      <c r="C4">
        <v>282</v>
      </c>
    </row>
    <row r="5" spans="1:3" x14ac:dyDescent="0.3">
      <c r="A5" t="s">
        <v>102</v>
      </c>
      <c r="B5" t="s">
        <v>76</v>
      </c>
      <c r="C5">
        <v>1723</v>
      </c>
    </row>
    <row r="6" spans="1:3" x14ac:dyDescent="0.3">
      <c r="A6" t="s">
        <v>102</v>
      </c>
      <c r="B6" t="s">
        <v>77</v>
      </c>
      <c r="C6">
        <v>1581</v>
      </c>
    </row>
    <row r="7" spans="1:3" x14ac:dyDescent="0.3">
      <c r="A7" t="s">
        <v>102</v>
      </c>
      <c r="B7" t="s">
        <v>78</v>
      </c>
      <c r="C7">
        <v>1387</v>
      </c>
    </row>
    <row r="8" spans="1:3" x14ac:dyDescent="0.3">
      <c r="A8" t="s">
        <v>102</v>
      </c>
      <c r="B8" t="s">
        <v>79</v>
      </c>
      <c r="C8">
        <v>1157</v>
      </c>
    </row>
    <row r="9" spans="1:3" x14ac:dyDescent="0.3">
      <c r="A9" t="s">
        <v>102</v>
      </c>
      <c r="B9" t="s">
        <v>80</v>
      </c>
      <c r="C9">
        <v>1436</v>
      </c>
    </row>
    <row r="10" spans="1:3" x14ac:dyDescent="0.3">
      <c r="A10" t="s">
        <v>102</v>
      </c>
      <c r="B10" t="s">
        <v>81</v>
      </c>
      <c r="C10">
        <v>1186</v>
      </c>
    </row>
    <row r="11" spans="1:3" x14ac:dyDescent="0.3">
      <c r="A11" t="s">
        <v>102</v>
      </c>
      <c r="B11" t="s">
        <v>82</v>
      </c>
      <c r="C11">
        <v>598</v>
      </c>
    </row>
    <row r="12" spans="1:3" x14ac:dyDescent="0.3">
      <c r="A12" t="s">
        <v>103</v>
      </c>
      <c r="B12" t="s">
        <v>83</v>
      </c>
      <c r="C12">
        <v>576</v>
      </c>
    </row>
    <row r="13" spans="1:3" x14ac:dyDescent="0.3">
      <c r="A13" t="s">
        <v>103</v>
      </c>
      <c r="B13" t="s">
        <v>84</v>
      </c>
      <c r="C13">
        <v>874</v>
      </c>
    </row>
    <row r="14" spans="1:3" x14ac:dyDescent="0.3">
      <c r="A14" t="s">
        <v>103</v>
      </c>
      <c r="B14" t="s">
        <v>85</v>
      </c>
      <c r="C14">
        <v>720</v>
      </c>
    </row>
    <row r="15" spans="1:3" x14ac:dyDescent="0.3">
      <c r="A15" t="s">
        <v>103</v>
      </c>
      <c r="B15" t="s">
        <v>86</v>
      </c>
      <c r="C15">
        <v>191</v>
      </c>
    </row>
    <row r="16" spans="1:3" x14ac:dyDescent="0.3">
      <c r="A16" t="s">
        <v>103</v>
      </c>
      <c r="B16" t="s">
        <v>87</v>
      </c>
      <c r="C16">
        <v>1160</v>
      </c>
    </row>
    <row r="17" spans="1:3" x14ac:dyDescent="0.3">
      <c r="A17" t="s">
        <v>103</v>
      </c>
      <c r="B17" t="s">
        <v>88</v>
      </c>
      <c r="C17">
        <v>591</v>
      </c>
    </row>
    <row r="18" spans="1:3" x14ac:dyDescent="0.3">
      <c r="A18" t="s">
        <v>103</v>
      </c>
      <c r="B18" t="s">
        <v>89</v>
      </c>
      <c r="C18">
        <v>568</v>
      </c>
    </row>
    <row r="19" spans="1:3" x14ac:dyDescent="0.3">
      <c r="A19" t="s">
        <v>103</v>
      </c>
      <c r="B19" t="s">
        <v>90</v>
      </c>
      <c r="C19">
        <v>130</v>
      </c>
    </row>
    <row r="20" spans="1:3" x14ac:dyDescent="0.3">
      <c r="A20" t="s">
        <v>103</v>
      </c>
      <c r="B20" t="s">
        <v>91</v>
      </c>
      <c r="C20">
        <v>332</v>
      </c>
    </row>
    <row r="21" spans="1:3" x14ac:dyDescent="0.3">
      <c r="A21" t="s">
        <v>103</v>
      </c>
      <c r="B21" t="s">
        <v>92</v>
      </c>
      <c r="C21">
        <v>108</v>
      </c>
    </row>
    <row r="22" spans="1:3" x14ac:dyDescent="0.3">
      <c r="A22" t="s">
        <v>103</v>
      </c>
      <c r="B22" t="s">
        <v>93</v>
      </c>
      <c r="C22">
        <v>54</v>
      </c>
    </row>
    <row r="23" spans="1:3" x14ac:dyDescent="0.3">
      <c r="A23" t="s">
        <v>105</v>
      </c>
      <c r="B23" t="s">
        <v>30</v>
      </c>
      <c r="C23">
        <v>416</v>
      </c>
    </row>
    <row r="24" spans="1:3" x14ac:dyDescent="0.3">
      <c r="A24" t="s">
        <v>105</v>
      </c>
      <c r="B24" t="s">
        <v>31</v>
      </c>
      <c r="C24">
        <v>501</v>
      </c>
    </row>
    <row r="25" spans="1:3" x14ac:dyDescent="0.3">
      <c r="A25" t="s">
        <v>105</v>
      </c>
      <c r="B25" t="s">
        <v>33</v>
      </c>
      <c r="C25">
        <v>709</v>
      </c>
    </row>
    <row r="26" spans="1:3" x14ac:dyDescent="0.3">
      <c r="A26" t="s">
        <v>105</v>
      </c>
      <c r="B26" t="s">
        <v>221</v>
      </c>
      <c r="C26">
        <v>92</v>
      </c>
    </row>
    <row r="27" spans="1:3" x14ac:dyDescent="0.3">
      <c r="A27" t="s">
        <v>105</v>
      </c>
      <c r="B27" t="s">
        <v>34</v>
      </c>
      <c r="C27">
        <v>717</v>
      </c>
    </row>
    <row r="28" spans="1:3" x14ac:dyDescent="0.3">
      <c r="A28" t="s">
        <v>105</v>
      </c>
      <c r="B28" t="s">
        <v>225</v>
      </c>
      <c r="C28">
        <v>474</v>
      </c>
    </row>
    <row r="29" spans="1:3" x14ac:dyDescent="0.3">
      <c r="A29" t="s">
        <v>105</v>
      </c>
      <c r="B29" t="s">
        <v>36</v>
      </c>
      <c r="C29">
        <v>882</v>
      </c>
    </row>
    <row r="30" spans="1:3" x14ac:dyDescent="0.3">
      <c r="A30" t="s">
        <v>105</v>
      </c>
      <c r="B30" t="s">
        <v>37</v>
      </c>
      <c r="C30">
        <v>411</v>
      </c>
    </row>
    <row r="31" spans="1:3" x14ac:dyDescent="0.3">
      <c r="A31" t="s">
        <v>105</v>
      </c>
      <c r="B31" t="s">
        <v>38</v>
      </c>
      <c r="C31">
        <v>337</v>
      </c>
    </row>
    <row r="32" spans="1:3" x14ac:dyDescent="0.3">
      <c r="A32" t="s">
        <v>105</v>
      </c>
      <c r="B32" t="s">
        <v>39</v>
      </c>
      <c r="C32">
        <v>348</v>
      </c>
    </row>
    <row r="33" spans="1:3" x14ac:dyDescent="0.3">
      <c r="A33" t="s">
        <v>105</v>
      </c>
      <c r="B33" t="s">
        <v>40</v>
      </c>
      <c r="C33">
        <v>2045</v>
      </c>
    </row>
    <row r="34" spans="1:3" x14ac:dyDescent="0.3">
      <c r="A34" t="s">
        <v>106</v>
      </c>
      <c r="B34" t="s">
        <v>41</v>
      </c>
      <c r="C34">
        <v>220</v>
      </c>
    </row>
    <row r="35" spans="1:3" x14ac:dyDescent="0.3">
      <c r="A35" t="s">
        <v>106</v>
      </c>
      <c r="B35" t="s">
        <v>249</v>
      </c>
      <c r="C35">
        <v>144</v>
      </c>
    </row>
    <row r="36" spans="1:3" x14ac:dyDescent="0.3">
      <c r="A36" t="s">
        <v>106</v>
      </c>
      <c r="B36" t="s">
        <v>42</v>
      </c>
      <c r="C36">
        <v>772</v>
      </c>
    </row>
    <row r="37" spans="1:3" x14ac:dyDescent="0.3">
      <c r="A37" t="s">
        <v>106</v>
      </c>
      <c r="B37" t="s">
        <v>43</v>
      </c>
      <c r="C37">
        <v>2681</v>
      </c>
    </row>
    <row r="38" spans="1:3" x14ac:dyDescent="0.3">
      <c r="A38" t="s">
        <v>106</v>
      </c>
      <c r="B38" t="s">
        <v>44</v>
      </c>
      <c r="C38">
        <v>579</v>
      </c>
    </row>
    <row r="39" spans="1:3" x14ac:dyDescent="0.3">
      <c r="A39" t="s">
        <v>106</v>
      </c>
      <c r="B39" t="s">
        <v>45</v>
      </c>
      <c r="C39">
        <v>1244</v>
      </c>
    </row>
    <row r="40" spans="1:3" x14ac:dyDescent="0.3">
      <c r="A40" t="s">
        <v>106</v>
      </c>
      <c r="B40" t="s">
        <v>46</v>
      </c>
      <c r="C40">
        <v>1952</v>
      </c>
    </row>
    <row r="41" spans="1:3" x14ac:dyDescent="0.3">
      <c r="A41" t="s">
        <v>106</v>
      </c>
      <c r="B41" t="s">
        <v>47</v>
      </c>
      <c r="C41">
        <v>134</v>
      </c>
    </row>
    <row r="42" spans="1:3" x14ac:dyDescent="0.3">
      <c r="A42" t="s">
        <v>107</v>
      </c>
      <c r="B42" t="s">
        <v>48</v>
      </c>
      <c r="C42">
        <v>1094</v>
      </c>
    </row>
    <row r="43" spans="1:3" x14ac:dyDescent="0.3">
      <c r="A43" t="s">
        <v>107</v>
      </c>
      <c r="B43" t="s">
        <v>290</v>
      </c>
      <c r="C43">
        <v>170</v>
      </c>
    </row>
    <row r="44" spans="1:3" x14ac:dyDescent="0.3">
      <c r="A44" t="s">
        <v>107</v>
      </c>
      <c r="B44" t="s">
        <v>49</v>
      </c>
      <c r="C44">
        <v>518</v>
      </c>
    </row>
    <row r="45" spans="1:3" x14ac:dyDescent="0.3">
      <c r="A45" t="s">
        <v>107</v>
      </c>
      <c r="B45" t="s">
        <v>50</v>
      </c>
      <c r="C45">
        <v>279</v>
      </c>
    </row>
    <row r="46" spans="1:3" x14ac:dyDescent="0.3">
      <c r="A46" t="s">
        <v>107</v>
      </c>
      <c r="B46" t="s">
        <v>493</v>
      </c>
      <c r="C46">
        <v>444</v>
      </c>
    </row>
    <row r="47" spans="1:3" x14ac:dyDescent="0.3">
      <c r="A47" t="s">
        <v>107</v>
      </c>
      <c r="B47" t="s">
        <v>296</v>
      </c>
      <c r="C47">
        <v>785</v>
      </c>
    </row>
    <row r="48" spans="1:3" x14ac:dyDescent="0.3">
      <c r="A48" t="s">
        <v>107</v>
      </c>
      <c r="B48" t="s">
        <v>53</v>
      </c>
      <c r="C48">
        <v>1214</v>
      </c>
    </row>
    <row r="49" spans="1:3" x14ac:dyDescent="0.3">
      <c r="A49" t="s">
        <v>100</v>
      </c>
      <c r="B49" t="s">
        <v>54</v>
      </c>
      <c r="C49">
        <v>2687</v>
      </c>
    </row>
    <row r="50" spans="1:3" x14ac:dyDescent="0.3">
      <c r="A50" t="s">
        <v>100</v>
      </c>
      <c r="B50" t="s">
        <v>55</v>
      </c>
      <c r="C50">
        <v>391</v>
      </c>
    </row>
    <row r="51" spans="1:3" x14ac:dyDescent="0.3">
      <c r="A51" t="s">
        <v>100</v>
      </c>
      <c r="B51" t="s">
        <v>56</v>
      </c>
      <c r="C51">
        <v>492</v>
      </c>
    </row>
    <row r="52" spans="1:3" x14ac:dyDescent="0.3">
      <c r="A52" t="s">
        <v>100</v>
      </c>
      <c r="B52" t="s">
        <v>57</v>
      </c>
      <c r="C52">
        <v>2083</v>
      </c>
    </row>
    <row r="53" spans="1:3" x14ac:dyDescent="0.3">
      <c r="A53" t="s">
        <v>100</v>
      </c>
      <c r="B53" t="s">
        <v>58</v>
      </c>
      <c r="C53">
        <v>1018</v>
      </c>
    </row>
    <row r="54" spans="1:3" x14ac:dyDescent="0.3">
      <c r="A54" t="s">
        <v>100</v>
      </c>
      <c r="B54" t="s">
        <v>59</v>
      </c>
      <c r="C54">
        <v>762</v>
      </c>
    </row>
    <row r="55" spans="1:3" x14ac:dyDescent="0.3">
      <c r="A55" t="s">
        <v>100</v>
      </c>
      <c r="B55" t="s">
        <v>60</v>
      </c>
      <c r="C55">
        <v>1249</v>
      </c>
    </row>
    <row r="56" spans="1:3" x14ac:dyDescent="0.3">
      <c r="A56" t="s">
        <v>100</v>
      </c>
      <c r="B56" t="s">
        <v>61</v>
      </c>
      <c r="C56">
        <v>823</v>
      </c>
    </row>
    <row r="57" spans="1:3" x14ac:dyDescent="0.3">
      <c r="A57" t="s">
        <v>100</v>
      </c>
      <c r="B57" t="s">
        <v>62</v>
      </c>
      <c r="C57">
        <v>1810</v>
      </c>
    </row>
    <row r="58" spans="1:3" x14ac:dyDescent="0.3">
      <c r="A58" t="s">
        <v>100</v>
      </c>
      <c r="B58" t="s">
        <v>63</v>
      </c>
      <c r="C58">
        <v>1206</v>
      </c>
    </row>
    <row r="59" spans="1:3" x14ac:dyDescent="0.3">
      <c r="A59" t="s">
        <v>100</v>
      </c>
      <c r="B59" t="s">
        <v>64</v>
      </c>
      <c r="C59">
        <v>884</v>
      </c>
    </row>
    <row r="60" spans="1:3" x14ac:dyDescent="0.3">
      <c r="A60" t="s">
        <v>100</v>
      </c>
      <c r="B60" t="s">
        <v>65</v>
      </c>
      <c r="C60">
        <v>1536</v>
      </c>
    </row>
    <row r="61" spans="1:3" x14ac:dyDescent="0.3">
      <c r="A61" t="s">
        <v>100</v>
      </c>
      <c r="B61" t="s">
        <v>66</v>
      </c>
      <c r="C61">
        <v>1379</v>
      </c>
    </row>
    <row r="62" spans="1:3" x14ac:dyDescent="0.3">
      <c r="A62" t="s">
        <v>100</v>
      </c>
      <c r="B62" t="s">
        <v>67</v>
      </c>
      <c r="C62">
        <v>727</v>
      </c>
    </row>
    <row r="63" spans="1:3" x14ac:dyDescent="0.3">
      <c r="A63" t="s">
        <v>101</v>
      </c>
      <c r="B63" t="s">
        <v>390</v>
      </c>
      <c r="C63">
        <v>713</v>
      </c>
    </row>
    <row r="64" spans="1:3" x14ac:dyDescent="0.3">
      <c r="A64" t="s">
        <v>101</v>
      </c>
      <c r="B64" t="s">
        <v>68</v>
      </c>
      <c r="C64">
        <v>2710</v>
      </c>
    </row>
    <row r="65" spans="1:3" x14ac:dyDescent="0.3">
      <c r="A65" t="s">
        <v>101</v>
      </c>
      <c r="B65" t="s">
        <v>71</v>
      </c>
      <c r="C65">
        <v>894</v>
      </c>
    </row>
    <row r="66" spans="1:3" x14ac:dyDescent="0.3">
      <c r="A66" t="s">
        <v>101</v>
      </c>
      <c r="B66" t="s">
        <v>492</v>
      </c>
      <c r="C66">
        <v>1002</v>
      </c>
    </row>
    <row r="67" spans="1:3" x14ac:dyDescent="0.3">
      <c r="A67" t="s">
        <v>101</v>
      </c>
      <c r="B67" t="s">
        <v>408</v>
      </c>
      <c r="C67">
        <v>475</v>
      </c>
    </row>
    <row r="68" spans="1:3" x14ac:dyDescent="0.3">
      <c r="A68" t="s">
        <v>101</v>
      </c>
      <c r="B68" t="s">
        <v>72</v>
      </c>
      <c r="C68">
        <v>1916</v>
      </c>
    </row>
    <row r="69" spans="1:3" x14ac:dyDescent="0.3">
      <c r="A69" t="s">
        <v>104</v>
      </c>
      <c r="B69" t="s">
        <v>12</v>
      </c>
      <c r="C69">
        <v>909</v>
      </c>
    </row>
    <row r="70" spans="1:3" x14ac:dyDescent="0.3">
      <c r="A70" t="s">
        <v>104</v>
      </c>
      <c r="B70" t="s">
        <v>13</v>
      </c>
      <c r="C70">
        <v>688</v>
      </c>
    </row>
    <row r="71" spans="1:3" x14ac:dyDescent="0.3">
      <c r="A71" t="s">
        <v>104</v>
      </c>
      <c r="B71" t="s">
        <v>14</v>
      </c>
      <c r="C71">
        <v>857</v>
      </c>
    </row>
    <row r="72" spans="1:3" x14ac:dyDescent="0.3">
      <c r="A72" t="s">
        <v>104</v>
      </c>
      <c r="B72" t="s">
        <v>15</v>
      </c>
      <c r="C72">
        <v>1350</v>
      </c>
    </row>
    <row r="73" spans="1:3" x14ac:dyDescent="0.3">
      <c r="A73" t="s">
        <v>104</v>
      </c>
      <c r="B73" t="s">
        <v>16</v>
      </c>
      <c r="C73">
        <v>553</v>
      </c>
    </row>
    <row r="74" spans="1:3" x14ac:dyDescent="0.3">
      <c r="A74" t="s">
        <v>104</v>
      </c>
      <c r="B74" t="s">
        <v>17</v>
      </c>
      <c r="C74">
        <v>625</v>
      </c>
    </row>
    <row r="75" spans="1:3" x14ac:dyDescent="0.3">
      <c r="A75" t="s">
        <v>104</v>
      </c>
      <c r="B75" t="s">
        <v>18</v>
      </c>
      <c r="C75">
        <v>413</v>
      </c>
    </row>
    <row r="76" spans="1:3" x14ac:dyDescent="0.3">
      <c r="A76" t="s">
        <v>104</v>
      </c>
      <c r="B76" t="s">
        <v>19</v>
      </c>
      <c r="C76">
        <v>679</v>
      </c>
    </row>
    <row r="77" spans="1:3" x14ac:dyDescent="0.3">
      <c r="A77" t="s">
        <v>104</v>
      </c>
      <c r="B77" t="s">
        <v>20</v>
      </c>
      <c r="C77">
        <v>660</v>
      </c>
    </row>
    <row r="78" spans="1:3" x14ac:dyDescent="0.3">
      <c r="A78" t="s">
        <v>104</v>
      </c>
      <c r="B78" t="s">
        <v>21</v>
      </c>
      <c r="C78">
        <v>2594</v>
      </c>
    </row>
    <row r="79" spans="1:3" x14ac:dyDescent="0.3">
      <c r="A79" t="s">
        <v>104</v>
      </c>
      <c r="B79" t="s">
        <v>22</v>
      </c>
      <c r="C79">
        <v>518</v>
      </c>
    </row>
    <row r="80" spans="1:3" x14ac:dyDescent="0.3">
      <c r="A80" t="s">
        <v>104</v>
      </c>
      <c r="B80" t="s">
        <v>23</v>
      </c>
      <c r="C80">
        <v>621</v>
      </c>
    </row>
    <row r="81" spans="1:3" x14ac:dyDescent="0.3">
      <c r="A81" t="s">
        <v>104</v>
      </c>
      <c r="B81" t="s">
        <v>24</v>
      </c>
      <c r="C81">
        <v>914</v>
      </c>
    </row>
    <row r="82" spans="1:3" x14ac:dyDescent="0.3">
      <c r="A82" t="s">
        <v>104</v>
      </c>
      <c r="B82" t="s">
        <v>25</v>
      </c>
      <c r="C82">
        <v>656</v>
      </c>
    </row>
    <row r="83" spans="1:3" x14ac:dyDescent="0.3">
      <c r="A83" t="s">
        <v>104</v>
      </c>
      <c r="B83" t="s">
        <v>26</v>
      </c>
      <c r="C83">
        <v>889</v>
      </c>
    </row>
    <row r="84" spans="1:3" x14ac:dyDescent="0.3">
      <c r="A84" t="s">
        <v>104</v>
      </c>
      <c r="B84" t="s">
        <v>27</v>
      </c>
      <c r="C84">
        <v>643</v>
      </c>
    </row>
    <row r="85" spans="1:3" x14ac:dyDescent="0.3">
      <c r="A85" t="s">
        <v>104</v>
      </c>
      <c r="B85" t="s">
        <v>28</v>
      </c>
      <c r="C85">
        <v>572</v>
      </c>
    </row>
    <row r="86" spans="1:3" x14ac:dyDescent="0.3">
      <c r="A86" t="s">
        <v>104</v>
      </c>
      <c r="B86" t="s">
        <v>29</v>
      </c>
      <c r="C86">
        <v>4654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0A89-ED7E-44A1-B01B-17557CFE9E93}">
  <dimension ref="A1"/>
  <sheetViews>
    <sheetView workbookViewId="0">
      <selection sqref="A1:C8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БД</vt:lpstr>
      <vt:lpstr>БД2</vt:lpstr>
      <vt:lpstr>Не выходит</vt:lpstr>
      <vt:lpstr>Столб с накоп</vt:lpstr>
      <vt:lpstr>Граф</vt:lpstr>
      <vt:lpstr>Ящик с усом</vt:lpstr>
      <vt:lpstr>Столб</vt:lpstr>
      <vt:lpstr>Круг</vt:lpstr>
      <vt:lpstr>Солн луч</vt:lpstr>
      <vt:lpstr>Дерево</vt:lpstr>
      <vt:lpstr>Лист11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Головин</dc:creator>
  <cp:lastModifiedBy>Тимофей Головин</cp:lastModifiedBy>
  <dcterms:created xsi:type="dcterms:W3CDTF">2025-09-07T17:58:38Z</dcterms:created>
  <dcterms:modified xsi:type="dcterms:W3CDTF">2025-09-18T20:36:08Z</dcterms:modified>
</cp:coreProperties>
</file>